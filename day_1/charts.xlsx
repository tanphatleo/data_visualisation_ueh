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1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2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1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Ex3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4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13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datat_visualisation\day_1\"/>
    </mc:Choice>
  </mc:AlternateContent>
  <xr:revisionPtr revIDLastSave="0" documentId="13_ncr:1_{A2518579-A5BF-474E-A6EA-AE53FC619E67}" xr6:coauthVersionLast="47" xr6:coauthVersionMax="47" xr10:uidLastSave="{00000000-0000-0000-0000-000000000000}"/>
  <bookViews>
    <workbookView xWindow="-120" yWindow="-120" windowWidth="38640" windowHeight="21120" activeTab="1" xr2:uid="{81E87292-0F59-4328-A6CA-1EABFA9025B1}"/>
  </bookViews>
  <sheets>
    <sheet name="day_1" sheetId="1" r:id="rId1"/>
    <sheet name="charts_type" sheetId="2" r:id="rId2"/>
  </sheets>
  <definedNames>
    <definedName name="_xlchart.v1.0" hidden="1">charts_type!$B$117:$C$121</definedName>
    <definedName name="_xlchart.v1.1" hidden="1">charts_type!$D$116</definedName>
    <definedName name="_xlchart.v1.14" hidden="1">charts_type!$B$76:$B$80</definedName>
    <definedName name="_xlchart.v1.15" hidden="1">charts_type!$C$75</definedName>
    <definedName name="_xlchart.v1.16" hidden="1">charts_type!$C$76:$C$80</definedName>
    <definedName name="_xlchart.v1.2" hidden="1">charts_type!$D$117:$D$121</definedName>
    <definedName name="_xlchart.v1.3" hidden="1">charts_type!$C$117:$C$121</definedName>
    <definedName name="_xlchart.v1.4" hidden="1">charts_type!$D$116</definedName>
    <definedName name="_xlchart.v1.5" hidden="1">charts_type!$D$117:$D$121</definedName>
    <definedName name="_xlchart.v1.6" hidden="1">charts_type!$C$117:$C$128</definedName>
    <definedName name="_xlchart.v1.7" hidden="1">charts_type!$D$116</definedName>
    <definedName name="_xlchart.v1.8" hidden="1">charts_type!$D$117:$D$128</definedName>
    <definedName name="_xlchart.v2.10" hidden="1">charts_type!$B$85:$B$90</definedName>
    <definedName name="_xlchart.v2.11" hidden="1">charts_type!$C$84</definedName>
    <definedName name="_xlchart.v2.12" hidden="1">charts_type!$C$85:$C$89</definedName>
    <definedName name="_xlchart.v2.13" hidden="1">charts_type!$C$85:$C$90</definedName>
    <definedName name="_xlchart.v2.9" hidden="1">charts_type!$B$85:$B$89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0" i="2" l="1"/>
  <c r="E8" i="1"/>
</calcChain>
</file>

<file path=xl/sharedStrings.xml><?xml version="1.0" encoding="utf-8"?>
<sst xmlns="http://schemas.openxmlformats.org/spreadsheetml/2006/main" count="72" uniqueCount="65">
  <si>
    <t>Month</t>
  </si>
  <si>
    <t>Revenue</t>
  </si>
  <si>
    <t>Jan</t>
  </si>
  <si>
    <t>Feb</t>
  </si>
  <si>
    <t>Mar</t>
  </si>
  <si>
    <t>Apr</t>
  </si>
  <si>
    <t>May</t>
  </si>
  <si>
    <t>Jun</t>
  </si>
  <si>
    <t>Projection Line (Helper)</t>
  </si>
  <si>
    <t>Line chart</t>
  </si>
  <si>
    <t>Fake 2 columns for 2 additional line</t>
  </si>
  <si>
    <t>Data lable add custom value (fake column)</t>
  </si>
  <si>
    <t>Draw 2 line</t>
  </si>
  <si>
    <t>insert text</t>
  </si>
  <si>
    <t>grouping</t>
  </si>
  <si>
    <t>Coloring</t>
  </si>
  <si>
    <t>A</t>
  </si>
  <si>
    <t>B</t>
  </si>
  <si>
    <t>C</t>
  </si>
  <si>
    <t>D</t>
  </si>
  <si>
    <t>E</t>
  </si>
  <si>
    <t>value</t>
  </si>
  <si>
    <t>Cat</t>
  </si>
  <si>
    <t>value 2</t>
  </si>
  <si>
    <t>value 3</t>
  </si>
  <si>
    <t>Category</t>
  </si>
  <si>
    <t>Value</t>
  </si>
  <si>
    <t>Sales Revenue</t>
  </si>
  <si>
    <t>Cost of Goods</t>
  </si>
  <si>
    <t>Net Income</t>
  </si>
  <si>
    <t>Admin cost</t>
  </si>
  <si>
    <t>Other</t>
  </si>
  <si>
    <t>Stage</t>
  </si>
  <si>
    <t>Count</t>
  </si>
  <si>
    <t>Website Visits</t>
  </si>
  <si>
    <t>Leads Generated</t>
  </si>
  <si>
    <t>Qualified Leads</t>
  </si>
  <si>
    <t>Proposals Sent</t>
  </si>
  <si>
    <t>Negotiations</t>
  </si>
  <si>
    <t>Closed Won</t>
  </si>
  <si>
    <t>Date</t>
  </si>
  <si>
    <t>Open</t>
  </si>
  <si>
    <t>High</t>
  </si>
  <si>
    <t>Low</t>
  </si>
  <si>
    <t>Close</t>
  </si>
  <si>
    <t>Mon</t>
  </si>
  <si>
    <t>Tue</t>
  </si>
  <si>
    <t>Wed</t>
  </si>
  <si>
    <t>Thu</t>
  </si>
  <si>
    <t>Fri</t>
  </si>
  <si>
    <t>9am</t>
  </si>
  <si>
    <t>10am</t>
  </si>
  <si>
    <t>11am</t>
  </si>
  <si>
    <t>12pm</t>
  </si>
  <si>
    <t>1pm</t>
  </si>
  <si>
    <t>2pm</t>
  </si>
  <si>
    <t>3pm</t>
  </si>
  <si>
    <t>Subcategory</t>
  </si>
  <si>
    <t>Electronics</t>
  </si>
  <si>
    <t>Phones</t>
  </si>
  <si>
    <t>Laptops</t>
  </si>
  <si>
    <t>Tablets</t>
  </si>
  <si>
    <t>Clothing</t>
  </si>
  <si>
    <t>Men's</t>
  </si>
  <si>
    <t>Women's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</si>
</sst>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BBBEBF"/>
      <name val="Consolas"/>
      <family val="3"/>
    </font>
    <font>
      <sz val="9.35"/>
      <color rgb="FF111111"/>
      <name val="Segoe UI"/>
      <family val="2"/>
    </font>
    <font>
      <sz val="9.35"/>
      <color rgb="FFFF0000"/>
      <name val="Segoe UI"/>
      <family val="2"/>
    </font>
    <font>
      <b/>
      <sz val="11"/>
      <color theme="1"/>
      <name val="Calibri"/>
      <family val="2"/>
      <scheme val="minor"/>
    </font>
    <font>
      <sz val="11"/>
      <color rgb="FFA5D6FF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2" fillId="3" borderId="2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5" fillId="0" borderId="0" xfId="0" applyFont="1" applyAlignment="1">
      <alignment vertical="center"/>
    </xf>
    <xf numFmtId="0" fontId="4" fillId="4" borderId="0" xfId="0" applyFont="1" applyFill="1"/>
    <xf numFmtId="3" fontId="0" fillId="0" borderId="0" xfId="0" applyNumberFormat="1"/>
    <xf numFmtId="16" fontId="0" fillId="0" borderId="0" xfId="0" applyNumberFormat="1"/>
    <xf numFmtId="0" fontId="4" fillId="4" borderId="0" xfId="0" applyFont="1" applyFill="1" applyBorder="1"/>
    <xf numFmtId="0" fontId="4" fillId="4" borderId="3" xfId="0" applyFont="1" applyFill="1" applyBorder="1"/>
    <xf numFmtId="0" fontId="4" fillId="4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5F6FA"/>
      <color rgb="FF7E7E7E"/>
      <color rgb="FFA8B4DE"/>
      <color rgb="FF5B73C4"/>
      <color rgb="FF0D1A63"/>
      <color rgb="FFF680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day_1!$B$1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D1A63"/>
              </a:solidFill>
              <a:ln w="25400">
                <a:solidFill>
                  <a:srgbClr val="0D1A6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day_1!$A$2:$A$7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day_1!$B$2:$B$7</c:f>
              <c:numCache>
                <c:formatCode>General</c:formatCode>
                <c:ptCount val="6"/>
                <c:pt idx="0">
                  <c:v>42</c:v>
                </c:pt>
                <c:pt idx="1">
                  <c:v>55</c:v>
                </c:pt>
                <c:pt idx="2">
                  <c:v>48</c:v>
                </c:pt>
                <c:pt idx="3">
                  <c:v>62</c:v>
                </c:pt>
                <c:pt idx="4">
                  <c:v>78</c:v>
                </c:pt>
                <c:pt idx="5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43-434D-B1D7-E30C7966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3494927"/>
        <c:axId val="1901423071"/>
      </c:lineChart>
      <c:catAx>
        <c:axId val="165349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01423071"/>
        <c:crosses val="autoZero"/>
        <c:auto val="1"/>
        <c:lblAlgn val="ctr"/>
        <c:lblOffset val="100"/>
        <c:noMultiLvlLbl val="0"/>
      </c:catAx>
      <c:valAx>
        <c:axId val="19014230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349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/>
              <a:t>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day_1!$B$1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D1A63"/>
              </a:solidFill>
              <a:ln w="25400">
                <a:solidFill>
                  <a:srgbClr val="0D1A6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day_1!$A$2:$A$8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day_1!$B$2:$B$7</c:f>
              <c:numCache>
                <c:formatCode>General</c:formatCode>
                <c:ptCount val="6"/>
                <c:pt idx="0">
                  <c:v>42</c:v>
                </c:pt>
                <c:pt idx="1">
                  <c:v>55</c:v>
                </c:pt>
                <c:pt idx="2">
                  <c:v>48</c:v>
                </c:pt>
                <c:pt idx="3">
                  <c:v>62</c:v>
                </c:pt>
                <c:pt idx="4">
                  <c:v>78</c:v>
                </c:pt>
                <c:pt idx="5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11-46F4-9827-238B81845621}"/>
            </c:ext>
          </c:extLst>
        </c:ser>
        <c:ser>
          <c:idx val="1"/>
          <c:order val="1"/>
          <c:tx>
            <c:strRef>
              <c:f>day_1!$C$1</c:f>
              <c:strCache>
                <c:ptCount val="1"/>
                <c:pt idx="0">
                  <c:v>Projection Line (Helper)</c:v>
                </c:pt>
              </c:strCache>
            </c:strRef>
          </c:tx>
          <c:spPr>
            <a:ln w="12700" cap="rnd">
              <a:solidFill>
                <a:srgbClr val="7E7E7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7E7E7E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D11-46F4-9827-238B8184562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D11-46F4-9827-238B8184562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BD11-46F4-9827-238B8184562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D7BD421-0D43-44B6-9234-57E802D676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D11-46F4-9827-238B8184562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9BC6FAC-222D-491D-B8A4-A3D4A4FDA9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BD11-46F4-9827-238B8184562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6A031A0-E2B1-42B7-AF1C-081CBB8C74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BD11-46F4-9827-238B81845621}"/>
                </c:ext>
              </c:extLst>
            </c:dLbl>
            <c:dLbl>
              <c:idx val="6"/>
              <c:layout>
                <c:manualLayout>
                  <c:x val="-4.066974457284013E-2"/>
                  <c:y val="-6.2103958625582246E-2"/>
                </c:manualLayout>
              </c:layout>
              <c:tx>
                <c:rich>
                  <a:bodyPr/>
                  <a:lstStyle/>
                  <a:p>
                    <a:fld id="{5C1A4C21-70A9-4985-9E05-2F826E4AEA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BD11-46F4-9827-238B818456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68048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day_1!$A$2:$A$8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day_1!$C$2:$C$8</c:f>
              <c:numCache>
                <c:formatCode>General</c:formatCode>
                <c:ptCount val="7"/>
                <c:pt idx="3">
                  <c:v>62</c:v>
                </c:pt>
                <c:pt idx="4">
                  <c:v>62</c:v>
                </c:pt>
                <c:pt idx="5">
                  <c:v>62</c:v>
                </c:pt>
                <c:pt idx="6">
                  <c:v>62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day_1!$E$2:$E$8</c15:f>
                <c15:dlblRangeCache>
                  <c:ptCount val="7"/>
                  <c:pt idx="6">
                    <c:v>16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BD11-46F4-9827-238B81845621}"/>
            </c:ext>
          </c:extLst>
        </c:ser>
        <c:ser>
          <c:idx val="2"/>
          <c:order val="2"/>
          <c:tx>
            <c:strRef>
              <c:f>day_1!$D$1</c:f>
              <c:strCache>
                <c:ptCount val="1"/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day_1!$D$2:$D$8</c:f>
              <c:numCache>
                <c:formatCode>General</c:formatCode>
                <c:ptCount val="7"/>
                <c:pt idx="4">
                  <c:v>78</c:v>
                </c:pt>
                <c:pt idx="5">
                  <c:v>78</c:v>
                </c:pt>
                <c:pt idx="6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D11-46F4-9827-238B81845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3494927"/>
        <c:axId val="1901423071"/>
      </c:lineChart>
      <c:catAx>
        <c:axId val="165349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01423071"/>
        <c:crosses val="autoZero"/>
        <c:auto val="1"/>
        <c:lblAlgn val="ctr"/>
        <c:lblOffset val="100"/>
        <c:noMultiLvlLbl val="0"/>
      </c:catAx>
      <c:valAx>
        <c:axId val="19014230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349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charts_type!$C$2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0D1A63"/>
            </a:solidFill>
            <a:ln>
              <a:noFill/>
            </a:ln>
            <a:effectLst/>
          </c:spPr>
          <c:invertIfNegative val="0"/>
          <c:cat>
            <c:strRef>
              <c:f>charts_type!$B$3:$B$7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charts_type!$C$3:$C$7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D8-4976-A31C-95D04877F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7"/>
        <c:axId val="17597696"/>
        <c:axId val="17594816"/>
      </c:barChart>
      <c:catAx>
        <c:axId val="175976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94816"/>
        <c:crosses val="autoZero"/>
        <c:auto val="1"/>
        <c:lblAlgn val="ctr"/>
        <c:lblOffset val="100"/>
        <c:noMultiLvlLbl val="0"/>
      </c:catAx>
      <c:valAx>
        <c:axId val="17594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597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charts_type!$C$2</c:f>
              <c:strCache>
                <c:ptCount val="1"/>
                <c:pt idx="0">
                  <c:v>value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charts_type!$B$3:$B$7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charts_type!$C$3:$C$7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02-47D8-80FE-4247DEA4EE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6016"/>
        <c:axId val="17615936"/>
      </c:lineChart>
      <c:catAx>
        <c:axId val="176260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615936"/>
        <c:crosses val="autoZero"/>
        <c:auto val="1"/>
        <c:lblAlgn val="ctr"/>
        <c:lblOffset val="100"/>
        <c:noMultiLvlLbl val="0"/>
      </c:catAx>
      <c:valAx>
        <c:axId val="17615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626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charts_type!$C$2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0D1A63"/>
            </a:solidFill>
            <a:ln>
              <a:solidFill>
                <a:srgbClr val="0D1A63"/>
              </a:solidFill>
            </a:ln>
            <a:effectLst/>
          </c:spPr>
          <c:cat>
            <c:strRef>
              <c:f>charts_type!$B$3:$B$7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charts_type!$C$3:$C$7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38-4F6A-8485-FB1C0F028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6016"/>
        <c:axId val="17615936"/>
      </c:areaChart>
      <c:catAx>
        <c:axId val="176260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615936"/>
        <c:crosses val="autoZero"/>
        <c:auto val="1"/>
        <c:lblAlgn val="ctr"/>
        <c:lblOffset val="100"/>
        <c:noMultiLvlLbl val="0"/>
      </c:catAx>
      <c:valAx>
        <c:axId val="17615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626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0925925925925923E-2"/>
          <c:w val="1"/>
          <c:h val="0.8926006124234470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F6804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68048"/>
              </a:solidFill>
              <a:ln w="9525">
                <a:solidFill>
                  <a:srgbClr val="F68048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charts_type!$B$22:$C$22</c:f>
              <c:numCache>
                <c:formatCode>General</c:formatCode>
                <c:ptCount val="2"/>
                <c:pt idx="0">
                  <c:v>4.5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E4-462B-AFA7-60FE329EED65}"/>
            </c:ext>
          </c:extLst>
        </c:ser>
        <c:ser>
          <c:idx val="1"/>
          <c:order val="1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charts_type!$B$23:$C$23</c:f>
              <c:numCache>
                <c:formatCode>General</c:formatCode>
                <c:ptCount val="2"/>
                <c:pt idx="0">
                  <c:v>3</c:v>
                </c:pt>
                <c:pt idx="1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E4-462B-AFA7-60FE329EED65}"/>
            </c:ext>
          </c:extLst>
        </c:ser>
        <c:ser>
          <c:idx val="2"/>
          <c:order val="2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charts_type!$B$24:$C$24</c:f>
              <c:numCache>
                <c:formatCode>General</c:formatCode>
                <c:ptCount val="2"/>
                <c:pt idx="0">
                  <c:v>5</c:v>
                </c:pt>
                <c:pt idx="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E4-462B-AFA7-60FE329EED65}"/>
            </c:ext>
          </c:extLst>
        </c:ser>
        <c:ser>
          <c:idx val="3"/>
          <c:order val="3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charts_type!$B$25:$C$25</c:f>
              <c:numCache>
                <c:formatCode>General</c:formatCode>
                <c:ptCount val="2"/>
                <c:pt idx="0">
                  <c:v>1</c:v>
                </c:pt>
                <c:pt idx="1">
                  <c:v>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E4-462B-AFA7-60FE329EED65}"/>
            </c:ext>
          </c:extLst>
        </c:ser>
        <c:ser>
          <c:idx val="4"/>
          <c:order val="4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charts_type!$B$26:$C$26</c:f>
              <c:numCache>
                <c:formatCode>General</c:formatCode>
                <c:ptCount val="2"/>
                <c:pt idx="0">
                  <c:v>2.9</c:v>
                </c:pt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E4-462B-AFA7-60FE329EED65}"/>
            </c:ext>
          </c:extLst>
        </c:ser>
        <c:ser>
          <c:idx val="5"/>
          <c:order val="5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charts_type!$B$27:$C$27</c:f>
              <c:numCache>
                <c:formatCode>General</c:formatCode>
                <c:ptCount val="2"/>
                <c:pt idx="0">
                  <c:v>3</c:v>
                </c:pt>
                <c:pt idx="1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65E4-462B-AFA7-60FE329EE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38176"/>
        <c:axId val="17529056"/>
      </c:lineChart>
      <c:cat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auto val="1"/>
        <c:lblAlgn val="ctr"/>
        <c:lblOffset val="100"/>
        <c:noMultiLvlLbl val="0"/>
      </c:cat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charts_type!$C$2</c:f>
              <c:strCache>
                <c:ptCount val="1"/>
                <c:pt idx="0">
                  <c:v>value</c:v>
                </c:pt>
              </c:strCache>
            </c:strRef>
          </c:tx>
          <c:dPt>
            <c:idx val="0"/>
            <c:bubble3D val="0"/>
            <c:spPr>
              <a:solidFill>
                <a:srgbClr val="0D1A6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06-4079-88AE-BE60670BD1DE}"/>
              </c:ext>
            </c:extLst>
          </c:dPt>
          <c:dPt>
            <c:idx val="1"/>
            <c:bubble3D val="0"/>
            <c:spPr>
              <a:solidFill>
                <a:srgbClr val="0D1A63">
                  <a:alpha val="9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06-4079-88AE-BE60670BD1DE}"/>
              </c:ext>
            </c:extLst>
          </c:dPt>
          <c:dPt>
            <c:idx val="2"/>
            <c:bubble3D val="0"/>
            <c:spPr>
              <a:solidFill>
                <a:srgbClr val="0D1A63">
                  <a:alpha val="7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06-4079-88AE-BE60670BD1DE}"/>
              </c:ext>
            </c:extLst>
          </c:dPt>
          <c:dPt>
            <c:idx val="3"/>
            <c:bubble3D val="0"/>
            <c:spPr>
              <a:solidFill>
                <a:srgbClr val="0D1A63">
                  <a:alpha val="5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306-4079-88AE-BE60670BD1DE}"/>
              </c:ext>
            </c:extLst>
          </c:dPt>
          <c:dPt>
            <c:idx val="4"/>
            <c:bubble3D val="0"/>
            <c:spPr>
              <a:solidFill>
                <a:srgbClr val="0D1A63">
                  <a:alpha val="4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306-4079-88AE-BE60670BD1DE}"/>
              </c:ext>
            </c:extLst>
          </c:dPt>
          <c:cat>
            <c:strRef>
              <c:f>charts_type!$B$3:$B$7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charts_type!$C$3:$C$7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06-4079-88AE-BE60670BD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0925925925925923E-2"/>
          <c:w val="1"/>
          <c:h val="0.89260061242344702"/>
        </c:manualLayout>
      </c:layout>
      <c:scatterChart>
        <c:scatterStyle val="lineMarker"/>
        <c:varyColors val="0"/>
        <c:ser>
          <c:idx val="0"/>
          <c:order val="0"/>
          <c:tx>
            <c:strRef>
              <c:f>charts_type!$C$21</c:f>
              <c:strCache>
                <c:ptCount val="1"/>
                <c:pt idx="0">
                  <c:v>value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F68048"/>
                </a:solidFill>
                <a:prstDash val="dash"/>
              </a:ln>
              <a:effectLst/>
            </c:spPr>
            <c:trendlineType val="linear"/>
            <c:dispRSqr val="0"/>
            <c:dispEq val="0"/>
          </c:trendline>
          <c:xVal>
            <c:numRef>
              <c:f>charts_type!$B$22:$B$32</c:f>
              <c:numCache>
                <c:formatCode>General</c:formatCode>
                <c:ptCount val="11"/>
                <c:pt idx="0">
                  <c:v>4.5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2.9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</c:numCache>
            </c:numRef>
          </c:xVal>
          <c:yVal>
            <c:numRef>
              <c:f>charts_type!$C$22:$C$32</c:f>
              <c:numCache>
                <c:formatCode>General</c:formatCode>
                <c:ptCount val="11"/>
                <c:pt idx="0">
                  <c:v>1</c:v>
                </c:pt>
                <c:pt idx="1">
                  <c:v>1.5</c:v>
                </c:pt>
                <c:pt idx="2">
                  <c:v>4</c:v>
                </c:pt>
                <c:pt idx="3">
                  <c:v>1.75</c:v>
                </c:pt>
                <c:pt idx="4">
                  <c:v>3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3.25</c:v>
                </c:pt>
                <c:pt idx="9">
                  <c:v>1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6E-4B66-89D5-C0C22F825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8176"/>
        <c:axId val="17529056"/>
      </c:scatter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0925925925925923E-2"/>
          <c:w val="1"/>
          <c:h val="0.89260061242344702"/>
        </c:manualLayout>
      </c:layout>
      <c:bubbleChart>
        <c:varyColors val="0"/>
        <c:ser>
          <c:idx val="0"/>
          <c:order val="0"/>
          <c:tx>
            <c:strRef>
              <c:f>charts_type!$C$21</c:f>
              <c:strCache>
                <c:ptCount val="1"/>
                <c:pt idx="0">
                  <c:v>value 2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xVal>
            <c:numRef>
              <c:f>charts_type!$B$22:$B$32</c:f>
              <c:numCache>
                <c:formatCode>General</c:formatCode>
                <c:ptCount val="11"/>
                <c:pt idx="0">
                  <c:v>4.5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2.9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</c:numCache>
            </c:numRef>
          </c:xVal>
          <c:yVal>
            <c:numRef>
              <c:f>charts_type!$C$22:$C$32</c:f>
              <c:numCache>
                <c:formatCode>General</c:formatCode>
                <c:ptCount val="11"/>
                <c:pt idx="0">
                  <c:v>1</c:v>
                </c:pt>
                <c:pt idx="1">
                  <c:v>1.5</c:v>
                </c:pt>
                <c:pt idx="2">
                  <c:v>4</c:v>
                </c:pt>
                <c:pt idx="3">
                  <c:v>1.75</c:v>
                </c:pt>
                <c:pt idx="4">
                  <c:v>3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3.25</c:v>
                </c:pt>
                <c:pt idx="9">
                  <c:v>1</c:v>
                </c:pt>
                <c:pt idx="10">
                  <c:v>2</c:v>
                </c:pt>
              </c:numCache>
            </c:numRef>
          </c:yVal>
          <c:bubbleSize>
            <c:numRef>
              <c:f>charts_type!$D$22:$D$32</c:f>
              <c:numCache>
                <c:formatCode>General</c:formatCode>
                <c:ptCount val="11"/>
                <c:pt idx="0">
                  <c:v>5</c:v>
                </c:pt>
                <c:pt idx="1">
                  <c:v>3</c:v>
                </c:pt>
                <c:pt idx="2">
                  <c:v>0.6</c:v>
                </c:pt>
                <c:pt idx="3">
                  <c:v>0.6</c:v>
                </c:pt>
                <c:pt idx="4">
                  <c:v>0.4</c:v>
                </c:pt>
                <c:pt idx="5">
                  <c:v>0.6</c:v>
                </c:pt>
                <c:pt idx="6">
                  <c:v>0.5</c:v>
                </c:pt>
                <c:pt idx="7">
                  <c:v>0.9</c:v>
                </c:pt>
                <c:pt idx="8">
                  <c:v>0.5</c:v>
                </c:pt>
                <c:pt idx="9">
                  <c:v>0.1</c:v>
                </c:pt>
                <c:pt idx="10">
                  <c:v>0.6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C752-4D2D-B8A0-3332F8A87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7538176"/>
        <c:axId val="17529056"/>
      </c:bubble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0434817357920706"/>
          <c:w val="1"/>
          <c:h val="0.89260061242344702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7538176"/>
        <c:axId val="17529056"/>
      </c:scatter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0434817357920706"/>
          <c:w val="1"/>
          <c:h val="0.89260061242344702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7538176"/>
        <c:axId val="17529056"/>
      </c:scatter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tockChart>
        <c:ser>
          <c:idx val="0"/>
          <c:order val="0"/>
          <c:tx>
            <c:strRef>
              <c:f>charts_type!$C$93</c:f>
              <c:strCache>
                <c:ptCount val="1"/>
                <c:pt idx="0">
                  <c:v>Open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charts_type!$B$94:$B$103</c:f>
              <c:numCache>
                <c:formatCode>d\-mmm</c:formatCode>
                <c:ptCount val="10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</c:numCache>
            </c:numRef>
          </c:cat>
          <c:val>
            <c:numRef>
              <c:f>charts_type!$C$94:$C$103</c:f>
              <c:numCache>
                <c:formatCode>General</c:formatCode>
                <c:ptCount val="10"/>
                <c:pt idx="0">
                  <c:v>142.5</c:v>
                </c:pt>
                <c:pt idx="1">
                  <c:v>146.80000000000001</c:v>
                </c:pt>
                <c:pt idx="2">
                  <c:v>145.19999999999999</c:v>
                </c:pt>
                <c:pt idx="3">
                  <c:v>143</c:v>
                </c:pt>
                <c:pt idx="4">
                  <c:v>148.69999999999999</c:v>
                </c:pt>
                <c:pt idx="5">
                  <c:v>151.4</c:v>
                </c:pt>
                <c:pt idx="6">
                  <c:v>149.5</c:v>
                </c:pt>
                <c:pt idx="7">
                  <c:v>150.80000000000001</c:v>
                </c:pt>
                <c:pt idx="8">
                  <c:v>155</c:v>
                </c:pt>
                <c:pt idx="9">
                  <c:v>153.30000000000001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46-4BDF-9228-EE9AEFC98BA0}"/>
            </c:ext>
          </c:extLst>
        </c:ser>
        <c:ser>
          <c:idx val="1"/>
          <c:order val="1"/>
          <c:tx>
            <c:strRef>
              <c:f>charts_type!$D$93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charts_type!$B$94:$B$103</c:f>
              <c:numCache>
                <c:formatCode>d\-mmm</c:formatCode>
                <c:ptCount val="10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</c:numCache>
            </c:numRef>
          </c:cat>
          <c:val>
            <c:numRef>
              <c:f>charts_type!$D$94:$D$103</c:f>
              <c:numCache>
                <c:formatCode>General</c:formatCode>
                <c:ptCount val="10"/>
                <c:pt idx="0">
                  <c:v>148.19999999999999</c:v>
                </c:pt>
                <c:pt idx="1">
                  <c:v>150.30000000000001</c:v>
                </c:pt>
                <c:pt idx="2">
                  <c:v>147.9</c:v>
                </c:pt>
                <c:pt idx="3">
                  <c:v>149.5</c:v>
                </c:pt>
                <c:pt idx="4">
                  <c:v>153.1</c:v>
                </c:pt>
                <c:pt idx="5">
                  <c:v>154.80000000000001</c:v>
                </c:pt>
                <c:pt idx="6">
                  <c:v>152</c:v>
                </c:pt>
                <c:pt idx="7">
                  <c:v>156.19999999999999</c:v>
                </c:pt>
                <c:pt idx="8">
                  <c:v>157.5</c:v>
                </c:pt>
                <c:pt idx="9">
                  <c:v>158.9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46-4BDF-9228-EE9AEFC98BA0}"/>
            </c:ext>
          </c:extLst>
        </c:ser>
        <c:ser>
          <c:idx val="2"/>
          <c:order val="2"/>
          <c:tx>
            <c:strRef>
              <c:f>charts_type!$E$93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charts_type!$B$94:$B$103</c:f>
              <c:numCache>
                <c:formatCode>d\-mmm</c:formatCode>
                <c:ptCount val="10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</c:numCache>
            </c:numRef>
          </c:cat>
          <c:val>
            <c:numRef>
              <c:f>charts_type!$E$94:$E$103</c:f>
              <c:numCache>
                <c:formatCode>General</c:formatCode>
                <c:ptCount val="10"/>
                <c:pt idx="0">
                  <c:v>140.1</c:v>
                </c:pt>
                <c:pt idx="1">
                  <c:v>144.5</c:v>
                </c:pt>
                <c:pt idx="2">
                  <c:v>141.80000000000001</c:v>
                </c:pt>
                <c:pt idx="3">
                  <c:v>142.30000000000001</c:v>
                </c:pt>
                <c:pt idx="4">
                  <c:v>147</c:v>
                </c:pt>
                <c:pt idx="5">
                  <c:v>148.9</c:v>
                </c:pt>
                <c:pt idx="6">
                  <c:v>146.30000000000001</c:v>
                </c:pt>
                <c:pt idx="7">
                  <c:v>149.69999999999999</c:v>
                </c:pt>
                <c:pt idx="8">
                  <c:v>152.1</c:v>
                </c:pt>
                <c:pt idx="9">
                  <c:v>151.5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46-4BDF-9228-EE9AEFC98BA0}"/>
            </c:ext>
          </c:extLst>
        </c:ser>
        <c:ser>
          <c:idx val="3"/>
          <c:order val="3"/>
          <c:tx>
            <c:strRef>
              <c:f>charts_type!$F$93</c:f>
              <c:strCache>
                <c:ptCount val="1"/>
                <c:pt idx="0">
                  <c:v>Close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charts_type!$B$94:$B$103</c:f>
              <c:numCache>
                <c:formatCode>d\-mmm</c:formatCode>
                <c:ptCount val="10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</c:numCache>
            </c:numRef>
          </c:cat>
          <c:val>
            <c:numRef>
              <c:f>charts_type!$F$94:$F$103</c:f>
              <c:numCache>
                <c:formatCode>General</c:formatCode>
                <c:ptCount val="10"/>
                <c:pt idx="0">
                  <c:v>146.80000000000001</c:v>
                </c:pt>
                <c:pt idx="1">
                  <c:v>145.19999999999999</c:v>
                </c:pt>
                <c:pt idx="2">
                  <c:v>143</c:v>
                </c:pt>
                <c:pt idx="3">
                  <c:v>148.69999999999999</c:v>
                </c:pt>
                <c:pt idx="4">
                  <c:v>151.4</c:v>
                </c:pt>
                <c:pt idx="5">
                  <c:v>149.5</c:v>
                </c:pt>
                <c:pt idx="6">
                  <c:v>150.80000000000001</c:v>
                </c:pt>
                <c:pt idx="7">
                  <c:v>155</c:v>
                </c:pt>
                <c:pt idx="8">
                  <c:v>153.30000000000001</c:v>
                </c:pt>
                <c:pt idx="9">
                  <c:v>157.6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B46-4BDF-9228-EE9AEFC98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rgbClr val="0D1A63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rgbClr val="A8B4DE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1623173151"/>
        <c:axId val="1623167391"/>
      </c:stockChart>
      <c:dateAx>
        <c:axId val="1623173151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1623167391"/>
        <c:crosses val="autoZero"/>
        <c:auto val="1"/>
        <c:lblOffset val="100"/>
        <c:baseTimeUnit val="days"/>
      </c:dateAx>
      <c:valAx>
        <c:axId val="16231673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23173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0434817357920706"/>
          <c:w val="1"/>
          <c:h val="0.89260061242344702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7538176"/>
        <c:axId val="17529056"/>
      </c:scatter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_xlchart.v1.14</cx:f>
      </cx:strDim>
      <cx:numDim type="val">
        <cx:f>_xlchart.v1.16</cx:f>
      </cx:numDim>
    </cx:data>
  </cx:chartData>
  <cx:chart>
    <cx:plotArea>
      <cx:plotAreaRegion>
        <cx:plotSurface>
          <cx:spPr>
            <a:noFill/>
          </cx:spPr>
        </cx:plotSurface>
        <cx:series layoutId="waterfall" uniqueId="{00000000-2C05-4C97-AD5C-60117F7EEE6B}">
          <cx:tx>
            <cx:txData>
              <cx:f>_xlchart.v1.15</cx:f>
              <cx:v>Value</cx:v>
            </cx:txData>
          </cx:tx>
          <cx:dataPt idx="0">
            <cx:spPr>
              <a:solidFill>
                <a:srgbClr val="0D1A63"/>
              </a:solidFill>
            </cx:spPr>
          </cx:dataPt>
          <cx:dataPt idx="1">
            <cx:spPr>
              <a:solidFill>
                <a:srgbClr val="A8B4DE"/>
              </a:solidFill>
            </cx:spPr>
          </cx:dataPt>
          <cx:dataPt idx="2">
            <cx:spPr>
              <a:solidFill>
                <a:srgbClr val="0D1A63"/>
              </a:solidFill>
            </cx:spPr>
          </cx:dataPt>
          <cx:dataPt idx="3">
            <cx:spPr>
              <a:solidFill>
                <a:srgbClr val="A8B4DE"/>
              </a:solidFill>
            </cx:spPr>
          </cx:dataPt>
          <cx:dataId val="0"/>
          <cx:layoutPr>
            <cx:subtotals/>
          </cx:layoutPr>
        </cx:series>
      </cx:plotAreaRegion>
      <cx:axis id="0" hidden="1">
        <cx:catScaling gapWidth="0.150000006"/>
        <cx:tickLabels/>
      </cx:axis>
      <cx:axis id="1" hidden="1">
        <cx:valScaling/>
        <cx:tickLabels/>
      </cx:axis>
    </cx:plotArea>
  </cx:chart>
  <cx:spPr>
    <a:solidFill>
      <a:srgbClr val="F5F6FA"/>
    </a:solidFill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_xlchart.v2.9</cx:f>
      </cx:strDim>
      <cx:numDim type="val">
        <cx:f>_xlchart.v2.12</cx:f>
      </cx:numDim>
    </cx:data>
  </cx:chartData>
  <cx:chart>
    <cx:plotArea>
      <cx:plotAreaRegion>
        <cx:plotSurface>
          <cx:spPr>
            <a:noFill/>
            <a:ln>
              <a:noFill/>
            </a:ln>
          </cx:spPr>
        </cx:plotSurface>
        <cx:series layoutId="funnel" uniqueId="{3F3011FD-4AD9-4D76-8538-5C5766646904}">
          <cx:tx>
            <cx:txData>
              <cx:f>_xlchart.v2.11</cx:f>
              <cx:v>Count</cx:v>
            </cx:txData>
          </cx:tx>
          <cx:spPr>
            <a:solidFill>
              <a:srgbClr val="0D1A63"/>
            </a:solidFill>
          </cx:spPr>
          <cx:dataPt idx="1">
            <cx:spPr>
              <a:solidFill>
                <a:srgbClr val="5B73C4"/>
              </a:solidFill>
            </cx:spPr>
          </cx:dataPt>
          <cx:dataPt idx="2">
            <cx:spPr>
              <a:solidFill>
                <a:srgbClr val="A8B4DE"/>
              </a:solidFill>
            </cx:spPr>
          </cx:dataPt>
          <cx:dataPt idx="3">
            <cx:spPr>
              <a:solidFill>
                <a:srgbClr val="5B73C4"/>
              </a:solidFill>
            </cx:spPr>
          </cx:dataPt>
          <cx:dataPt idx="4">
            <cx:spPr>
              <a:solidFill>
                <a:srgbClr val="A8B4DE"/>
              </a:solidFill>
            </cx:spPr>
          </cx:dataPt>
          <cx:dataId val="0"/>
        </cx:series>
      </cx:plotAreaRegion>
      <cx:axis id="1" hidden="1">
        <cx:catScaling gapWidth="0.0599999987"/>
        <cx:tickLabels/>
      </cx:axis>
    </cx:plotArea>
  </cx:chart>
  <cx:spPr>
    <a:noFill/>
    <a:ln>
      <a:noFill/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Sales by Category</cx:v>
        </cx:txData>
      </cx:tx>
      <cx:txPr>
        <a:bodyPr vertOverflow="overflow" horzOverflow="overflow" wrap="square" lIns="0" tIns="0" rIns="0" bIns="0"/>
        <a:lstStyle/>
        <a:p>
          <a:pPr algn="ctr" rtl="0">
            <a:defRPr sz="1300" b="0" i="0">
              <a:solidFill>
                <a:srgbClr val="333333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n-US" sz="1300" b="0">
              <a:solidFill>
                <a:srgbClr val="333333"/>
              </a:solidFill>
            </a:rPr>
            <a:t>Sales by Category</a:t>
          </a:r>
        </a:p>
      </cx:txPr>
    </cx:title>
    <cx:plotArea>
      <cx:plotAreaRegion>
        <cx:series layoutId="treemap" uniqueId="{00000001-EE71-40D9-9EB3-BA14A4361BBC}">
          <cx:tx>
            <cx:txData>
              <cx:f>_xlchart.v1.1</cx:f>
              <cx:v>Value</cx:v>
            </cx:txData>
          </cx:tx>
          <cx:dataLabels pos="in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rgbClr val="FFFFFF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US" sz="900"/>
              </a:p>
            </cx:txPr>
            <cx:visibility seriesName="0" categoryName="1" value="1"/>
          </cx:dataLabels>
          <cx:dataId val="0"/>
          <cx:layoutPr>
            <cx:parentLabelLayout val="overlapping"/>
          </cx:layoutPr>
        </cx:series>
      </cx:plotAreaRegion>
    </cx:plotArea>
    <cx:legend pos="b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rgbClr val="555555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 sz="900">
            <a:solidFill>
              <a:srgbClr val="555555"/>
            </a:solidFill>
          </a:endParaRPr>
        </a:p>
      </cx:txPr>
    </cx:legend>
  </cx:chart>
  <cx:spPr>
    <a:solidFill>
      <a:srgbClr val="FFFFFF"/>
    </a:solidFill>
  </cx:spPr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txData>
          <cx:v>Chart Title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rgbClr val="F5F6FA"/>
              </a:solidFill>
            </a:defRPr>
          </a:pPr>
          <a:r>
            <a:rPr lang="en-US" sz="1400" b="0" i="0" u="none" strike="noStrike" baseline="0">
              <a:solidFill>
                <a:srgbClr val="F5F6FA"/>
              </a:solidFill>
              <a:latin typeface="Calibri" panose="020F0502020204030204"/>
            </a:rPr>
            <a:t>Chart Title</a:t>
          </a:r>
        </a:p>
      </cx:txPr>
    </cx:title>
    <cx:plotArea>
      <cx:plotAreaRegion>
        <cx:series layoutId="treemap" uniqueId="{00000000-9DAB-4151-8EF1-48D2B12189FF}">
          <cx:tx>
            <cx:txData>
              <cx:f>_xlchart.v1.4</cx:f>
              <cx:v>Value</cx:v>
            </cx:txData>
          </cx:tx>
          <cx:dataPt idx="0">
            <cx:spPr>
              <a:solidFill>
                <a:srgbClr val="0D1A63"/>
              </a:solidFill>
            </cx:spPr>
          </cx:dataPt>
          <cx:dataPt idx="1">
            <cx:spPr>
              <a:solidFill>
                <a:srgbClr val="5B73C4"/>
              </a:solidFill>
            </cx:spPr>
          </cx:dataPt>
          <cx:dataPt idx="2">
            <cx:spPr>
              <a:solidFill>
                <a:srgbClr val="7E7E7E"/>
              </a:solidFill>
            </cx:spPr>
          </cx:dataPt>
          <cx:dataPt idx="3">
            <cx:spPr>
              <a:solidFill>
                <a:srgbClr val="A8B4DE">
                  <a:alpha val="80000"/>
                </a:srgbClr>
              </a:solidFill>
            </cx:spPr>
          </cx:dataPt>
          <cx:dataPt idx="4">
            <cx:spPr>
              <a:solidFill>
                <a:srgbClr val="A8B4DE"/>
              </a:solidFill>
            </cx:spPr>
          </cx:dataPt>
          <cx:dataId val="0"/>
          <cx:layoutPr>
            <cx:parentLabelLayout val="overlapping"/>
          </cx:layoutPr>
        </cx:series>
      </cx:plotAreaRegion>
    </cx:plotArea>
  </cx:chart>
  <cx:spPr>
    <a:solidFill>
      <a:srgbClr val="F5F6FA"/>
    </a:solidFill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microsoft.com/office/2014/relationships/chartEx" Target="../charts/chartEx2.xml"/><Relationship Id="rId18" Type="http://schemas.openxmlformats.org/officeDocument/2006/relationships/image" Target="../media/image3.png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microsoft.com/office/2014/relationships/chartEx" Target="../charts/chartEx1.xml"/><Relationship Id="rId17" Type="http://schemas.openxmlformats.org/officeDocument/2006/relationships/chart" Target="../charts/chart13.xml"/><Relationship Id="rId2" Type="http://schemas.openxmlformats.org/officeDocument/2006/relationships/chart" Target="../charts/chart4.xml"/><Relationship Id="rId16" Type="http://schemas.microsoft.com/office/2014/relationships/chartEx" Target="../charts/chartEx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image" Target="../media/image2.png"/><Relationship Id="rId5" Type="http://schemas.openxmlformats.org/officeDocument/2006/relationships/chart" Target="../charts/chart7.xml"/><Relationship Id="rId15" Type="http://schemas.microsoft.com/office/2014/relationships/chartEx" Target="../charts/chartEx3.xml"/><Relationship Id="rId10" Type="http://schemas.openxmlformats.org/officeDocument/2006/relationships/chart" Target="../charts/chart11.xml"/><Relationship Id="rId4" Type="http://schemas.openxmlformats.org/officeDocument/2006/relationships/chart" Target="../charts/chart6.xml"/><Relationship Id="rId9" Type="http://schemas.openxmlformats.org/officeDocument/2006/relationships/image" Target="../media/image1.png"/><Relationship Id="rId1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266059</xdr:colOff>
      <xdr:row>2</xdr:row>
      <xdr:rowOff>80241</xdr:rowOff>
    </xdr:from>
    <xdr:to>
      <xdr:col>18</xdr:col>
      <xdr:colOff>218438</xdr:colOff>
      <xdr:row>16</xdr:row>
      <xdr:rowOff>127209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B377361D-4E97-962B-0AD6-BCD220A56E6A}"/>
            </a:ext>
          </a:extLst>
        </xdr:cNvPr>
        <xdr:cNvGrpSpPr/>
      </xdr:nvGrpSpPr>
      <xdr:grpSpPr>
        <a:xfrm>
          <a:off x="7043463" y="475895"/>
          <a:ext cx="4209321" cy="2757929"/>
          <a:chOff x="8018078" y="1146448"/>
          <a:chExt cx="4228772" cy="2740244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02165AA5-1B8D-53C6-C813-5F8CE4228D25}"/>
              </a:ext>
            </a:extLst>
          </xdr:cNvPr>
          <xdr:cNvGraphicFramePr/>
        </xdr:nvGraphicFramePr>
        <xdr:xfrm>
          <a:off x="8018078" y="1146448"/>
          <a:ext cx="4228772" cy="274024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cxnSp macro="">
        <xdr:nvCxnSpPr>
          <xdr:cNvPr id="4" name="Straight Connector 3">
            <a:extLst>
              <a:ext uri="{FF2B5EF4-FFF2-40B4-BE49-F238E27FC236}">
                <a16:creationId xmlns:a16="http://schemas.microsoft.com/office/drawing/2014/main" id="{FA548759-ACD2-A9C9-0275-B37A38790A70}"/>
              </a:ext>
            </a:extLst>
          </xdr:cNvPr>
          <xdr:cNvCxnSpPr/>
        </xdr:nvCxnSpPr>
        <xdr:spPr>
          <a:xfrm>
            <a:off x="11148848" y="1891205"/>
            <a:ext cx="371475" cy="0"/>
          </a:xfrm>
          <a:prstGeom prst="line">
            <a:avLst/>
          </a:prstGeom>
          <a:ln w="9525">
            <a:solidFill>
              <a:srgbClr val="7E7E7E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Straight Connector 4">
            <a:extLst>
              <a:ext uri="{FF2B5EF4-FFF2-40B4-BE49-F238E27FC236}">
                <a16:creationId xmlns:a16="http://schemas.microsoft.com/office/drawing/2014/main" id="{A218037F-1A04-4B13-BED7-29956574CAAC}"/>
              </a:ext>
            </a:extLst>
          </xdr:cNvPr>
          <xdr:cNvCxnSpPr/>
        </xdr:nvCxnSpPr>
        <xdr:spPr>
          <a:xfrm flipV="1">
            <a:off x="10490309" y="2226879"/>
            <a:ext cx="1018519" cy="7226"/>
          </a:xfrm>
          <a:prstGeom prst="line">
            <a:avLst/>
          </a:prstGeom>
          <a:ln w="9525">
            <a:solidFill>
              <a:srgbClr val="7E7E7E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4F0C07C-A217-A9CD-8CDA-CD2C48EFB15F}"/>
              </a:ext>
            </a:extLst>
          </xdr:cNvPr>
          <xdr:cNvSpPr txBox="1"/>
        </xdr:nvSpPr>
        <xdr:spPr>
          <a:xfrm>
            <a:off x="11344604" y="1931276"/>
            <a:ext cx="343235" cy="261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 b="1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16</a:t>
            </a:r>
          </a:p>
        </xdr:txBody>
      </xdr:sp>
    </xdr:grpSp>
    <xdr:clientData/>
  </xdr:twoCellAnchor>
  <xdr:twoCellAnchor>
    <xdr:from>
      <xdr:col>0</xdr:col>
      <xdr:colOff>414775</xdr:colOff>
      <xdr:row>11</xdr:row>
      <xdr:rowOff>164318</xdr:rowOff>
    </xdr:from>
    <xdr:to>
      <xdr:col>7</xdr:col>
      <xdr:colOff>281928</xdr:colOff>
      <xdr:row>26</xdr:row>
      <xdr:rowOff>47062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39C7103-32FB-7ACB-7DB9-162F0865CF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52388</xdr:colOff>
      <xdr:row>1</xdr:row>
      <xdr:rowOff>4761</xdr:rowOff>
    </xdr:from>
    <xdr:to>
      <xdr:col>11</xdr:col>
      <xdr:colOff>447676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A08145-48A4-A370-5783-1F831FB1C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514351</xdr:colOff>
      <xdr:row>1</xdr:row>
      <xdr:rowOff>14287</xdr:rowOff>
    </xdr:from>
    <xdr:to>
      <xdr:col>16</xdr:col>
      <xdr:colOff>209551</xdr:colOff>
      <xdr:row>15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18D3045-F1FB-A7C4-E90E-EC585A3075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276225</xdr:colOff>
      <xdr:row>0</xdr:row>
      <xdr:rowOff>190499</xdr:rowOff>
    </xdr:from>
    <xdr:to>
      <xdr:col>20</xdr:col>
      <xdr:colOff>566738</xdr:colOff>
      <xdr:row>16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0E9AB43-A54E-41AF-95CF-BC4AC756E0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90487</xdr:colOff>
      <xdr:row>1</xdr:row>
      <xdr:rowOff>4762</xdr:rowOff>
    </xdr:from>
    <xdr:to>
      <xdr:col>25</xdr:col>
      <xdr:colOff>323850</xdr:colOff>
      <xdr:row>16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CE9AF5-FBB3-8636-66B4-3D77F5B580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57150</xdr:colOff>
      <xdr:row>16</xdr:row>
      <xdr:rowOff>85725</xdr:rowOff>
    </xdr:from>
    <xdr:to>
      <xdr:col>11</xdr:col>
      <xdr:colOff>452438</xdr:colOff>
      <xdr:row>31</xdr:row>
      <xdr:rowOff>80964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1BC1BCB-3060-4E52-B764-CD3FD231BE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76200</xdr:colOff>
      <xdr:row>33</xdr:row>
      <xdr:rowOff>104775</xdr:rowOff>
    </xdr:from>
    <xdr:to>
      <xdr:col>11</xdr:col>
      <xdr:colOff>419100</xdr:colOff>
      <xdr:row>48</xdr:row>
      <xdr:rowOff>100013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4F8DF8E-95B7-4AB3-B429-823416EFB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33</xdr:row>
      <xdr:rowOff>95250</xdr:rowOff>
    </xdr:from>
    <xdr:to>
      <xdr:col>16</xdr:col>
      <xdr:colOff>342900</xdr:colOff>
      <xdr:row>48</xdr:row>
      <xdr:rowOff>90488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CAD848E-1BA3-4DCA-BDE1-292AF3499A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76200</xdr:colOff>
      <xdr:row>50</xdr:row>
      <xdr:rowOff>161925</xdr:rowOff>
    </xdr:from>
    <xdr:to>
      <xdr:col>11</xdr:col>
      <xdr:colOff>419100</xdr:colOff>
      <xdr:row>65</xdr:row>
      <xdr:rowOff>157163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D90E9264-6759-DF8B-C5D6-3C9C85B5C435}"/>
            </a:ext>
          </a:extLst>
        </xdr:cNvPr>
        <xdr:cNvGrpSpPr/>
      </xdr:nvGrpSpPr>
      <xdr:grpSpPr>
        <a:xfrm>
          <a:off x="4054288" y="9686925"/>
          <a:ext cx="2763371" cy="2852738"/>
          <a:chOff x="8534400" y="10668000"/>
          <a:chExt cx="2781300" cy="2852738"/>
        </a:xfrm>
      </xdr:grpSpPr>
      <xdr:graphicFrame macro="">
        <xdr:nvGraphicFramePr>
          <xdr:cNvPr id="12" name="Chart 11">
            <a:extLst>
              <a:ext uri="{FF2B5EF4-FFF2-40B4-BE49-F238E27FC236}">
                <a16:creationId xmlns:a16="http://schemas.microsoft.com/office/drawing/2014/main" id="{86081BB0-4679-4D27-A0A6-02464469E521}"/>
              </a:ext>
            </a:extLst>
          </xdr:cNvPr>
          <xdr:cNvGraphicFramePr>
            <a:graphicFrameLocks/>
          </xdr:cNvGraphicFramePr>
        </xdr:nvGraphicFramePr>
        <xdr:xfrm>
          <a:off x="8534400" y="10668000"/>
          <a:ext cx="2781300" cy="28527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F509E5C4-517D-5B64-D294-1F4595DC755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562976" y="10877550"/>
            <a:ext cx="2705100" cy="258365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16</xdr:col>
      <xdr:colOff>590550</xdr:colOff>
      <xdr:row>33</xdr:row>
      <xdr:rowOff>114300</xdr:rowOff>
    </xdr:from>
    <xdr:to>
      <xdr:col>21</xdr:col>
      <xdr:colOff>323850</xdr:colOff>
      <xdr:row>48</xdr:row>
      <xdr:rowOff>109538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5140ADE9-703A-6C89-4FC3-5AAAF6A73A8D}"/>
            </a:ext>
          </a:extLst>
        </xdr:cNvPr>
        <xdr:cNvGrpSpPr/>
      </xdr:nvGrpSpPr>
      <xdr:grpSpPr>
        <a:xfrm>
          <a:off x="10014697" y="6400800"/>
          <a:ext cx="2758888" cy="2852738"/>
          <a:chOff x="10868025" y="6400800"/>
          <a:chExt cx="2781300" cy="2852738"/>
        </a:xfrm>
      </xdr:grpSpPr>
      <xdr:graphicFrame macro="">
        <xdr:nvGraphicFramePr>
          <xdr:cNvPr id="16" name="Chart 15">
            <a:extLst>
              <a:ext uri="{FF2B5EF4-FFF2-40B4-BE49-F238E27FC236}">
                <a16:creationId xmlns:a16="http://schemas.microsoft.com/office/drawing/2014/main" id="{B2949B6F-3995-4E0E-9878-DE8E9A0EBEB1}"/>
              </a:ext>
            </a:extLst>
          </xdr:cNvPr>
          <xdr:cNvGraphicFramePr>
            <a:graphicFrameLocks/>
          </xdr:cNvGraphicFramePr>
        </xdr:nvGraphicFramePr>
        <xdr:xfrm>
          <a:off x="10868025" y="6400800"/>
          <a:ext cx="2781300" cy="28527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pic>
        <xdr:nvPicPr>
          <xdr:cNvPr id="15" name="Picture 14">
            <a:extLst>
              <a:ext uri="{FF2B5EF4-FFF2-40B4-BE49-F238E27FC236}">
                <a16:creationId xmlns:a16="http://schemas.microsoft.com/office/drawing/2014/main" id="{AABE4096-8496-77D3-B31A-FBE3AD00E09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0982325" y="6829425"/>
            <a:ext cx="2663189" cy="221932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11</xdr:col>
      <xdr:colOff>504826</xdr:colOff>
      <xdr:row>16</xdr:row>
      <xdr:rowOff>104776</xdr:rowOff>
    </xdr:from>
    <xdr:to>
      <xdr:col>16</xdr:col>
      <xdr:colOff>200025</xdr:colOff>
      <xdr:row>31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Chart 17">
              <a:extLst>
                <a:ext uri="{FF2B5EF4-FFF2-40B4-BE49-F238E27FC236}">
                  <a16:creationId xmlns:a16="http://schemas.microsoft.com/office/drawing/2014/main" id="{437F533E-2FA2-D1DB-E632-F8EB8F8B7C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34301" y="3152776"/>
              <a:ext cx="2743199" cy="2847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20</xdr:col>
      <xdr:colOff>393885</xdr:colOff>
      <xdr:row>74</xdr:row>
      <xdr:rowOff>141474</xdr:rowOff>
    </xdr:from>
    <xdr:to>
      <xdr:col>27</xdr:col>
      <xdr:colOff>212911</xdr:colOff>
      <xdr:row>89</xdr:row>
      <xdr:rowOff>174812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0" name="Chart 19">
              <a:extLst>
                <a:ext uri="{FF2B5EF4-FFF2-40B4-BE49-F238E27FC236}">
                  <a16:creationId xmlns:a16="http://schemas.microsoft.com/office/drawing/2014/main" id="{A641DC5D-D8A9-C5F3-2AF7-F917C9498E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38503" y="14238474"/>
              <a:ext cx="4054849" cy="28908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266699</xdr:colOff>
      <xdr:row>16</xdr:row>
      <xdr:rowOff>157162</xdr:rowOff>
    </xdr:from>
    <xdr:to>
      <xdr:col>20</xdr:col>
      <xdr:colOff>581024</xdr:colOff>
      <xdr:row>31</xdr:row>
      <xdr:rowOff>95250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EC01E9C-E73D-792B-F368-FF7841653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349250</xdr:colOff>
      <xdr:row>186</xdr:row>
      <xdr:rowOff>38100</xdr:rowOff>
    </xdr:from>
    <xdr:to>
      <xdr:col>16</xdr:col>
      <xdr:colOff>193675</xdr:colOff>
      <xdr:row>208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3" name="Chart 22">
              <a:extLst>
                <a:ext uri="{FF2B5EF4-FFF2-40B4-BE49-F238E27FC236}">
                  <a16:creationId xmlns:a16="http://schemas.microsoft.com/office/drawing/2014/main" id="{289A3C1A-CD66-31C6-5B73-51561D2E43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02000" y="38100000"/>
              <a:ext cx="6350000" cy="4318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96270</xdr:colOff>
      <xdr:row>16</xdr:row>
      <xdr:rowOff>137347</xdr:rowOff>
    </xdr:from>
    <xdr:to>
      <xdr:col>25</xdr:col>
      <xdr:colOff>336176</xdr:colOff>
      <xdr:row>31</xdr:row>
      <xdr:rowOff>89647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4" name="Chart 23">
              <a:extLst>
                <a:ext uri="{FF2B5EF4-FFF2-40B4-BE49-F238E27FC236}">
                  <a16:creationId xmlns:a16="http://schemas.microsoft.com/office/drawing/2014/main" id="{E8160011-25D3-BFD2-BF47-955F5BDF2B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46005" y="3185347"/>
              <a:ext cx="2660377" cy="280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515470</xdr:colOff>
      <xdr:row>50</xdr:row>
      <xdr:rowOff>156882</xdr:rowOff>
    </xdr:from>
    <xdr:to>
      <xdr:col>24</xdr:col>
      <xdr:colOff>560294</xdr:colOff>
      <xdr:row>65</xdr:row>
      <xdr:rowOff>152120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B928238C-7D83-79A5-4528-4B7448603808}"/>
            </a:ext>
          </a:extLst>
        </xdr:cNvPr>
        <xdr:cNvGrpSpPr/>
      </xdr:nvGrpSpPr>
      <xdr:grpSpPr>
        <a:xfrm>
          <a:off x="9939617" y="9681882"/>
          <a:ext cx="4885765" cy="2852738"/>
          <a:chOff x="9939617" y="9681882"/>
          <a:chExt cx="4885765" cy="2852738"/>
        </a:xfrm>
      </xdr:grpSpPr>
      <xdr:graphicFrame macro="">
        <xdr:nvGraphicFramePr>
          <xdr:cNvPr id="26" name="Chart 25">
            <a:extLst>
              <a:ext uri="{FF2B5EF4-FFF2-40B4-BE49-F238E27FC236}">
                <a16:creationId xmlns:a16="http://schemas.microsoft.com/office/drawing/2014/main" id="{31211B92-F467-4530-AE38-9EF3896EE868}"/>
              </a:ext>
            </a:extLst>
          </xdr:cNvPr>
          <xdr:cNvGraphicFramePr>
            <a:graphicFrameLocks/>
          </xdr:cNvGraphicFramePr>
        </xdr:nvGraphicFramePr>
        <xdr:xfrm>
          <a:off x="9939617" y="9681882"/>
          <a:ext cx="4885765" cy="28527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7"/>
          </a:graphicData>
        </a:graphic>
      </xdr:graphicFrame>
      <xdr:pic>
        <xdr:nvPicPr>
          <xdr:cNvPr id="25" name="Picture 24">
            <a:extLst>
              <a:ext uri="{FF2B5EF4-FFF2-40B4-BE49-F238E27FC236}">
                <a16:creationId xmlns:a16="http://schemas.microsoft.com/office/drawing/2014/main" id="{C0CA5BA9-4962-A3AE-D71A-C4CCAF3C344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0051675" y="9863243"/>
            <a:ext cx="4661649" cy="260890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6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2392C4-0480-4299-8F82-B62F68B4477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58476eb-d913-4a9a-8987-33260d2782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A0927-2471-4F39-AB76-57E2EE959C0E}">
  <dimension ref="A1:M30"/>
  <sheetViews>
    <sheetView showGridLines="0" zoomScale="130" zoomScaleNormal="130" workbookViewId="0">
      <selection activeCell="E34" sqref="E34"/>
    </sheetView>
  </sheetViews>
  <sheetFormatPr defaultRowHeight="15" x14ac:dyDescent="0.25"/>
  <cols>
    <col min="2" max="2" width="10.42578125" customWidth="1"/>
  </cols>
  <sheetData>
    <row r="1" spans="1:5" ht="15.75" thickBot="1" x14ac:dyDescent="0.3">
      <c r="A1" s="5" t="s">
        <v>0</v>
      </c>
      <c r="B1" s="5" t="s">
        <v>1</v>
      </c>
      <c r="C1" t="s">
        <v>8</v>
      </c>
    </row>
    <row r="2" spans="1:5" ht="15.75" thickBot="1" x14ac:dyDescent="0.3">
      <c r="A2" s="2" t="s">
        <v>2</v>
      </c>
      <c r="B2" s="2">
        <v>42</v>
      </c>
    </row>
    <row r="3" spans="1:5" ht="15.75" thickBot="1" x14ac:dyDescent="0.3">
      <c r="A3" s="3" t="s">
        <v>3</v>
      </c>
      <c r="B3" s="3">
        <v>55</v>
      </c>
    </row>
    <row r="4" spans="1:5" ht="15.75" thickBot="1" x14ac:dyDescent="0.3">
      <c r="A4" s="2" t="s">
        <v>4</v>
      </c>
      <c r="B4" s="2">
        <v>48</v>
      </c>
    </row>
    <row r="5" spans="1:5" ht="15.75" thickBot="1" x14ac:dyDescent="0.3">
      <c r="A5" s="3" t="s">
        <v>5</v>
      </c>
      <c r="B5" s="3">
        <v>62</v>
      </c>
      <c r="C5">
        <v>62</v>
      </c>
    </row>
    <row r="6" spans="1:5" ht="15.75" thickBot="1" x14ac:dyDescent="0.3">
      <c r="A6" s="2" t="s">
        <v>6</v>
      </c>
      <c r="B6" s="2">
        <v>78</v>
      </c>
      <c r="C6">
        <v>62</v>
      </c>
      <c r="D6" s="2">
        <v>78</v>
      </c>
    </row>
    <row r="7" spans="1:5" ht="15.75" thickBot="1" x14ac:dyDescent="0.3">
      <c r="A7" s="4" t="s">
        <v>7</v>
      </c>
      <c r="B7" s="4">
        <v>85</v>
      </c>
      <c r="C7">
        <v>62</v>
      </c>
      <c r="D7" s="2">
        <v>78</v>
      </c>
    </row>
    <row r="8" spans="1:5" ht="15.75" thickBot="1" x14ac:dyDescent="0.3">
      <c r="A8" s="1"/>
      <c r="C8">
        <v>62</v>
      </c>
      <c r="D8" s="2">
        <v>78</v>
      </c>
      <c r="E8">
        <f>D8-C8</f>
        <v>16</v>
      </c>
    </row>
    <row r="18" spans="2:13" x14ac:dyDescent="0.25">
      <c r="M18" t="s">
        <v>9</v>
      </c>
    </row>
    <row r="19" spans="2:13" x14ac:dyDescent="0.25">
      <c r="M19" t="s">
        <v>12</v>
      </c>
    </row>
    <row r="20" spans="2:13" x14ac:dyDescent="0.25">
      <c r="M20" t="s">
        <v>13</v>
      </c>
    </row>
    <row r="21" spans="2:13" x14ac:dyDescent="0.25">
      <c r="M21" t="s">
        <v>14</v>
      </c>
    </row>
    <row r="22" spans="2:13" x14ac:dyDescent="0.25">
      <c r="M22" t="s">
        <v>15</v>
      </c>
    </row>
    <row r="28" spans="2:13" x14ac:dyDescent="0.25">
      <c r="B28" t="s">
        <v>9</v>
      </c>
    </row>
    <row r="29" spans="2:13" x14ac:dyDescent="0.25">
      <c r="B29" t="s">
        <v>10</v>
      </c>
    </row>
    <row r="30" spans="2:13" x14ac:dyDescent="0.25">
      <c r="B30" t="s">
        <v>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34B01-D1AD-4B6C-B16F-8EF846431E20}">
  <dimension ref="B2:X121"/>
  <sheetViews>
    <sheetView showGridLines="0" tabSelected="1" topLeftCell="A49" zoomScale="85" zoomScaleNormal="85" workbookViewId="0">
      <selection activeCell="O90" sqref="O90"/>
    </sheetView>
  </sheetViews>
  <sheetFormatPr defaultRowHeight="15" x14ac:dyDescent="0.25"/>
  <cols>
    <col min="2" max="2" width="16" bestFit="1" customWidth="1"/>
    <col min="3" max="3" width="11.85546875" bestFit="1" customWidth="1"/>
    <col min="4" max="4" width="7.28515625" bestFit="1" customWidth="1"/>
    <col min="5" max="6" width="6" bestFit="1" customWidth="1"/>
    <col min="7" max="7" width="3.28515625" bestFit="1" customWidth="1"/>
  </cols>
  <sheetData>
    <row r="2" spans="2:3" x14ac:dyDescent="0.25">
      <c r="B2" t="s">
        <v>22</v>
      </c>
      <c r="C2" t="s">
        <v>21</v>
      </c>
    </row>
    <row r="3" spans="2:3" x14ac:dyDescent="0.25">
      <c r="B3" t="s">
        <v>16</v>
      </c>
      <c r="C3">
        <v>7</v>
      </c>
    </row>
    <row r="4" spans="2:3" x14ac:dyDescent="0.25">
      <c r="B4" t="s">
        <v>17</v>
      </c>
      <c r="C4">
        <v>8</v>
      </c>
    </row>
    <row r="5" spans="2:3" x14ac:dyDescent="0.25">
      <c r="B5" t="s">
        <v>18</v>
      </c>
      <c r="C5">
        <v>9</v>
      </c>
    </row>
    <row r="6" spans="2:3" x14ac:dyDescent="0.25">
      <c r="B6" t="s">
        <v>19</v>
      </c>
      <c r="C6">
        <v>3</v>
      </c>
    </row>
    <row r="7" spans="2:3" x14ac:dyDescent="0.25">
      <c r="B7" t="s">
        <v>20</v>
      </c>
      <c r="C7">
        <v>5</v>
      </c>
    </row>
    <row r="21" spans="2:4" x14ac:dyDescent="0.25">
      <c r="B21" t="s">
        <v>21</v>
      </c>
      <c r="C21" t="s">
        <v>23</v>
      </c>
      <c r="D21" t="s">
        <v>24</v>
      </c>
    </row>
    <row r="22" spans="2:4" x14ac:dyDescent="0.25">
      <c r="B22">
        <v>4.5</v>
      </c>
      <c r="C22">
        <v>1</v>
      </c>
      <c r="D22">
        <v>5</v>
      </c>
    </row>
    <row r="23" spans="2:4" x14ac:dyDescent="0.25">
      <c r="B23">
        <v>3</v>
      </c>
      <c r="C23">
        <v>1.5</v>
      </c>
      <c r="D23">
        <v>3</v>
      </c>
    </row>
    <row r="24" spans="2:4" x14ac:dyDescent="0.25">
      <c r="B24">
        <v>5</v>
      </c>
      <c r="C24">
        <v>4</v>
      </c>
      <c r="D24">
        <v>0.6</v>
      </c>
    </row>
    <row r="25" spans="2:4" x14ac:dyDescent="0.25">
      <c r="B25">
        <v>1</v>
      </c>
      <c r="C25">
        <v>1.75</v>
      </c>
      <c r="D25">
        <v>0.6</v>
      </c>
    </row>
    <row r="26" spans="2:4" x14ac:dyDescent="0.25">
      <c r="B26">
        <v>2.9</v>
      </c>
      <c r="C26">
        <v>3</v>
      </c>
      <c r="D26">
        <v>0.4</v>
      </c>
    </row>
    <row r="27" spans="2:4" x14ac:dyDescent="0.25">
      <c r="B27">
        <v>3</v>
      </c>
      <c r="C27">
        <v>2.5</v>
      </c>
      <c r="D27">
        <v>0.6</v>
      </c>
    </row>
    <row r="28" spans="2:4" x14ac:dyDescent="0.25">
      <c r="B28">
        <v>2</v>
      </c>
      <c r="C28">
        <v>3</v>
      </c>
      <c r="D28">
        <v>0.5</v>
      </c>
    </row>
    <row r="29" spans="2:4" x14ac:dyDescent="0.25">
      <c r="B29">
        <v>6</v>
      </c>
      <c r="C29">
        <v>4</v>
      </c>
      <c r="D29">
        <v>0.9</v>
      </c>
    </row>
    <row r="30" spans="2:4" x14ac:dyDescent="0.25">
      <c r="B30">
        <v>2</v>
      </c>
      <c r="C30">
        <v>3.25</v>
      </c>
      <c r="D30">
        <v>0.5</v>
      </c>
    </row>
    <row r="31" spans="2:4" x14ac:dyDescent="0.25">
      <c r="B31">
        <v>1</v>
      </c>
      <c r="C31">
        <v>1</v>
      </c>
      <c r="D31">
        <v>0.1</v>
      </c>
    </row>
    <row r="32" spans="2:4" x14ac:dyDescent="0.25">
      <c r="B32">
        <v>2</v>
      </c>
      <c r="C32">
        <v>2</v>
      </c>
      <c r="D32">
        <v>0.6</v>
      </c>
    </row>
    <row r="33" spans="24:24" x14ac:dyDescent="0.25">
      <c r="X33" s="6"/>
    </row>
    <row r="34" spans="24:24" x14ac:dyDescent="0.25">
      <c r="X34" s="6"/>
    </row>
    <row r="35" spans="24:24" x14ac:dyDescent="0.25">
      <c r="X35" s="6"/>
    </row>
    <row r="36" spans="24:24" x14ac:dyDescent="0.25">
      <c r="X36" s="6"/>
    </row>
    <row r="75" spans="2:3" x14ac:dyDescent="0.25">
      <c r="B75" s="7" t="s">
        <v>25</v>
      </c>
      <c r="C75" s="7" t="s">
        <v>26</v>
      </c>
    </row>
    <row r="76" spans="2:3" x14ac:dyDescent="0.25">
      <c r="B76" t="s">
        <v>27</v>
      </c>
      <c r="C76" s="8">
        <v>30000</v>
      </c>
    </row>
    <row r="77" spans="2:3" x14ac:dyDescent="0.25">
      <c r="B77" t="s">
        <v>28</v>
      </c>
      <c r="C77" s="8">
        <v>-12000</v>
      </c>
    </row>
    <row r="78" spans="2:3" x14ac:dyDescent="0.25">
      <c r="B78" t="s">
        <v>31</v>
      </c>
      <c r="C78" s="8">
        <v>3000</v>
      </c>
    </row>
    <row r="79" spans="2:3" x14ac:dyDescent="0.25">
      <c r="B79" t="s">
        <v>30</v>
      </c>
      <c r="C79" s="8">
        <v>-7000</v>
      </c>
    </row>
    <row r="80" spans="2:3" x14ac:dyDescent="0.25">
      <c r="B80" t="s">
        <v>29</v>
      </c>
      <c r="C80" s="8">
        <f>-SUM(C76:C79)</f>
        <v>-14000</v>
      </c>
    </row>
    <row r="84" spans="2:6" x14ac:dyDescent="0.25">
      <c r="B84" s="7" t="s">
        <v>32</v>
      </c>
      <c r="C84" s="7" t="s">
        <v>33</v>
      </c>
    </row>
    <row r="85" spans="2:6" x14ac:dyDescent="0.25">
      <c r="B85" t="s">
        <v>34</v>
      </c>
      <c r="C85" s="8">
        <v>10000</v>
      </c>
    </row>
    <row r="86" spans="2:6" x14ac:dyDescent="0.25">
      <c r="B86" t="s">
        <v>35</v>
      </c>
      <c r="C86" s="8">
        <v>6200</v>
      </c>
    </row>
    <row r="87" spans="2:6" x14ac:dyDescent="0.25">
      <c r="B87" t="s">
        <v>36</v>
      </c>
      <c r="C87" s="8">
        <v>3800</v>
      </c>
    </row>
    <row r="88" spans="2:6" x14ac:dyDescent="0.25">
      <c r="B88" t="s">
        <v>37</v>
      </c>
      <c r="C88" s="8">
        <v>1900</v>
      </c>
    </row>
    <row r="89" spans="2:6" x14ac:dyDescent="0.25">
      <c r="B89" t="s">
        <v>38</v>
      </c>
      <c r="C89" s="8">
        <v>850</v>
      </c>
    </row>
    <row r="90" spans="2:6" x14ac:dyDescent="0.25">
      <c r="B90" t="s">
        <v>39</v>
      </c>
      <c r="C90" s="8">
        <v>340</v>
      </c>
    </row>
    <row r="93" spans="2:6" x14ac:dyDescent="0.25">
      <c r="B93" s="7" t="s">
        <v>40</v>
      </c>
      <c r="C93" s="7" t="s">
        <v>41</v>
      </c>
      <c r="D93" s="7" t="s">
        <v>42</v>
      </c>
      <c r="E93" s="7" t="s">
        <v>43</v>
      </c>
      <c r="F93" s="7" t="s">
        <v>44</v>
      </c>
    </row>
    <row r="94" spans="2:6" x14ac:dyDescent="0.25">
      <c r="B94" s="9">
        <v>46023</v>
      </c>
      <c r="C94">
        <v>142.5</v>
      </c>
      <c r="D94">
        <v>148.19999999999999</v>
      </c>
      <c r="E94">
        <v>140.1</v>
      </c>
      <c r="F94">
        <v>146.80000000000001</v>
      </c>
    </row>
    <row r="95" spans="2:6" x14ac:dyDescent="0.25">
      <c r="B95" s="9">
        <v>46024</v>
      </c>
      <c r="C95">
        <v>146.80000000000001</v>
      </c>
      <c r="D95">
        <v>150.30000000000001</v>
      </c>
      <c r="E95">
        <v>144.5</v>
      </c>
      <c r="F95">
        <v>145.19999999999999</v>
      </c>
    </row>
    <row r="96" spans="2:6" x14ac:dyDescent="0.25">
      <c r="B96" s="9">
        <v>46025</v>
      </c>
      <c r="C96">
        <v>145.19999999999999</v>
      </c>
      <c r="D96">
        <v>147.9</v>
      </c>
      <c r="E96">
        <v>141.80000000000001</v>
      </c>
      <c r="F96">
        <v>143</v>
      </c>
    </row>
    <row r="97" spans="2:7" x14ac:dyDescent="0.25">
      <c r="B97" s="9">
        <v>46026</v>
      </c>
      <c r="C97">
        <v>143</v>
      </c>
      <c r="D97">
        <v>149.5</v>
      </c>
      <c r="E97">
        <v>142.30000000000001</v>
      </c>
      <c r="F97">
        <v>148.69999999999999</v>
      </c>
    </row>
    <row r="98" spans="2:7" x14ac:dyDescent="0.25">
      <c r="B98" s="9">
        <v>46027</v>
      </c>
      <c r="C98">
        <v>148.69999999999999</v>
      </c>
      <c r="D98">
        <v>153.1</v>
      </c>
      <c r="E98">
        <v>147</v>
      </c>
      <c r="F98">
        <v>151.4</v>
      </c>
    </row>
    <row r="99" spans="2:7" x14ac:dyDescent="0.25">
      <c r="B99" s="9">
        <v>46028</v>
      </c>
      <c r="C99">
        <v>151.4</v>
      </c>
      <c r="D99">
        <v>154.80000000000001</v>
      </c>
      <c r="E99">
        <v>148.9</v>
      </c>
      <c r="F99">
        <v>149.5</v>
      </c>
    </row>
    <row r="100" spans="2:7" x14ac:dyDescent="0.25">
      <c r="B100" s="9">
        <v>46029</v>
      </c>
      <c r="C100">
        <v>149.5</v>
      </c>
      <c r="D100">
        <v>152</v>
      </c>
      <c r="E100">
        <v>146.30000000000001</v>
      </c>
      <c r="F100">
        <v>150.80000000000001</v>
      </c>
    </row>
    <row r="101" spans="2:7" x14ac:dyDescent="0.25">
      <c r="B101" s="9">
        <v>46030</v>
      </c>
      <c r="C101">
        <v>150.80000000000001</v>
      </c>
      <c r="D101">
        <v>156.19999999999999</v>
      </c>
      <c r="E101">
        <v>149.69999999999999</v>
      </c>
      <c r="F101">
        <v>155</v>
      </c>
    </row>
    <row r="102" spans="2:7" x14ac:dyDescent="0.25">
      <c r="B102" s="9">
        <v>46031</v>
      </c>
      <c r="C102">
        <v>155</v>
      </c>
      <c r="D102">
        <v>157.5</v>
      </c>
      <c r="E102">
        <v>152.1</v>
      </c>
      <c r="F102">
        <v>153.30000000000001</v>
      </c>
    </row>
    <row r="103" spans="2:7" x14ac:dyDescent="0.25">
      <c r="B103" s="9">
        <v>46032</v>
      </c>
      <c r="C103">
        <v>153.30000000000001</v>
      </c>
      <c r="D103">
        <v>158.9</v>
      </c>
      <c r="E103">
        <v>151.5</v>
      </c>
      <c r="F103">
        <v>157.6</v>
      </c>
    </row>
    <row r="106" spans="2:7" ht="27.95" customHeight="1" x14ac:dyDescent="0.25">
      <c r="B106" s="11"/>
      <c r="C106" s="12" t="s">
        <v>45</v>
      </c>
      <c r="D106" s="12" t="s">
        <v>46</v>
      </c>
      <c r="E106" s="12" t="s">
        <v>47</v>
      </c>
      <c r="F106" s="12" t="s">
        <v>48</v>
      </c>
      <c r="G106" s="12" t="s">
        <v>49</v>
      </c>
    </row>
    <row r="107" spans="2:7" ht="27.95" customHeight="1" x14ac:dyDescent="0.25">
      <c r="B107" s="11" t="s">
        <v>50</v>
      </c>
      <c r="C107" s="13">
        <v>12</v>
      </c>
      <c r="D107" s="13">
        <v>18</v>
      </c>
      <c r="E107" s="13">
        <v>25</v>
      </c>
      <c r="F107" s="13">
        <v>14</v>
      </c>
      <c r="G107" s="13">
        <v>9</v>
      </c>
    </row>
    <row r="108" spans="2:7" ht="27.95" customHeight="1" x14ac:dyDescent="0.25">
      <c r="B108" s="11" t="s">
        <v>51</v>
      </c>
      <c r="C108" s="13">
        <v>34</v>
      </c>
      <c r="D108" s="13">
        <v>42</v>
      </c>
      <c r="E108" s="13">
        <v>38</v>
      </c>
      <c r="F108" s="13">
        <v>29</v>
      </c>
      <c r="G108" s="13">
        <v>21</v>
      </c>
    </row>
    <row r="109" spans="2:7" ht="27.95" customHeight="1" x14ac:dyDescent="0.25">
      <c r="B109" s="11" t="s">
        <v>52</v>
      </c>
      <c r="C109" s="13">
        <v>55</v>
      </c>
      <c r="D109" s="13">
        <v>63</v>
      </c>
      <c r="E109" s="13">
        <v>71</v>
      </c>
      <c r="F109" s="13">
        <v>58</v>
      </c>
      <c r="G109" s="13">
        <v>44</v>
      </c>
    </row>
    <row r="110" spans="2:7" ht="27.95" customHeight="1" x14ac:dyDescent="0.25">
      <c r="B110" s="11" t="s">
        <v>53</v>
      </c>
      <c r="C110" s="13">
        <v>78</v>
      </c>
      <c r="D110" s="13">
        <v>85</v>
      </c>
      <c r="E110" s="13">
        <v>92</v>
      </c>
      <c r="F110" s="13">
        <v>80</v>
      </c>
      <c r="G110" s="13">
        <v>67</v>
      </c>
    </row>
    <row r="111" spans="2:7" ht="27.95" customHeight="1" x14ac:dyDescent="0.25">
      <c r="B111" s="11" t="s">
        <v>54</v>
      </c>
      <c r="C111" s="13">
        <v>65</v>
      </c>
      <c r="D111" s="13">
        <v>70</v>
      </c>
      <c r="E111" s="13">
        <v>68</v>
      </c>
      <c r="F111" s="13">
        <v>74</v>
      </c>
      <c r="G111" s="13">
        <v>58</v>
      </c>
    </row>
    <row r="112" spans="2:7" ht="27.95" customHeight="1" x14ac:dyDescent="0.25">
      <c r="B112" s="11" t="s">
        <v>55</v>
      </c>
      <c r="C112" s="13">
        <v>45</v>
      </c>
      <c r="D112" s="13">
        <v>52</v>
      </c>
      <c r="E112" s="13">
        <v>49</v>
      </c>
      <c r="F112" s="13">
        <v>61</v>
      </c>
      <c r="G112" s="13">
        <v>38</v>
      </c>
    </row>
    <row r="113" spans="2:7" ht="27.95" customHeight="1" x14ac:dyDescent="0.25">
      <c r="B113" s="11" t="s">
        <v>56</v>
      </c>
      <c r="C113" s="13">
        <v>22</v>
      </c>
      <c r="D113" s="13">
        <v>28</v>
      </c>
      <c r="E113" s="13">
        <v>31</v>
      </c>
      <c r="F113" s="13">
        <v>24</v>
      </c>
      <c r="G113" s="13">
        <v>15</v>
      </c>
    </row>
    <row r="116" spans="2:7" x14ac:dyDescent="0.25">
      <c r="B116" s="10" t="s">
        <v>25</v>
      </c>
      <c r="C116" s="7" t="s">
        <v>57</v>
      </c>
      <c r="D116" s="7" t="s">
        <v>26</v>
      </c>
    </row>
    <row r="117" spans="2:7" x14ac:dyDescent="0.25">
      <c r="B117" s="10" t="s">
        <v>58</v>
      </c>
      <c r="C117" t="s">
        <v>59</v>
      </c>
      <c r="D117">
        <v>420</v>
      </c>
    </row>
    <row r="118" spans="2:7" x14ac:dyDescent="0.25">
      <c r="B118" s="10" t="s">
        <v>58</v>
      </c>
      <c r="C118" t="s">
        <v>60</v>
      </c>
      <c r="D118">
        <v>310</v>
      </c>
    </row>
    <row r="119" spans="2:7" x14ac:dyDescent="0.25">
      <c r="B119" s="10" t="s">
        <v>58</v>
      </c>
      <c r="C119" t="s">
        <v>61</v>
      </c>
      <c r="D119">
        <v>180</v>
      </c>
    </row>
    <row r="120" spans="2:7" x14ac:dyDescent="0.25">
      <c r="B120" s="10" t="s">
        <v>62</v>
      </c>
      <c r="C120" t="s">
        <v>63</v>
      </c>
      <c r="D120">
        <v>250</v>
      </c>
    </row>
    <row r="121" spans="2:7" x14ac:dyDescent="0.25">
      <c r="B121" s="10" t="s">
        <v>62</v>
      </c>
      <c r="C121" t="s">
        <v>64</v>
      </c>
      <c r="D121">
        <v>340</v>
      </c>
    </row>
  </sheetData>
  <conditionalFormatting sqref="C107:G113">
    <cfRule type="colorScale" priority="1">
      <colorScale>
        <cfvo type="min"/>
        <cfvo type="num" val="50"/>
        <cfvo type="max"/>
        <color rgb="FFF7FBFF"/>
        <color rgb="FFFDD835"/>
        <color rgb="FF1A6B1A"/>
      </colorScale>
    </cfRule>
  </conditionalFormatting>
  <conditionalFormatting sqref="C107:G113">
    <cfRule type="colorScale" priority="2">
      <colorScale>
        <cfvo type="min"/>
        <cfvo type="num" val="50"/>
        <cfvo type="max"/>
        <color rgb="FFF7FBFF"/>
        <color rgb="FFFDD835"/>
        <color rgb="FF1A6B1A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day_1</vt:lpstr>
      <vt:lpstr>charts_type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Pham</dc:creator>
  <cp:lastModifiedBy>Phat Pham</cp:lastModifiedBy>
  <dcterms:created xsi:type="dcterms:W3CDTF">2026-05-21T04:45:54Z</dcterms:created>
  <dcterms:modified xsi:type="dcterms:W3CDTF">2026-05-22T14:50:18Z</dcterms:modified>
</cp:coreProperties>
</file>