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harts/chartEx5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2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visualisation_research\day_1\"/>
    </mc:Choice>
  </mc:AlternateContent>
  <xr:revisionPtr revIDLastSave="0" documentId="13_ncr:1_{242E5C7E-54C4-4020-9ECB-D96D2E4CA104}" xr6:coauthVersionLast="47" xr6:coauthVersionMax="47" xr10:uidLastSave="{00000000-0000-0000-0000-000000000000}"/>
  <bookViews>
    <workbookView xWindow="-110" yWindow="-110" windowWidth="25820" windowHeight="15500" firstSheet="2" activeTab="12" xr2:uid="{81E87292-0F59-4328-A6CA-1EABFA9025B1}"/>
  </bookViews>
  <sheets>
    <sheet name="day_1" sheetId="1" r:id="rId1"/>
    <sheet name="charts_type" sheetId="2" r:id="rId2"/>
    <sheet name="Sheet1" sheetId="3" r:id="rId3"/>
    <sheet name="bar" sheetId="4" r:id="rId4"/>
    <sheet name="stacked_bar" sheetId="5" r:id="rId5"/>
    <sheet name="bar_ho" sheetId="6" r:id="rId6"/>
    <sheet name="stack_bar" sheetId="7" r:id="rId7"/>
    <sheet name="Pie_donut" sheetId="8" r:id="rId8"/>
    <sheet name="waffle" sheetId="9" r:id="rId9"/>
    <sheet name="line" sheetId="10" r:id="rId10"/>
    <sheet name="area" sheetId="12" r:id="rId11"/>
    <sheet name="waterfall" sheetId="13" r:id="rId12"/>
    <sheet name="scatter" sheetId="14" r:id="rId13"/>
    <sheet name="Sheet3" sheetId="15" r:id="rId14"/>
  </sheets>
  <definedNames>
    <definedName name="_xlnm._FilterDatabase" localSheetId="9" hidden="1">line!$A$4:$H$866</definedName>
    <definedName name="_xlchart.v1.0" hidden="1">charts_type!$B$76:$B$80</definedName>
    <definedName name="_xlchart.v1.1" hidden="1">charts_type!$C$75</definedName>
    <definedName name="_xlchart.v1.10" hidden="1">charts_type!$D$116</definedName>
    <definedName name="_xlchart.v1.11" hidden="1">charts_type!$D$117:$D$121</definedName>
    <definedName name="_xlchart.v1.12" hidden="1">waterfall!$J$4:$J$13</definedName>
    <definedName name="_xlchart.v1.13" hidden="1">waterfall!$K$3</definedName>
    <definedName name="_xlchart.v1.14" hidden="1">waterfall!$K$4:$K$13</definedName>
    <definedName name="_xlchart.v1.2" hidden="1">charts_type!$C$76:$C$80</definedName>
    <definedName name="_xlchart.v1.6" hidden="1">charts_type!$C$117:$C$121</definedName>
    <definedName name="_xlchart.v1.7" hidden="1">charts_type!$D$116</definedName>
    <definedName name="_xlchart.v1.8" hidden="1">charts_type!$D$117:$D$121</definedName>
    <definedName name="_xlchart.v1.9" hidden="1">charts_type!$B$117:$C$121</definedName>
    <definedName name="_xlchart.v2.3" hidden="1">charts_type!$B$85:$B$89</definedName>
    <definedName name="_xlchart.v2.4" hidden="1">charts_type!$C$84</definedName>
    <definedName name="_xlchart.v2.5" hidden="1">charts_type!$C$85:$C$89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" i="14" l="1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K2" i="14"/>
  <c r="J2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F3" i="14"/>
  <c r="G2" i="14"/>
  <c r="F2" i="14"/>
  <c r="L5" i="13"/>
  <c r="K13" i="13" l="1"/>
  <c r="E5" i="13"/>
  <c r="F6" i="13" s="1"/>
  <c r="E7" i="13" s="1"/>
  <c r="E8" i="13" s="1"/>
  <c r="E9" i="13" s="1"/>
  <c r="F10" i="13" s="1"/>
  <c r="E11" i="13" s="1"/>
  <c r="F12" i="13" s="1"/>
  <c r="E13" i="13" s="1"/>
  <c r="E14" i="13" s="1"/>
  <c r="F15" i="13" s="1"/>
  <c r="E16" i="13" s="1"/>
  <c r="F17" i="13" s="1"/>
  <c r="B6" i="13"/>
  <c r="B10" i="13" s="1"/>
  <c r="B12" i="13" s="1"/>
  <c r="B15" i="13" s="1"/>
  <c r="B17" i="13" s="1"/>
  <c r="E863" i="10" l="1"/>
  <c r="E862" i="10"/>
  <c r="E861" i="10"/>
  <c r="E860" i="10"/>
  <c r="E859" i="10"/>
  <c r="E858" i="10"/>
  <c r="E857" i="10"/>
  <c r="E856" i="10" s="1"/>
  <c r="E855" i="10" s="1"/>
  <c r="E854" i="10" s="1"/>
  <c r="E853" i="10" s="1"/>
  <c r="E852" i="10" s="1"/>
  <c r="E851" i="10" s="1"/>
  <c r="E850" i="10" s="1"/>
  <c r="E849" i="10" s="1"/>
  <c r="E848" i="10" s="1"/>
  <c r="E847" i="10" s="1"/>
  <c r="E846" i="10" s="1"/>
  <c r="E845" i="10" s="1"/>
  <c r="E844" i="10" s="1"/>
  <c r="E843" i="10" s="1"/>
  <c r="E842" i="10" s="1"/>
  <c r="E841" i="10" s="1"/>
  <c r="E840" i="10" s="1"/>
  <c r="E839" i="10" s="1"/>
  <c r="E838" i="10" s="1"/>
  <c r="E837" i="10" s="1"/>
  <c r="E836" i="10" s="1"/>
  <c r="E835" i="10" s="1"/>
  <c r="E834" i="10" s="1"/>
  <c r="E833" i="10" s="1"/>
  <c r="E832" i="10" s="1"/>
  <c r="E831" i="10" s="1"/>
  <c r="E830" i="10" s="1"/>
  <c r="E829" i="10" s="1"/>
  <c r="E828" i="10" s="1"/>
  <c r="E827" i="10" s="1"/>
  <c r="E826" i="10" s="1"/>
  <c r="E825" i="10" s="1"/>
  <c r="E824" i="10" s="1"/>
  <c r="E823" i="10" s="1"/>
  <c r="E822" i="10" s="1"/>
  <c r="E821" i="10" s="1"/>
  <c r="E820" i="10" s="1"/>
  <c r="E819" i="10" s="1"/>
  <c r="E818" i="10" s="1"/>
  <c r="E817" i="10" s="1"/>
  <c r="E816" i="10" s="1"/>
  <c r="E815" i="10" s="1"/>
  <c r="E814" i="10" s="1"/>
  <c r="E813" i="10" s="1"/>
  <c r="E812" i="10" s="1"/>
  <c r="E811" i="10" s="1"/>
  <c r="E810" i="10" s="1"/>
  <c r="E809" i="10" s="1"/>
  <c r="E808" i="10" s="1"/>
  <c r="E807" i="10" s="1"/>
  <c r="E806" i="10" s="1"/>
  <c r="E805" i="10" s="1"/>
  <c r="E804" i="10" s="1"/>
  <c r="E803" i="10" s="1"/>
  <c r="E802" i="10" s="1"/>
  <c r="E801" i="10" s="1"/>
  <c r="E800" i="10" s="1"/>
  <c r="E799" i="10" s="1"/>
  <c r="E798" i="10" s="1"/>
  <c r="E797" i="10" s="1"/>
  <c r="E796" i="10" s="1"/>
  <c r="E795" i="10" s="1"/>
  <c r="E794" i="10" s="1"/>
  <c r="E793" i="10" s="1"/>
  <c r="E792" i="10" s="1"/>
  <c r="E791" i="10" s="1"/>
  <c r="E790" i="10" s="1"/>
  <c r="E789" i="10" s="1"/>
  <c r="E788" i="10" s="1"/>
  <c r="E787" i="10" s="1"/>
  <c r="E786" i="10" s="1"/>
  <c r="E785" i="10" s="1"/>
  <c r="E784" i="10" s="1"/>
  <c r="E783" i="10" s="1"/>
  <c r="E782" i="10" s="1"/>
  <c r="E781" i="10" s="1"/>
  <c r="E780" i="10" s="1"/>
  <c r="E779" i="10" s="1"/>
  <c r="E778" i="10" s="1"/>
  <c r="E777" i="10" s="1"/>
  <c r="E776" i="10" s="1"/>
  <c r="E775" i="10" s="1"/>
  <c r="E774" i="10" s="1"/>
  <c r="E773" i="10" s="1"/>
  <c r="E772" i="10" s="1"/>
  <c r="E771" i="10" s="1"/>
  <c r="E770" i="10" s="1"/>
  <c r="E769" i="10" s="1"/>
  <c r="E768" i="10" s="1"/>
  <c r="E767" i="10" s="1"/>
  <c r="E766" i="10" s="1"/>
  <c r="E765" i="10" s="1"/>
  <c r="E764" i="10" s="1"/>
  <c r="E763" i="10" s="1"/>
  <c r="E762" i="10" s="1"/>
  <c r="E761" i="10" s="1"/>
  <c r="E760" i="10" s="1"/>
  <c r="E759" i="10" s="1"/>
  <c r="E758" i="10" s="1"/>
  <c r="E757" i="10" s="1"/>
  <c r="E756" i="10" s="1"/>
  <c r="E755" i="10" s="1"/>
  <c r="E754" i="10" s="1"/>
  <c r="E753" i="10" s="1"/>
  <c r="E752" i="10" s="1"/>
  <c r="E751" i="10" s="1"/>
  <c r="E750" i="10" s="1"/>
  <c r="E749" i="10" s="1"/>
  <c r="E748" i="10" s="1"/>
  <c r="E747" i="10" s="1"/>
  <c r="E746" i="10" s="1"/>
  <c r="E745" i="10" s="1"/>
  <c r="E744" i="10" s="1"/>
  <c r="E743" i="10" s="1"/>
  <c r="E742" i="10" s="1"/>
  <c r="E741" i="10" s="1"/>
  <c r="E740" i="10" s="1"/>
  <c r="E739" i="10" s="1"/>
  <c r="E738" i="10" s="1"/>
  <c r="E737" i="10" s="1"/>
  <c r="E736" i="10" s="1"/>
  <c r="E735" i="10" s="1"/>
  <c r="E734" i="10" s="1"/>
  <c r="E733" i="10" s="1"/>
  <c r="E732" i="10" s="1"/>
  <c r="E731" i="10" s="1"/>
  <c r="E730" i="10" s="1"/>
  <c r="E729" i="10" s="1"/>
  <c r="E728" i="10" s="1"/>
  <c r="E727" i="10" s="1"/>
  <c r="E726" i="10" s="1"/>
  <c r="E725" i="10" s="1"/>
  <c r="E724" i="10" s="1"/>
  <c r="E723" i="10" s="1"/>
  <c r="E722" i="10" s="1"/>
  <c r="E721" i="10" s="1"/>
  <c r="E720" i="10" s="1"/>
  <c r="E719" i="10" s="1"/>
  <c r="E718" i="10" s="1"/>
  <c r="E717" i="10" s="1"/>
  <c r="E716" i="10" s="1"/>
  <c r="E715" i="10" s="1"/>
  <c r="E714" i="10" s="1"/>
  <c r="E713" i="10" s="1"/>
  <c r="E712" i="10" s="1"/>
  <c r="E711" i="10" s="1"/>
  <c r="E710" i="10" s="1"/>
  <c r="E709" i="10" s="1"/>
  <c r="E708" i="10" s="1"/>
  <c r="E707" i="10" s="1"/>
  <c r="E706" i="10" s="1"/>
  <c r="E705" i="10" s="1"/>
  <c r="E704" i="10" s="1"/>
  <c r="E703" i="10" s="1"/>
  <c r="E702" i="10" s="1"/>
  <c r="E701" i="10" s="1"/>
  <c r="E700" i="10" s="1"/>
  <c r="E699" i="10" s="1"/>
  <c r="E698" i="10" s="1"/>
  <c r="E697" i="10" s="1"/>
  <c r="E696" i="10" s="1"/>
  <c r="E695" i="10" s="1"/>
  <c r="E694" i="10" s="1"/>
  <c r="E693" i="10" s="1"/>
  <c r="E692" i="10" s="1"/>
  <c r="E691" i="10" s="1"/>
  <c r="E690" i="10" s="1"/>
  <c r="E689" i="10" s="1"/>
  <c r="E688" i="10" s="1"/>
  <c r="E687" i="10" s="1"/>
  <c r="E686" i="10" s="1"/>
  <c r="E685" i="10" s="1"/>
  <c r="E684" i="10" s="1"/>
  <c r="E683" i="10" s="1"/>
  <c r="E682" i="10" s="1"/>
  <c r="E681" i="10" s="1"/>
  <c r="E680" i="10" s="1"/>
  <c r="E679" i="10" s="1"/>
  <c r="E678" i="10" s="1"/>
  <c r="E677" i="10" s="1"/>
  <c r="E676" i="10" s="1"/>
  <c r="E675" i="10" s="1"/>
  <c r="E674" i="10" s="1"/>
  <c r="E673" i="10" s="1"/>
  <c r="E672" i="10" s="1"/>
  <c r="E671" i="10" s="1"/>
  <c r="E670" i="10" s="1"/>
  <c r="E669" i="10" s="1"/>
  <c r="E668" i="10" s="1"/>
  <c r="E667" i="10" s="1"/>
  <c r="E666" i="10" s="1"/>
  <c r="E665" i="10" s="1"/>
  <c r="E664" i="10" s="1"/>
  <c r="E663" i="10" s="1"/>
  <c r="E662" i="10" s="1"/>
  <c r="E661" i="10" s="1"/>
  <c r="E660" i="10" s="1"/>
  <c r="E659" i="10" s="1"/>
  <c r="E658" i="10" s="1"/>
  <c r="E657" i="10" s="1"/>
  <c r="E656" i="10" s="1"/>
  <c r="E655" i="10" s="1"/>
  <c r="E654" i="10" s="1"/>
  <c r="E653" i="10" s="1"/>
  <c r="E652" i="10" s="1"/>
  <c r="E651" i="10" s="1"/>
  <c r="E650" i="10" s="1"/>
  <c r="E649" i="10" s="1"/>
  <c r="E648" i="10" s="1"/>
  <c r="E647" i="10" s="1"/>
  <c r="E646" i="10" s="1"/>
  <c r="E645" i="10" s="1"/>
  <c r="E644" i="10" s="1"/>
  <c r="E643" i="10" s="1"/>
  <c r="E642" i="10" s="1"/>
  <c r="E641" i="10" s="1"/>
  <c r="E640" i="10" s="1"/>
  <c r="E639" i="10" s="1"/>
  <c r="E638" i="10" s="1"/>
  <c r="E637" i="10" s="1"/>
  <c r="E636" i="10" s="1"/>
  <c r="E635" i="10" s="1"/>
  <c r="E634" i="10" s="1"/>
  <c r="E633" i="10" s="1"/>
  <c r="E632" i="10" s="1"/>
  <c r="E631" i="10" s="1"/>
  <c r="E630" i="10" s="1"/>
  <c r="E629" i="10" s="1"/>
  <c r="E628" i="10" s="1"/>
  <c r="E627" i="10" s="1"/>
  <c r="E626" i="10" s="1"/>
  <c r="E625" i="10" s="1"/>
  <c r="E624" i="10" s="1"/>
  <c r="E623" i="10" s="1"/>
  <c r="E622" i="10" s="1"/>
  <c r="E621" i="10" s="1"/>
  <c r="E620" i="10" s="1"/>
  <c r="E619" i="10" s="1"/>
  <c r="E618" i="10" s="1"/>
  <c r="E617" i="10" s="1"/>
  <c r="E616" i="10" s="1"/>
  <c r="E615" i="10" s="1"/>
  <c r="E614" i="10" s="1"/>
  <c r="E613" i="10" s="1"/>
  <c r="E612" i="10" s="1"/>
  <c r="E611" i="10" s="1"/>
  <c r="E610" i="10" s="1"/>
  <c r="E609" i="10" s="1"/>
  <c r="E608" i="10" s="1"/>
  <c r="E607" i="10" s="1"/>
  <c r="E606" i="10" s="1"/>
  <c r="E605" i="10" s="1"/>
  <c r="E604" i="10" s="1"/>
  <c r="E603" i="10" s="1"/>
  <c r="E602" i="10" s="1"/>
  <c r="E601" i="10" s="1"/>
  <c r="E600" i="10" s="1"/>
  <c r="E599" i="10" s="1"/>
  <c r="E598" i="10" s="1"/>
  <c r="E597" i="10" s="1"/>
  <c r="E596" i="10" s="1"/>
  <c r="E595" i="10" s="1"/>
  <c r="E594" i="10" s="1"/>
  <c r="E593" i="10" s="1"/>
  <c r="E592" i="10" s="1"/>
  <c r="E591" i="10" s="1"/>
  <c r="E590" i="10" s="1"/>
  <c r="E589" i="10" s="1"/>
  <c r="E588" i="10" s="1"/>
  <c r="E587" i="10" s="1"/>
  <c r="E586" i="10" s="1"/>
  <c r="E585" i="10" s="1"/>
  <c r="E584" i="10" s="1"/>
  <c r="E583" i="10" s="1"/>
  <c r="E582" i="10" s="1"/>
  <c r="E581" i="10" s="1"/>
  <c r="E580" i="10" s="1"/>
  <c r="E579" i="10" s="1"/>
  <c r="E578" i="10" s="1"/>
  <c r="E577" i="10" s="1"/>
  <c r="E576" i="10" s="1"/>
  <c r="E575" i="10" s="1"/>
  <c r="E574" i="10" s="1"/>
  <c r="E573" i="10" s="1"/>
  <c r="E572" i="10" s="1"/>
  <c r="E571" i="10" s="1"/>
  <c r="E570" i="10" s="1"/>
  <c r="E569" i="10" s="1"/>
  <c r="E568" i="10" s="1"/>
  <c r="E567" i="10" s="1"/>
  <c r="E566" i="10" s="1"/>
  <c r="E565" i="10" s="1"/>
  <c r="E564" i="10" s="1"/>
  <c r="E563" i="10" s="1"/>
  <c r="E562" i="10" s="1"/>
  <c r="E561" i="10" s="1"/>
  <c r="E560" i="10" s="1"/>
  <c r="E559" i="10" s="1"/>
  <c r="E558" i="10" s="1"/>
  <c r="E557" i="10" s="1"/>
  <c r="E556" i="10" s="1"/>
  <c r="E555" i="10" s="1"/>
  <c r="E554" i="10" s="1"/>
  <c r="E553" i="10" s="1"/>
  <c r="E552" i="10" s="1"/>
  <c r="E551" i="10" s="1"/>
  <c r="E550" i="10" s="1"/>
  <c r="E549" i="10" s="1"/>
  <c r="E548" i="10" s="1"/>
  <c r="E547" i="10" s="1"/>
  <c r="E546" i="10" s="1"/>
  <c r="E545" i="10" s="1"/>
  <c r="E544" i="10" s="1"/>
  <c r="E543" i="10" s="1"/>
  <c r="E542" i="10" s="1"/>
  <c r="E541" i="10" s="1"/>
  <c r="E540" i="10" s="1"/>
  <c r="E539" i="10" s="1"/>
  <c r="E538" i="10" s="1"/>
  <c r="E537" i="10" s="1"/>
  <c r="E536" i="10" s="1"/>
  <c r="E535" i="10" s="1"/>
  <c r="E534" i="10" s="1"/>
  <c r="E533" i="10" s="1"/>
  <c r="E532" i="10" s="1"/>
  <c r="E531" i="10" s="1"/>
  <c r="E530" i="10" s="1"/>
  <c r="E529" i="10" s="1"/>
  <c r="E528" i="10" s="1"/>
  <c r="E527" i="10" s="1"/>
  <c r="E526" i="10" s="1"/>
  <c r="E525" i="10" s="1"/>
  <c r="E524" i="10" s="1"/>
  <c r="E523" i="10" s="1"/>
  <c r="E522" i="10" s="1"/>
  <c r="E521" i="10" s="1"/>
  <c r="E520" i="10" s="1"/>
  <c r="E519" i="10" s="1"/>
  <c r="E518" i="10" s="1"/>
  <c r="E517" i="10" s="1"/>
  <c r="E516" i="10" s="1"/>
  <c r="E515" i="10" s="1"/>
  <c r="E514" i="10" s="1"/>
  <c r="E513" i="10" s="1"/>
  <c r="E512" i="10" s="1"/>
  <c r="E511" i="10" s="1"/>
  <c r="E510" i="10" s="1"/>
  <c r="E509" i="10" s="1"/>
  <c r="E508" i="10" s="1"/>
  <c r="E507" i="10" s="1"/>
  <c r="E506" i="10" s="1"/>
  <c r="E505" i="10" s="1"/>
  <c r="E504" i="10" s="1"/>
  <c r="E503" i="10" s="1"/>
  <c r="E502" i="10" s="1"/>
  <c r="E501" i="10" s="1"/>
  <c r="E500" i="10" s="1"/>
  <c r="E499" i="10" s="1"/>
  <c r="E498" i="10" s="1"/>
  <c r="E497" i="10" s="1"/>
  <c r="E496" i="10" s="1"/>
  <c r="E495" i="10" s="1"/>
  <c r="E494" i="10" s="1"/>
  <c r="E493" i="10" s="1"/>
  <c r="E492" i="10" s="1"/>
  <c r="E491" i="10" s="1"/>
  <c r="E490" i="10" s="1"/>
  <c r="E489" i="10" s="1"/>
  <c r="E488" i="10" s="1"/>
  <c r="E487" i="10" s="1"/>
  <c r="E486" i="10" s="1"/>
  <c r="E485" i="10" s="1"/>
  <c r="E484" i="10" s="1"/>
  <c r="E483" i="10" s="1"/>
  <c r="E482" i="10" s="1"/>
  <c r="E481" i="10" s="1"/>
  <c r="E480" i="10" s="1"/>
  <c r="E479" i="10" s="1"/>
  <c r="E478" i="10" s="1"/>
  <c r="E477" i="10" s="1"/>
  <c r="E476" i="10" s="1"/>
  <c r="E475" i="10" s="1"/>
  <c r="E474" i="10" s="1"/>
  <c r="E473" i="10" s="1"/>
  <c r="E472" i="10" s="1"/>
  <c r="E471" i="10" s="1"/>
  <c r="E470" i="10" s="1"/>
  <c r="E469" i="10" s="1"/>
  <c r="E468" i="10" s="1"/>
  <c r="E467" i="10" s="1"/>
  <c r="E466" i="10" s="1"/>
  <c r="E465" i="10" s="1"/>
  <c r="E464" i="10" s="1"/>
  <c r="E463" i="10" s="1"/>
  <c r="E462" i="10" s="1"/>
  <c r="E461" i="10" s="1"/>
  <c r="E460" i="10" s="1"/>
  <c r="E459" i="10" s="1"/>
  <c r="E458" i="10" s="1"/>
  <c r="E457" i="10" s="1"/>
  <c r="E456" i="10" s="1"/>
  <c r="E455" i="10" s="1"/>
  <c r="E454" i="10" s="1"/>
  <c r="E453" i="10" s="1"/>
  <c r="E452" i="10" s="1"/>
  <c r="E451" i="10" s="1"/>
  <c r="E450" i="10" s="1"/>
  <c r="E449" i="10" s="1"/>
  <c r="E448" i="10" s="1"/>
  <c r="E447" i="10" s="1"/>
  <c r="E446" i="10" s="1"/>
  <c r="E445" i="10" s="1"/>
  <c r="E444" i="10" s="1"/>
  <c r="E443" i="10" s="1"/>
  <c r="E442" i="10" s="1"/>
  <c r="E441" i="10" s="1"/>
  <c r="E440" i="10" s="1"/>
  <c r="E439" i="10" s="1"/>
  <c r="E438" i="10" s="1"/>
  <c r="E437" i="10" s="1"/>
  <c r="E436" i="10" s="1"/>
  <c r="E435" i="10" s="1"/>
  <c r="E434" i="10" s="1"/>
  <c r="E433" i="10" s="1"/>
  <c r="E432" i="10" s="1"/>
  <c r="E431" i="10" s="1"/>
  <c r="E430" i="10" s="1"/>
  <c r="E429" i="10" s="1"/>
  <c r="E428" i="10" s="1"/>
  <c r="E427" i="10" s="1"/>
  <c r="E426" i="10" s="1"/>
  <c r="E425" i="10" s="1"/>
  <c r="E424" i="10" s="1"/>
  <c r="E423" i="10" s="1"/>
  <c r="E422" i="10" s="1"/>
  <c r="E421" i="10" s="1"/>
  <c r="E420" i="10" s="1"/>
  <c r="E419" i="10" s="1"/>
  <c r="E418" i="10" s="1"/>
  <c r="E417" i="10" s="1"/>
  <c r="E416" i="10" s="1"/>
  <c r="E415" i="10" s="1"/>
  <c r="E414" i="10" s="1"/>
  <c r="E413" i="10" s="1"/>
  <c r="E412" i="10" s="1"/>
  <c r="E411" i="10" s="1"/>
  <c r="E410" i="10" s="1"/>
  <c r="E409" i="10" s="1"/>
  <c r="E408" i="10" s="1"/>
  <c r="E407" i="10" s="1"/>
  <c r="E406" i="10" s="1"/>
  <c r="E405" i="10" s="1"/>
  <c r="E404" i="10" s="1"/>
  <c r="E403" i="10" s="1"/>
  <c r="E402" i="10" s="1"/>
  <c r="E401" i="10" s="1"/>
  <c r="E400" i="10" s="1"/>
  <c r="E399" i="10" s="1"/>
  <c r="E398" i="10" s="1"/>
  <c r="E397" i="10" s="1"/>
  <c r="E396" i="10" s="1"/>
  <c r="E395" i="10" s="1"/>
  <c r="E394" i="10" s="1"/>
  <c r="E393" i="10" s="1"/>
  <c r="E392" i="10" s="1"/>
  <c r="E391" i="10" s="1"/>
  <c r="E390" i="10" s="1"/>
  <c r="E389" i="10" s="1"/>
  <c r="E388" i="10" s="1"/>
  <c r="E387" i="10" s="1"/>
  <c r="E386" i="10" s="1"/>
  <c r="E385" i="10" s="1"/>
  <c r="E384" i="10" s="1"/>
  <c r="E383" i="10" s="1"/>
  <c r="E382" i="10" s="1"/>
  <c r="E381" i="10" s="1"/>
  <c r="E380" i="10" s="1"/>
  <c r="E379" i="10" s="1"/>
  <c r="E378" i="10" s="1"/>
  <c r="E377" i="10" s="1"/>
  <c r="E376" i="10" s="1"/>
  <c r="E375" i="10" s="1"/>
  <c r="E374" i="10" s="1"/>
  <c r="E373" i="10" s="1"/>
  <c r="E372" i="10" s="1"/>
  <c r="E371" i="10" s="1"/>
  <c r="E370" i="10" s="1"/>
  <c r="E369" i="10" s="1"/>
  <c r="E368" i="10" s="1"/>
  <c r="E367" i="10" s="1"/>
  <c r="E366" i="10" s="1"/>
  <c r="E365" i="10" s="1"/>
  <c r="E364" i="10" s="1"/>
  <c r="E363" i="10" s="1"/>
  <c r="E362" i="10" s="1"/>
  <c r="E361" i="10" s="1"/>
  <c r="E360" i="10" s="1"/>
  <c r="E359" i="10" s="1"/>
  <c r="E358" i="10" s="1"/>
  <c r="E357" i="10" s="1"/>
  <c r="E356" i="10" s="1"/>
  <c r="E355" i="10" s="1"/>
  <c r="E354" i="10" s="1"/>
  <c r="E353" i="10" s="1"/>
  <c r="E352" i="10" s="1"/>
  <c r="E351" i="10" s="1"/>
  <c r="E350" i="10" s="1"/>
  <c r="E349" i="10" s="1"/>
  <c r="E348" i="10" s="1"/>
  <c r="E347" i="10" s="1"/>
  <c r="E346" i="10" s="1"/>
  <c r="E345" i="10" s="1"/>
  <c r="E344" i="10" s="1"/>
  <c r="E343" i="10" s="1"/>
  <c r="E342" i="10" s="1"/>
  <c r="E341" i="10" s="1"/>
  <c r="E340" i="10" s="1"/>
  <c r="E339" i="10" s="1"/>
  <c r="E338" i="10" s="1"/>
  <c r="E337" i="10" s="1"/>
  <c r="E336" i="10" s="1"/>
  <c r="E335" i="10" s="1"/>
  <c r="E334" i="10" s="1"/>
  <c r="E333" i="10" s="1"/>
  <c r="E332" i="10" s="1"/>
  <c r="E331" i="10" s="1"/>
  <c r="E330" i="10" s="1"/>
  <c r="E329" i="10" s="1"/>
  <c r="E328" i="10" s="1"/>
  <c r="E327" i="10" s="1"/>
  <c r="E326" i="10" s="1"/>
  <c r="E325" i="10" s="1"/>
  <c r="E324" i="10" s="1"/>
  <c r="E323" i="10" s="1"/>
  <c r="E322" i="10" s="1"/>
  <c r="E321" i="10" s="1"/>
  <c r="E320" i="10" s="1"/>
  <c r="E319" i="10" s="1"/>
  <c r="E318" i="10" s="1"/>
  <c r="E317" i="10" s="1"/>
  <c r="E316" i="10" s="1"/>
  <c r="E315" i="10" s="1"/>
  <c r="E314" i="10" s="1"/>
  <c r="E313" i="10" s="1"/>
  <c r="E312" i="10" s="1"/>
  <c r="E311" i="10" s="1"/>
  <c r="E310" i="10" s="1"/>
  <c r="E309" i="10" s="1"/>
  <c r="E308" i="10" s="1"/>
  <c r="E307" i="10" s="1"/>
  <c r="E306" i="10" s="1"/>
  <c r="E305" i="10" s="1"/>
  <c r="E304" i="10" s="1"/>
  <c r="E303" i="10" s="1"/>
  <c r="E302" i="10" s="1"/>
  <c r="E301" i="10" s="1"/>
  <c r="E300" i="10" s="1"/>
  <c r="E299" i="10" s="1"/>
  <c r="E298" i="10" s="1"/>
  <c r="E297" i="10" s="1"/>
  <c r="E296" i="10" s="1"/>
  <c r="E295" i="10" s="1"/>
  <c r="E294" i="10" s="1"/>
  <c r="E293" i="10" s="1"/>
  <c r="E292" i="10" s="1"/>
  <c r="E291" i="10" s="1"/>
  <c r="E290" i="10" s="1"/>
  <c r="E289" i="10" s="1"/>
  <c r="E288" i="10" s="1"/>
  <c r="E287" i="10" s="1"/>
  <c r="E286" i="10" s="1"/>
  <c r="E285" i="10" s="1"/>
  <c r="E284" i="10" s="1"/>
  <c r="E283" i="10" s="1"/>
  <c r="E282" i="10" s="1"/>
  <c r="E281" i="10" s="1"/>
  <c r="E280" i="10" s="1"/>
  <c r="E279" i="10" s="1"/>
  <c r="E278" i="10" s="1"/>
  <c r="E277" i="10" s="1"/>
  <c r="E276" i="10" s="1"/>
  <c r="E275" i="10" s="1"/>
  <c r="E274" i="10" s="1"/>
  <c r="E273" i="10" s="1"/>
  <c r="E272" i="10" s="1"/>
  <c r="E271" i="10" s="1"/>
  <c r="E270" i="10" s="1"/>
  <c r="E269" i="10" s="1"/>
  <c r="E268" i="10" s="1"/>
  <c r="E267" i="10" s="1"/>
  <c r="E266" i="10" s="1"/>
  <c r="E265" i="10" s="1"/>
  <c r="E264" i="10" s="1"/>
  <c r="E263" i="10" s="1"/>
  <c r="E262" i="10" s="1"/>
  <c r="E261" i="10" s="1"/>
  <c r="E260" i="10" s="1"/>
  <c r="E259" i="10" s="1"/>
  <c r="E258" i="10" s="1"/>
  <c r="E257" i="10" s="1"/>
  <c r="E256" i="10" s="1"/>
  <c r="E255" i="10" s="1"/>
  <c r="E254" i="10" s="1"/>
  <c r="E253" i="10" s="1"/>
  <c r="E252" i="10" s="1"/>
  <c r="E251" i="10" s="1"/>
  <c r="E250" i="10" s="1"/>
  <c r="E249" i="10" s="1"/>
  <c r="E248" i="10" s="1"/>
  <c r="E247" i="10" s="1"/>
  <c r="E246" i="10" s="1"/>
  <c r="E245" i="10" s="1"/>
  <c r="E244" i="10" s="1"/>
  <c r="E243" i="10" s="1"/>
  <c r="E242" i="10" s="1"/>
  <c r="E241" i="10" s="1"/>
  <c r="E240" i="10" s="1"/>
  <c r="E239" i="10" s="1"/>
  <c r="E238" i="10" s="1"/>
  <c r="E237" i="10" s="1"/>
  <c r="E236" i="10" s="1"/>
  <c r="E235" i="10" s="1"/>
  <c r="E234" i="10" s="1"/>
  <c r="E233" i="10" s="1"/>
  <c r="E232" i="10" s="1"/>
  <c r="E231" i="10" s="1"/>
  <c r="E230" i="10" s="1"/>
  <c r="E229" i="10" s="1"/>
  <c r="E228" i="10" s="1"/>
  <c r="E227" i="10" s="1"/>
  <c r="E226" i="10" s="1"/>
  <c r="E225" i="10" s="1"/>
  <c r="E224" i="10" s="1"/>
  <c r="E223" i="10" s="1"/>
  <c r="E222" i="10" s="1"/>
  <c r="E221" i="10" s="1"/>
  <c r="E220" i="10" s="1"/>
  <c r="E219" i="10" s="1"/>
  <c r="E218" i="10" s="1"/>
  <c r="E217" i="10" s="1"/>
  <c r="E216" i="10" s="1"/>
  <c r="E215" i="10" s="1"/>
  <c r="E214" i="10" s="1"/>
  <c r="E213" i="10" s="1"/>
  <c r="E212" i="10" s="1"/>
  <c r="E211" i="10" s="1"/>
  <c r="E210" i="10" s="1"/>
  <c r="E209" i="10" s="1"/>
  <c r="E208" i="10" s="1"/>
  <c r="E207" i="10" s="1"/>
  <c r="E206" i="10" s="1"/>
  <c r="E205" i="10" s="1"/>
  <c r="E204" i="10" s="1"/>
  <c r="E203" i="10" s="1"/>
  <c r="E202" i="10" s="1"/>
  <c r="E201" i="10" s="1"/>
  <c r="E200" i="10" s="1"/>
  <c r="E199" i="10" s="1"/>
  <c r="E198" i="10" s="1"/>
  <c r="E197" i="10" s="1"/>
  <c r="E196" i="10" s="1"/>
  <c r="E195" i="10" s="1"/>
  <c r="E194" i="10" s="1"/>
  <c r="E193" i="10" s="1"/>
  <c r="E192" i="10" s="1"/>
  <c r="E191" i="10" s="1"/>
  <c r="E190" i="10" s="1"/>
  <c r="E189" i="10" s="1"/>
  <c r="E188" i="10" s="1"/>
  <c r="E187" i="10" s="1"/>
  <c r="E186" i="10" s="1"/>
  <c r="E185" i="10" s="1"/>
  <c r="E184" i="10" s="1"/>
  <c r="E183" i="10" s="1"/>
  <c r="E182" i="10" s="1"/>
  <c r="E181" i="10" s="1"/>
  <c r="E180" i="10" s="1"/>
  <c r="E179" i="10" s="1"/>
  <c r="E178" i="10" s="1"/>
  <c r="E177" i="10" s="1"/>
  <c r="E176" i="10" s="1"/>
  <c r="E175" i="10" s="1"/>
  <c r="E174" i="10" s="1"/>
  <c r="E173" i="10" s="1"/>
  <c r="E172" i="10" s="1"/>
  <c r="E171" i="10" s="1"/>
  <c r="E170" i="10" s="1"/>
  <c r="E169" i="10" s="1"/>
  <c r="E168" i="10" s="1"/>
  <c r="E167" i="10" s="1"/>
  <c r="E166" i="10" s="1"/>
  <c r="E165" i="10" s="1"/>
  <c r="E164" i="10" s="1"/>
  <c r="E163" i="10" s="1"/>
  <c r="E162" i="10" s="1"/>
  <c r="E161" i="10" s="1"/>
  <c r="E160" i="10" s="1"/>
  <c r="E159" i="10" s="1"/>
  <c r="E158" i="10" s="1"/>
  <c r="E157" i="10" s="1"/>
  <c r="E156" i="10" s="1"/>
  <c r="E155" i="10" s="1"/>
  <c r="E154" i="10" s="1"/>
  <c r="E153" i="10" s="1"/>
  <c r="E152" i="10" s="1"/>
  <c r="E151" i="10" s="1"/>
  <c r="E150" i="10" s="1"/>
  <c r="E149" i="10" s="1"/>
  <c r="E148" i="10" s="1"/>
  <c r="E147" i="10" s="1"/>
  <c r="E146" i="10" s="1"/>
  <c r="E145" i="10" s="1"/>
  <c r="E144" i="10" s="1"/>
  <c r="E143" i="10" s="1"/>
  <c r="E142" i="10" s="1"/>
  <c r="E141" i="10" s="1"/>
  <c r="E140" i="10" s="1"/>
  <c r="E139" i="10" s="1"/>
  <c r="E138" i="10" s="1"/>
  <c r="E137" i="10" s="1"/>
  <c r="E136" i="10" s="1"/>
  <c r="E135" i="10" s="1"/>
  <c r="E134" i="10" s="1"/>
  <c r="E133" i="10" s="1"/>
  <c r="E132" i="10" s="1"/>
  <c r="E131" i="10" s="1"/>
  <c r="E130" i="10" s="1"/>
  <c r="E129" i="10" s="1"/>
  <c r="E128" i="10" s="1"/>
  <c r="E127" i="10" s="1"/>
  <c r="E126" i="10" s="1"/>
  <c r="E125" i="10" s="1"/>
  <c r="E124" i="10" s="1"/>
  <c r="E123" i="10" s="1"/>
  <c r="E122" i="10" s="1"/>
  <c r="E121" i="10" s="1"/>
  <c r="E120" i="10" s="1"/>
  <c r="E119" i="10" s="1"/>
  <c r="E118" i="10" s="1"/>
  <c r="E117" i="10" s="1"/>
  <c r="E116" i="10" s="1"/>
  <c r="E115" i="10" s="1"/>
  <c r="E114" i="10" s="1"/>
  <c r="E113" i="10" s="1"/>
  <c r="E112" i="10" s="1"/>
  <c r="E111" i="10" s="1"/>
  <c r="E110" i="10" s="1"/>
  <c r="E109" i="10" s="1"/>
  <c r="E108" i="10" s="1"/>
  <c r="E107" i="10" s="1"/>
  <c r="E106" i="10" s="1"/>
  <c r="E105" i="10" s="1"/>
  <c r="E104" i="10" s="1"/>
  <c r="E103" i="10" s="1"/>
  <c r="E102" i="10" s="1"/>
  <c r="E101" i="10" s="1"/>
  <c r="E100" i="10" s="1"/>
  <c r="E99" i="10" s="1"/>
  <c r="E98" i="10" s="1"/>
  <c r="E97" i="10" s="1"/>
  <c r="E96" i="10" s="1"/>
  <c r="E95" i="10" s="1"/>
  <c r="E94" i="10" s="1"/>
  <c r="E93" i="10" s="1"/>
  <c r="E92" i="10" s="1"/>
  <c r="E91" i="10" s="1"/>
  <c r="E90" i="10" s="1"/>
  <c r="E89" i="10" s="1"/>
  <c r="E88" i="10" s="1"/>
  <c r="E87" i="10" s="1"/>
  <c r="E86" i="10" s="1"/>
  <c r="E85" i="10" s="1"/>
  <c r="E84" i="10" s="1"/>
  <c r="E83" i="10" s="1"/>
  <c r="E82" i="10" s="1"/>
  <c r="E81" i="10" s="1"/>
  <c r="E80" i="10" s="1"/>
  <c r="E79" i="10" s="1"/>
  <c r="E78" i="10" s="1"/>
  <c r="E77" i="10" s="1"/>
  <c r="E76" i="10" s="1"/>
  <c r="E75" i="10" s="1"/>
  <c r="E74" i="10" s="1"/>
  <c r="E73" i="10" s="1"/>
  <c r="E72" i="10" s="1"/>
  <c r="E71" i="10" s="1"/>
  <c r="E70" i="10" s="1"/>
  <c r="E69" i="10" s="1"/>
  <c r="E68" i="10" s="1"/>
  <c r="E67" i="10" s="1"/>
  <c r="E66" i="10" s="1"/>
  <c r="E65" i="10" s="1"/>
  <c r="E64" i="10" s="1"/>
  <c r="E63" i="10" s="1"/>
  <c r="E62" i="10" s="1"/>
  <c r="E61" i="10" s="1"/>
  <c r="E60" i="10" s="1"/>
  <c r="E59" i="10" s="1"/>
  <c r="E58" i="10" s="1"/>
  <c r="E57" i="10" s="1"/>
  <c r="E56" i="10" s="1"/>
  <c r="E55" i="10" s="1"/>
  <c r="E54" i="10" s="1"/>
  <c r="E53" i="10" s="1"/>
  <c r="E52" i="10" s="1"/>
  <c r="E51" i="10" s="1"/>
  <c r="E50" i="10" s="1"/>
  <c r="E49" i="10" s="1"/>
  <c r="E48" i="10" s="1"/>
  <c r="E47" i="10" s="1"/>
  <c r="E46" i="10" s="1"/>
  <c r="E45" i="10" s="1"/>
  <c r="E44" i="10" s="1"/>
  <c r="E43" i="10" s="1"/>
  <c r="E42" i="10" s="1"/>
  <c r="E41" i="10" s="1"/>
  <c r="E40" i="10" s="1"/>
  <c r="E39" i="10" s="1"/>
  <c r="E38" i="10" s="1"/>
  <c r="E37" i="10" s="1"/>
  <c r="E36" i="10" s="1"/>
  <c r="E35" i="10" s="1"/>
  <c r="E34" i="10" s="1"/>
  <c r="E33" i="10" s="1"/>
  <c r="E32" i="10" s="1"/>
  <c r="E31" i="10" s="1"/>
  <c r="E30" i="10" s="1"/>
  <c r="E29" i="10" s="1"/>
  <c r="E28" i="10" s="1"/>
  <c r="E27" i="10" s="1"/>
  <c r="E26" i="10" s="1"/>
  <c r="E25" i="10" s="1"/>
  <c r="E24" i="10" s="1"/>
  <c r="E23" i="10" s="1"/>
  <c r="E22" i="10" s="1"/>
  <c r="E21" i="10" s="1"/>
  <c r="E20" i="10" s="1"/>
  <c r="E19" i="10" s="1"/>
  <c r="E18" i="10" s="1"/>
  <c r="E17" i="10" s="1"/>
  <c r="E16" i="10" s="1"/>
  <c r="E15" i="10" s="1"/>
  <c r="E14" i="10" s="1"/>
  <c r="E13" i="10" s="1"/>
  <c r="E12" i="10" s="1"/>
  <c r="E11" i="10" s="1"/>
  <c r="E10" i="10" s="1"/>
  <c r="E9" i="10" s="1"/>
  <c r="E8" i="10" s="1"/>
  <c r="E7" i="10" s="1"/>
  <c r="E6" i="10" s="1"/>
  <c r="E5" i="10" s="1"/>
  <c r="E864" i="10"/>
  <c r="D67" i="9"/>
  <c r="E95" i="9"/>
  <c r="E85" i="9"/>
  <c r="E75" i="9"/>
  <c r="E65" i="9"/>
  <c r="D55" i="9"/>
  <c r="D45" i="9"/>
  <c r="D35" i="9"/>
  <c r="D25" i="9"/>
  <c r="D15" i="9"/>
  <c r="D5" i="9"/>
  <c r="C14" i="9"/>
  <c r="C5" i="9"/>
  <c r="A5" i="8"/>
  <c r="G7" i="8"/>
  <c r="F7" i="8"/>
  <c r="E7" i="8"/>
  <c r="D7" i="8"/>
  <c r="C7" i="8"/>
  <c r="F7" i="7"/>
  <c r="C7" i="7"/>
  <c r="C80" i="2"/>
  <c r="E8" i="1"/>
  <c r="C15" i="9" l="1"/>
  <c r="D6" i="9"/>
  <c r="C24" i="9"/>
  <c r="C34" i="9" s="1"/>
  <c r="C44" i="9" s="1"/>
  <c r="C54" i="9" s="1"/>
  <c r="C64" i="9" s="1"/>
  <c r="C74" i="9" s="1"/>
  <c r="C84" i="9" s="1"/>
  <c r="C94" i="9" s="1"/>
  <c r="C6" i="9"/>
  <c r="E96" i="9"/>
  <c r="E97" i="9" s="1"/>
  <c r="D98" i="9" s="1"/>
  <c r="D99" i="9" s="1"/>
  <c r="D100" i="9" s="1"/>
  <c r="D101" i="9" s="1"/>
  <c r="D102" i="9" s="1"/>
  <c r="E86" i="9"/>
  <c r="E87" i="9" s="1"/>
  <c r="D88" i="9" s="1"/>
  <c r="D89" i="9" s="1"/>
  <c r="D90" i="9" s="1"/>
  <c r="D91" i="9" s="1"/>
  <c r="D92" i="9" s="1"/>
  <c r="E76" i="9"/>
  <c r="E77" i="9" s="1"/>
  <c r="D78" i="9" s="1"/>
  <c r="D79" i="9" s="1"/>
  <c r="D80" i="9" s="1"/>
  <c r="D81" i="9" s="1"/>
  <c r="D82" i="9" s="1"/>
  <c r="D66" i="9"/>
  <c r="D68" i="9" s="1"/>
  <c r="D69" i="9" s="1"/>
  <c r="D70" i="9" s="1"/>
  <c r="D71" i="9" s="1"/>
  <c r="D72" i="9" s="1"/>
  <c r="D56" i="9"/>
  <c r="D57" i="9" s="1"/>
  <c r="D58" i="9" s="1"/>
  <c r="D59" i="9" s="1"/>
  <c r="D60" i="9" s="1"/>
  <c r="D61" i="9" s="1"/>
  <c r="D62" i="9" s="1"/>
  <c r="D46" i="9"/>
  <c r="D47" i="9" s="1"/>
  <c r="D48" i="9" s="1"/>
  <c r="D49" i="9" s="1"/>
  <c r="D50" i="9" s="1"/>
  <c r="D51" i="9" s="1"/>
  <c r="D52" i="9" s="1"/>
  <c r="D36" i="9"/>
  <c r="D37" i="9" s="1"/>
  <c r="D38" i="9" s="1"/>
  <c r="D39" i="9" s="1"/>
  <c r="D40" i="9" s="1"/>
  <c r="D41" i="9" s="1"/>
  <c r="D42" i="9" s="1"/>
  <c r="D26" i="9"/>
  <c r="D27" i="9" s="1"/>
  <c r="D28" i="9" s="1"/>
  <c r="D29" i="9" s="1"/>
  <c r="D30" i="9" s="1"/>
  <c r="D31" i="9" s="1"/>
  <c r="D32" i="9" s="1"/>
  <c r="D16" i="9"/>
  <c r="D17" i="9" s="1"/>
  <c r="D18" i="9" s="1"/>
  <c r="D19" i="9" s="1"/>
  <c r="D20" i="9" s="1"/>
  <c r="D21" i="9" s="1"/>
  <c r="D22" i="9" s="1"/>
  <c r="G7" i="7"/>
  <c r="E7" i="7"/>
  <c r="D7" i="7"/>
  <c r="C95" i="9" l="1"/>
  <c r="C96" i="9" s="1"/>
  <c r="C97" i="9" s="1"/>
  <c r="C98" i="9" s="1"/>
  <c r="C99" i="9" s="1"/>
  <c r="C100" i="9" s="1"/>
  <c r="C101" i="9" s="1"/>
  <c r="C102" i="9" s="1"/>
  <c r="C103" i="9" s="1"/>
  <c r="C85" i="9"/>
  <c r="C86" i="9" s="1"/>
  <c r="C87" i="9" s="1"/>
  <c r="C88" i="9" s="1"/>
  <c r="C89" i="9" s="1"/>
  <c r="C90" i="9" s="1"/>
  <c r="C91" i="9" s="1"/>
  <c r="C92" i="9" s="1"/>
  <c r="C93" i="9" s="1"/>
  <c r="C75" i="9"/>
  <c r="C76" i="9" s="1"/>
  <c r="C77" i="9" s="1"/>
  <c r="C78" i="9" s="1"/>
  <c r="C79" i="9" s="1"/>
  <c r="C80" i="9" s="1"/>
  <c r="C81" i="9" s="1"/>
  <c r="C82" i="9" s="1"/>
  <c r="C83" i="9" s="1"/>
  <c r="C65" i="9"/>
  <c r="C66" i="9" s="1"/>
  <c r="C67" i="9" s="1"/>
  <c r="C68" i="9" s="1"/>
  <c r="C69" i="9" s="1"/>
  <c r="C70" i="9" s="1"/>
  <c r="C71" i="9" s="1"/>
  <c r="C72" i="9" s="1"/>
  <c r="C73" i="9" s="1"/>
  <c r="C55" i="9"/>
  <c r="C56" i="9" s="1"/>
  <c r="C57" i="9" s="1"/>
  <c r="C58" i="9" s="1"/>
  <c r="C59" i="9" s="1"/>
  <c r="C60" i="9" s="1"/>
  <c r="C61" i="9" s="1"/>
  <c r="C62" i="9" s="1"/>
  <c r="C63" i="9" s="1"/>
  <c r="C16" i="9"/>
  <c r="C17" i="9" s="1"/>
  <c r="C18" i="9" s="1"/>
  <c r="C19" i="9" s="1"/>
  <c r="C20" i="9" s="1"/>
  <c r="C21" i="9" s="1"/>
  <c r="C22" i="9" s="1"/>
  <c r="C23" i="9" s="1"/>
  <c r="D7" i="9"/>
  <c r="D8" i="9" s="1"/>
  <c r="D9" i="9" s="1"/>
  <c r="D10" i="9" s="1"/>
  <c r="D11" i="9" s="1"/>
  <c r="D12" i="9" s="1"/>
  <c r="C45" i="9"/>
  <c r="C46" i="9" s="1"/>
  <c r="C47" i="9" s="1"/>
  <c r="C48" i="9" s="1"/>
  <c r="C49" i="9" s="1"/>
  <c r="C50" i="9" s="1"/>
  <c r="C51" i="9" s="1"/>
  <c r="C52" i="9" s="1"/>
  <c r="C53" i="9" s="1"/>
  <c r="C35" i="9"/>
  <c r="C36" i="9" s="1"/>
  <c r="C37" i="9" s="1"/>
  <c r="C38" i="9" s="1"/>
  <c r="C39" i="9" s="1"/>
  <c r="C40" i="9" s="1"/>
  <c r="C41" i="9" s="1"/>
  <c r="C42" i="9" s="1"/>
  <c r="C43" i="9" s="1"/>
  <c r="C25" i="9"/>
  <c r="C26" i="9" s="1"/>
  <c r="C27" i="9" s="1"/>
  <c r="C28" i="9" s="1"/>
  <c r="C29" i="9" s="1"/>
  <c r="C30" i="9" s="1"/>
  <c r="C31" i="9" s="1"/>
  <c r="C32" i="9" s="1"/>
  <c r="C33" i="9" s="1"/>
  <c r="C7" i="9"/>
  <c r="C8" i="9" s="1"/>
  <c r="C9" i="9" s="1"/>
  <c r="C10" i="9" s="1"/>
  <c r="C11" i="9" s="1"/>
  <c r="C12" i="9" s="1"/>
  <c r="C13" i="9" s="1"/>
</calcChain>
</file>

<file path=xl/sharedStrings.xml><?xml version="1.0" encoding="utf-8"?>
<sst xmlns="http://schemas.openxmlformats.org/spreadsheetml/2006/main" count="287" uniqueCount="130">
  <si>
    <t>Month</t>
  </si>
  <si>
    <t>Revenue</t>
  </si>
  <si>
    <t>Jan</t>
  </si>
  <si>
    <t>Feb</t>
  </si>
  <si>
    <t>Mar</t>
  </si>
  <si>
    <t>Apr</t>
  </si>
  <si>
    <t>May</t>
  </si>
  <si>
    <t>Jun</t>
  </si>
  <si>
    <t>Projection Line (Helper)</t>
  </si>
  <si>
    <t>Line chart</t>
  </si>
  <si>
    <t>Fake 2 columns for 2 additional line</t>
  </si>
  <si>
    <t>Data lable add custom value (fake column)</t>
  </si>
  <si>
    <t>Draw 2 line</t>
  </si>
  <si>
    <t>insert text</t>
  </si>
  <si>
    <t>grouping</t>
  </si>
  <si>
    <t>Coloring</t>
  </si>
  <si>
    <t>A</t>
  </si>
  <si>
    <t>B</t>
  </si>
  <si>
    <t>C</t>
  </si>
  <si>
    <t>D</t>
  </si>
  <si>
    <t>E</t>
  </si>
  <si>
    <t>value</t>
  </si>
  <si>
    <t>Cat</t>
  </si>
  <si>
    <t>value 2</t>
  </si>
  <si>
    <t>value 3</t>
  </si>
  <si>
    <t>Category</t>
  </si>
  <si>
    <t>Value</t>
  </si>
  <si>
    <t>Sales Revenue</t>
  </si>
  <si>
    <t>Cost of Goods</t>
  </si>
  <si>
    <t>Net Income</t>
  </si>
  <si>
    <t>Admin cost</t>
  </si>
  <si>
    <t>Other</t>
  </si>
  <si>
    <t>Stage</t>
  </si>
  <si>
    <t>Count</t>
  </si>
  <si>
    <t>Website Visits</t>
  </si>
  <si>
    <t>Leads Generated</t>
  </si>
  <si>
    <t>Qualified Leads</t>
  </si>
  <si>
    <t>Proposals Sent</t>
  </si>
  <si>
    <t>Negotiations</t>
  </si>
  <si>
    <t>Closed Won</t>
  </si>
  <si>
    <t>Date</t>
  </si>
  <si>
    <t>Open</t>
  </si>
  <si>
    <t>High</t>
  </si>
  <si>
    <t>Low</t>
  </si>
  <si>
    <t>Close</t>
  </si>
  <si>
    <t>Mon</t>
  </si>
  <si>
    <t>Tue</t>
  </si>
  <si>
    <t>Wed</t>
  </si>
  <si>
    <t>Thu</t>
  </si>
  <si>
    <t>Fri</t>
  </si>
  <si>
    <t>9am</t>
  </si>
  <si>
    <t>10am</t>
  </si>
  <si>
    <t>11am</t>
  </si>
  <si>
    <t>12pm</t>
  </si>
  <si>
    <t>1pm</t>
  </si>
  <si>
    <t>2pm</t>
  </si>
  <si>
    <t>3pm</t>
  </si>
  <si>
    <t>Subcategory</t>
  </si>
  <si>
    <t>Electronics</t>
  </si>
  <si>
    <t>Phones</t>
  </si>
  <si>
    <t>Laptops</t>
  </si>
  <si>
    <t>Tablets</t>
  </si>
  <si>
    <t>Clothing</t>
  </si>
  <si>
    <t>Men's</t>
  </si>
  <si>
    <t>Women's</t>
  </si>
  <si>
    <t>Miles driven per month</t>
  </si>
  <si>
    <t>Cost per mile</t>
  </si>
  <si>
    <t>Above Average (Orange)</t>
  </si>
  <si>
    <t>Below Average (Gray)</t>
  </si>
  <si>
    <t>Average (Black)</t>
  </si>
  <si>
    <t>Cat 1</t>
  </si>
  <si>
    <t>Cat 2</t>
  </si>
  <si>
    <t>Cat 3</t>
  </si>
  <si>
    <t>Cat 4</t>
  </si>
  <si>
    <t>Cat 5</t>
  </si>
  <si>
    <t>S</t>
  </si>
  <si>
    <t>Survey item A</t>
  </si>
  <si>
    <t>Survey item B</t>
  </si>
  <si>
    <t>Survey item C</t>
  </si>
  <si>
    <t>Survey item D</t>
  </si>
  <si>
    <t>Survey item E</t>
  </si>
  <si>
    <t>x</t>
  </si>
  <si>
    <t>y</t>
  </si>
  <si>
    <t>y1</t>
  </si>
  <si>
    <t>One attempt</t>
  </si>
  <si>
    <t>2 attempts</t>
  </si>
  <si>
    <t>more than 2 attemps</t>
  </si>
  <si>
    <t>observation_date</t>
  </si>
  <si>
    <t>FEDFUNDS</t>
  </si>
  <si>
    <t>China</t>
  </si>
  <si>
    <t>India</t>
  </si>
  <si>
    <t>Africa</t>
  </si>
  <si>
    <t>Europe</t>
  </si>
  <si>
    <t>North America</t>
  </si>
  <si>
    <t>South America</t>
  </si>
  <si>
    <t>Other Asia</t>
  </si>
  <si>
    <t>P&amp;L Waterfall</t>
  </si>
  <si>
    <t>Amount ($000s)</t>
  </si>
  <si>
    <t>Cost of Goods Sold</t>
  </si>
  <si>
    <t>Gross Profit</t>
  </si>
  <si>
    <t>Sales &amp; Marketing</t>
  </si>
  <si>
    <t>Research &amp; Development</t>
  </si>
  <si>
    <t>General &amp; Administrative</t>
  </si>
  <si>
    <t>EBITDA</t>
  </si>
  <si>
    <t>Depreciation &amp; Amortization</t>
  </si>
  <si>
    <t>EBIT</t>
  </si>
  <si>
    <t>Interest Expense</t>
  </si>
  <si>
    <t>Other Income / (Expense)</t>
  </si>
  <si>
    <t>Pre-Tax Income</t>
  </si>
  <si>
    <t>Income Tax</t>
  </si>
  <si>
    <t>Label</t>
  </si>
  <si>
    <t>Base (invisible)</t>
  </si>
  <si>
    <t>Increase</t>
  </si>
  <si>
    <t>Decrease</t>
  </si>
  <si>
    <t>COGS</t>
  </si>
  <si>
    <t>S&amp;M</t>
  </si>
  <si>
    <t>R&amp;D</t>
  </si>
  <si>
    <t>G&amp;A</t>
  </si>
  <si>
    <t>D&amp;A</t>
  </si>
  <si>
    <t>Interest</t>
  </si>
  <si>
    <t>Other Inc.</t>
  </si>
  <si>
    <t>Pre-Tax Inc.</t>
  </si>
  <si>
    <t>Tax</t>
  </si>
  <si>
    <t>Depreciation</t>
  </si>
  <si>
    <t>Others</t>
  </si>
  <si>
    <t>Gender</t>
  </si>
  <si>
    <t>Height (in)</t>
  </si>
  <si>
    <t>Weight (lbs)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</si>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</sst>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/yy;@"/>
    <numFmt numFmtId="166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9.35"/>
      <color rgb="FF111111"/>
      <name val="Segoe UI"/>
      <family val="2"/>
    </font>
    <font>
      <sz val="9.35"/>
      <color rgb="FFFF0000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A5D6FF"/>
      <name val="Consolas"/>
      <family val="3"/>
    </font>
    <font>
      <sz val="8"/>
      <name val="Calibri"/>
      <family val="2"/>
      <scheme val="minor"/>
    </font>
    <font>
      <b/>
      <sz val="12"/>
      <color rgb="FFF68048"/>
      <name val="Roboto"/>
    </font>
    <font>
      <sz val="11"/>
      <color theme="1"/>
      <name val="Roboto"/>
    </font>
    <font>
      <b/>
      <sz val="11"/>
      <color rgb="FF5B73C4"/>
      <name val="Roboto"/>
    </font>
    <font>
      <b/>
      <sz val="11"/>
      <color rgb="FFA8B4DE"/>
      <name val="Roboto"/>
    </font>
    <font>
      <b/>
      <sz val="11"/>
      <color rgb="FF7E7E7E"/>
      <name val="Roboto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B4DE"/>
        <bgColor indexed="64"/>
      </patternFill>
    </fill>
    <fill>
      <patternFill patternType="solid">
        <fgColor rgb="FF5B73C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4" fillId="4" borderId="0" xfId="0" applyFont="1" applyFill="1"/>
    <xf numFmtId="3" fontId="0" fillId="0" borderId="0" xfId="0" applyNumberFormat="1"/>
    <xf numFmtId="16" fontId="0" fillId="0" borderId="0" xfId="0" applyNumberFormat="1"/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7" fillId="0" borderId="0" xfId="0" applyNumberFormat="1" applyFont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0" fillId="0" borderId="0" xfId="1" applyNumberFormat="1" applyFont="1"/>
    <xf numFmtId="0" fontId="4" fillId="0" borderId="5" xfId="0" applyFont="1" applyBorder="1" applyAlignment="1">
      <alignment horizontal="center" vertical="top"/>
    </xf>
    <xf numFmtId="2" fontId="0" fillId="0" borderId="0" xfId="0" applyNumberFormat="1"/>
    <xf numFmtId="165" fontId="0" fillId="0" borderId="0" xfId="0" applyNumberFormat="1"/>
    <xf numFmtId="0" fontId="13" fillId="0" borderId="0" xfId="0" applyFont="1"/>
    <xf numFmtId="0" fontId="14" fillId="8" borderId="0" xfId="0" applyFont="1" applyFill="1"/>
    <xf numFmtId="0" fontId="14" fillId="8" borderId="0" xfId="0" applyFont="1" applyFill="1" applyAlignment="1">
      <alignment horizontal="left"/>
    </xf>
    <xf numFmtId="0" fontId="14" fillId="8" borderId="0" xfId="0" applyFont="1" applyFill="1" applyAlignment="1">
      <alignment horizontal="right"/>
    </xf>
    <xf numFmtId="0" fontId="4" fillId="0" borderId="0" xfId="0" applyFont="1"/>
    <xf numFmtId="166" fontId="4" fillId="0" borderId="0" xfId="0" applyNumberFormat="1" applyFont="1"/>
    <xf numFmtId="166" fontId="0" fillId="0" borderId="0" xfId="0" applyNumberFormat="1"/>
    <xf numFmtId="166" fontId="14" fillId="8" borderId="0" xfId="0" applyNumberFormat="1" applyFont="1" applyFill="1"/>
    <xf numFmtId="10" fontId="0" fillId="0" borderId="0" xfId="2" applyNumberFormat="1" applyFont="1"/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5B73C4"/>
      <color rgb="FF0D1A63"/>
      <color rgb="FFFAB69B"/>
      <color rgb="FFA8B4DE"/>
      <color rgb="FFF68048"/>
      <color rgb="FFFDD1C3"/>
      <color rgb="FFF89B72"/>
      <color rgb="FF7E7E7E"/>
      <color rgb="FFF5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day_1!$B$1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D1A63"/>
              </a:solidFill>
              <a:ln w="25400">
                <a:solidFill>
                  <a:srgbClr val="0D1A6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day_1!$A$2:$A$7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day_1!$B$2:$B$7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62</c:v>
                </c:pt>
                <c:pt idx="4">
                  <c:v>78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3-434D-B1D7-E30C7966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494927"/>
        <c:axId val="1901423071"/>
      </c:lineChart>
      <c:catAx>
        <c:axId val="165349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01423071"/>
        <c:crosses val="autoZero"/>
        <c:auto val="1"/>
        <c:lblAlgn val="ctr"/>
        <c:lblOffset val="100"/>
        <c:noMultiLvlLbl val="0"/>
      </c:catAx>
      <c:valAx>
        <c:axId val="1901423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349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day_1!$B$1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D1A63"/>
              </a:solidFill>
              <a:ln w="25400">
                <a:solidFill>
                  <a:srgbClr val="0D1A6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day_1!$A$2:$A$8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day_1!$B$2:$B$7</c:f>
              <c:numCache>
                <c:formatCode>General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48</c:v>
                </c:pt>
                <c:pt idx="3">
                  <c:v>62</c:v>
                </c:pt>
                <c:pt idx="4">
                  <c:v>78</c:v>
                </c:pt>
                <c:pt idx="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1-46F4-9827-238B81845621}"/>
            </c:ext>
          </c:extLst>
        </c:ser>
        <c:ser>
          <c:idx val="1"/>
          <c:order val="1"/>
          <c:tx>
            <c:strRef>
              <c:f>day_1!$C$1</c:f>
              <c:strCache>
                <c:ptCount val="1"/>
                <c:pt idx="0">
                  <c:v>Projection Line (Helper)</c:v>
                </c:pt>
              </c:strCache>
            </c:strRef>
          </c:tx>
          <c:spPr>
            <a:ln w="12700" cap="rnd">
              <a:solidFill>
                <a:srgbClr val="7E7E7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7E7E7E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11-46F4-9827-238B818456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11-46F4-9827-238B818456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11-46F4-9827-238B818456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089CBE-ADDB-4828-A8D5-95FDEC05D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11-46F4-9827-238B8184562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4C20D7-C792-4E94-8ED5-603DDAE16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11-46F4-9827-238B8184562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7F30CA-07EA-47DC-8A80-609E219C8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D11-46F4-9827-238B81845621}"/>
                </c:ext>
              </c:extLst>
            </c:dLbl>
            <c:dLbl>
              <c:idx val="6"/>
              <c:layout>
                <c:manualLayout>
                  <c:x val="-4.066974457284013E-2"/>
                  <c:y val="-6.2103958625582246E-2"/>
                </c:manualLayout>
              </c:layout>
              <c:tx>
                <c:rich>
                  <a:bodyPr/>
                  <a:lstStyle/>
                  <a:p>
                    <a:fld id="{E7CF2590-1D9C-409C-8E37-A1A0FF015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11-46F4-9827-238B818456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68048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day_1!$A$2:$A$8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day_1!$C$2:$C$8</c:f>
              <c:numCache>
                <c:formatCode>General</c:formatCode>
                <c:ptCount val="7"/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day_1!$E$2:$E$8</c15:f>
                <c15:dlblRangeCache>
                  <c:ptCount val="7"/>
                  <c:pt idx="6">
                    <c:v>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BD11-46F4-9827-238B81845621}"/>
            </c:ext>
          </c:extLst>
        </c:ser>
        <c:ser>
          <c:idx val="2"/>
          <c:order val="2"/>
          <c:tx>
            <c:strRef>
              <c:f>day_1!$D$1</c:f>
              <c:strCache>
                <c:ptCount val="1"/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day_1!$D$2:$D$8</c:f>
              <c:numCache>
                <c:formatCode>General</c:formatCode>
                <c:ptCount val="7"/>
                <c:pt idx="4">
                  <c:v>78</c:v>
                </c:pt>
                <c:pt idx="5">
                  <c:v>78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11-46F4-9827-238B81845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494927"/>
        <c:axId val="1901423071"/>
      </c:lineChart>
      <c:catAx>
        <c:axId val="165349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901423071"/>
        <c:crosses val="autoZero"/>
        <c:auto val="1"/>
        <c:lblAlgn val="ctr"/>
        <c:lblOffset val="100"/>
        <c:noMultiLvlLbl val="0"/>
      </c:catAx>
      <c:valAx>
        <c:axId val="1901423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349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charts_type!$C$2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cat>
            <c:strRef>
              <c:f>charts_type!$B$3:$B$7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charts_type!$C$3:$C$7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8-4976-A31C-95D04877F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7597696"/>
        <c:axId val="17594816"/>
      </c:barChart>
      <c:catAx>
        <c:axId val="17597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94816"/>
        <c:crosses val="autoZero"/>
        <c:auto val="1"/>
        <c:lblAlgn val="ctr"/>
        <c:lblOffset val="100"/>
        <c:noMultiLvlLbl val="0"/>
      </c:catAx>
      <c:valAx>
        <c:axId val="17594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9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charts_type!$C$2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charts_type!$C$3:$C$7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2-47D8-80FE-4247DEA4E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6016"/>
        <c:axId val="17615936"/>
      </c:lineChart>
      <c:catAx>
        <c:axId val="1762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15936"/>
        <c:crosses val="autoZero"/>
        <c:auto val="1"/>
        <c:lblAlgn val="ctr"/>
        <c:lblOffset val="100"/>
        <c:noMultiLvlLbl val="0"/>
      </c:catAx>
      <c:valAx>
        <c:axId val="17615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2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charts_type!$C$2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D1A63"/>
            </a:solidFill>
            <a:ln>
              <a:solidFill>
                <a:srgbClr val="0D1A63"/>
              </a:solidFill>
            </a:ln>
            <a:effectLst/>
          </c:spPr>
          <c:cat>
            <c:strRef>
              <c:f>charts_type!$B$3:$B$7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charts_type!$C$3:$C$7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8-4F6A-8485-FB1C0F028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6016"/>
        <c:axId val="17615936"/>
      </c:areaChart>
      <c:catAx>
        <c:axId val="1762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15936"/>
        <c:crosses val="autoZero"/>
        <c:auto val="1"/>
        <c:lblAlgn val="ctr"/>
        <c:lblOffset val="100"/>
        <c:noMultiLvlLbl val="0"/>
      </c:catAx>
      <c:valAx>
        <c:axId val="17615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2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0925925925925923E-2"/>
          <c:w val="1"/>
          <c:h val="0.892600612423447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6804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68048"/>
              </a:solidFill>
              <a:ln w="9525">
                <a:solidFill>
                  <a:srgbClr val="F68048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charts_type!$B$22:$C$22</c:f>
              <c:numCache>
                <c:formatCode>General</c:formatCode>
                <c:ptCount val="2"/>
                <c:pt idx="0">
                  <c:v>4.5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4-462B-AFA7-60FE329EED65}"/>
            </c:ext>
          </c:extLst>
        </c:ser>
        <c:ser>
          <c:idx val="1"/>
          <c:order val="1"/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charts_type!$B$23:$C$23</c:f>
              <c:numCache>
                <c:formatCode>General</c:formatCode>
                <c:ptCount val="2"/>
                <c:pt idx="0">
                  <c:v>3</c:v>
                </c:pt>
                <c:pt idx="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4-462B-AFA7-60FE329EED65}"/>
            </c:ext>
          </c:extLst>
        </c:ser>
        <c:ser>
          <c:idx val="2"/>
          <c:order val="2"/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charts_type!$B$24:$C$24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4-462B-AFA7-60FE329EED65}"/>
            </c:ext>
          </c:extLst>
        </c:ser>
        <c:ser>
          <c:idx val="3"/>
          <c:order val="3"/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charts_type!$B$25:$C$25</c:f>
              <c:numCache>
                <c:formatCode>General</c:formatCode>
                <c:ptCount val="2"/>
                <c:pt idx="0">
                  <c:v>1</c:v>
                </c:pt>
                <c:pt idx="1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E4-462B-AFA7-60FE329EED65}"/>
            </c:ext>
          </c:extLst>
        </c:ser>
        <c:ser>
          <c:idx val="4"/>
          <c:order val="4"/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charts_type!$B$26:$C$26</c:f>
              <c:numCache>
                <c:formatCode>General</c:formatCode>
                <c:ptCount val="2"/>
                <c:pt idx="0">
                  <c:v>2.9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E4-462B-AFA7-60FE329EED65}"/>
            </c:ext>
          </c:extLst>
        </c:ser>
        <c:ser>
          <c:idx val="5"/>
          <c:order val="5"/>
          <c:spPr>
            <a:ln w="28575" cap="rnd">
              <a:solidFill>
                <a:srgbClr val="0D1A6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1A63"/>
              </a:solidFill>
              <a:ln w="9525">
                <a:solidFill>
                  <a:srgbClr val="0D1A63"/>
                </a:solidFill>
              </a:ln>
              <a:effectLst/>
            </c:spPr>
          </c:marker>
          <c:cat>
            <c:strRef>
              <c:f>charts_type!$B$21:$C$21</c:f>
              <c:strCache>
                <c:ptCount val="2"/>
                <c:pt idx="0">
                  <c:v>value</c:v>
                </c:pt>
                <c:pt idx="1">
                  <c:v>value 2</c:v>
                </c:pt>
              </c:strCache>
            </c:strRef>
          </c:cat>
          <c:val>
            <c:numRef>
              <c:f>charts_type!$B$27:$C$27</c:f>
              <c:numCache>
                <c:formatCode>General</c:formatCode>
                <c:ptCount val="2"/>
                <c:pt idx="0">
                  <c:v>3</c:v>
                </c:pt>
                <c:pt idx="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E4-462B-AFA7-60FE329E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8176"/>
        <c:axId val="17529056"/>
      </c:lineChart>
      <c:cat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auto val="1"/>
        <c:lblAlgn val="ctr"/>
        <c:lblOffset val="100"/>
        <c:noMultiLvlLbl val="0"/>
      </c:cat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charts_type!$C$2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0D1A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06-4079-88AE-BE60670BD1DE}"/>
              </c:ext>
            </c:extLst>
          </c:dPt>
          <c:dPt>
            <c:idx val="1"/>
            <c:bubble3D val="0"/>
            <c:spPr>
              <a:solidFill>
                <a:srgbClr val="0D1A63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06-4079-88AE-BE60670BD1DE}"/>
              </c:ext>
            </c:extLst>
          </c:dPt>
          <c:dPt>
            <c:idx val="2"/>
            <c:bubble3D val="0"/>
            <c:spPr>
              <a:solidFill>
                <a:srgbClr val="0D1A63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6-4079-88AE-BE60670BD1DE}"/>
              </c:ext>
            </c:extLst>
          </c:dPt>
          <c:dPt>
            <c:idx val="3"/>
            <c:bubble3D val="0"/>
            <c:spPr>
              <a:solidFill>
                <a:srgbClr val="0D1A63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06-4079-88AE-BE60670BD1DE}"/>
              </c:ext>
            </c:extLst>
          </c:dPt>
          <c:dPt>
            <c:idx val="4"/>
            <c:bubble3D val="0"/>
            <c:spPr>
              <a:solidFill>
                <a:srgbClr val="0D1A63">
                  <a:alpha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06-4079-88AE-BE60670BD1DE}"/>
              </c:ext>
            </c:extLst>
          </c:dPt>
          <c:cat>
            <c:strRef>
              <c:f>charts_type!$B$3:$B$7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charts_type!$C$3:$C$7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6-4079-88AE-BE60670BD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0925925925925923E-2"/>
          <c:w val="1"/>
          <c:h val="0.89260061242344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charts_type!$C$21</c:f>
              <c:strCache>
                <c:ptCount val="1"/>
                <c:pt idx="0">
                  <c:v>value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68048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charts_type!$B$22:$B$32</c:f>
              <c:numCache>
                <c:formatCode>General</c:formatCode>
                <c:ptCount val="11"/>
                <c:pt idx="0">
                  <c:v>4.5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2.9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xVal>
          <c:yVal>
            <c:numRef>
              <c:f>charts_type!$C$22:$C$32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4</c:v>
                </c:pt>
                <c:pt idx="3">
                  <c:v>1.75</c:v>
                </c:pt>
                <c:pt idx="4">
                  <c:v>3</c:v>
                </c:pt>
                <c:pt idx="5">
                  <c:v>2.5</c:v>
                </c:pt>
                <c:pt idx="6">
                  <c:v>3</c:v>
                </c:pt>
                <c:pt idx="7">
                  <c:v>4</c:v>
                </c:pt>
                <c:pt idx="8">
                  <c:v>3.25</c:v>
                </c:pt>
                <c:pt idx="9">
                  <c:v>1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E-4B66-89D5-C0C22F82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176"/>
        <c:axId val="17529056"/>
      </c:scatterChart>
      <c:val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crossBetween val="midCat"/>
      </c:val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0925925925925923E-2"/>
          <c:w val="1"/>
          <c:h val="0.89260061242344702"/>
        </c:manualLayout>
      </c:layout>
      <c:bubbleChart>
        <c:varyColors val="0"/>
        <c:ser>
          <c:idx val="0"/>
          <c:order val="0"/>
          <c:tx>
            <c:strRef>
              <c:f>charts_type!$C$21</c:f>
              <c:strCache>
                <c:ptCount val="1"/>
                <c:pt idx="0">
                  <c:v>value 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xVal>
            <c:numRef>
              <c:f>charts_type!$B$22:$B$32</c:f>
              <c:numCache>
                <c:formatCode>General</c:formatCode>
                <c:ptCount val="11"/>
                <c:pt idx="0">
                  <c:v>4.5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2.9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xVal>
          <c:yVal>
            <c:numRef>
              <c:f>charts_type!$C$22:$C$32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4</c:v>
                </c:pt>
                <c:pt idx="3">
                  <c:v>1.75</c:v>
                </c:pt>
                <c:pt idx="4">
                  <c:v>3</c:v>
                </c:pt>
                <c:pt idx="5">
                  <c:v>2.5</c:v>
                </c:pt>
                <c:pt idx="6">
                  <c:v>3</c:v>
                </c:pt>
                <c:pt idx="7">
                  <c:v>4</c:v>
                </c:pt>
                <c:pt idx="8">
                  <c:v>3.25</c:v>
                </c:pt>
                <c:pt idx="9">
                  <c:v>1</c:v>
                </c:pt>
                <c:pt idx="10">
                  <c:v>2</c:v>
                </c:pt>
              </c:numCache>
            </c:numRef>
          </c:yVal>
          <c:bubbleSize>
            <c:numRef>
              <c:f>charts_type!$D$22:$D$32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0.6</c:v>
                </c:pt>
                <c:pt idx="3">
                  <c:v>0.6</c:v>
                </c:pt>
                <c:pt idx="4">
                  <c:v>0.4</c:v>
                </c:pt>
                <c:pt idx="5">
                  <c:v>0.6</c:v>
                </c:pt>
                <c:pt idx="6">
                  <c:v>0.5</c:v>
                </c:pt>
                <c:pt idx="7">
                  <c:v>0.9</c:v>
                </c:pt>
                <c:pt idx="8">
                  <c:v>0.5</c:v>
                </c:pt>
                <c:pt idx="9">
                  <c:v>0.1</c:v>
                </c:pt>
                <c:pt idx="10">
                  <c:v>0.6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C752-4D2D-B8A0-3332F8A87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538176"/>
        <c:axId val="17529056"/>
      </c:bubbleChart>
      <c:val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crossBetween val="midCat"/>
      </c:val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0434817357920706"/>
          <c:w val="1"/>
          <c:h val="0.8926006124234470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538176"/>
        <c:axId val="17529056"/>
      </c:scatterChart>
      <c:val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crossBetween val="midCat"/>
      </c:val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0434817357920706"/>
          <c:w val="1"/>
          <c:h val="0.8926006124234470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538176"/>
        <c:axId val="17529056"/>
      </c:scatterChart>
      <c:val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crossBetween val="midCat"/>
      </c:val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charts_type!$C$93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charts_type!$B$94:$B$103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charts_type!$C$94:$C$103</c:f>
              <c:numCache>
                <c:formatCode>General</c:formatCode>
                <c:ptCount val="10"/>
                <c:pt idx="0">
                  <c:v>142.5</c:v>
                </c:pt>
                <c:pt idx="1">
                  <c:v>146.80000000000001</c:v>
                </c:pt>
                <c:pt idx="2">
                  <c:v>145.19999999999999</c:v>
                </c:pt>
                <c:pt idx="3">
                  <c:v>143</c:v>
                </c:pt>
                <c:pt idx="4">
                  <c:v>148.69999999999999</c:v>
                </c:pt>
                <c:pt idx="5">
                  <c:v>151.4</c:v>
                </c:pt>
                <c:pt idx="6">
                  <c:v>149.5</c:v>
                </c:pt>
                <c:pt idx="7">
                  <c:v>150.80000000000001</c:v>
                </c:pt>
                <c:pt idx="8">
                  <c:v>155</c:v>
                </c:pt>
                <c:pt idx="9">
                  <c:v>153.30000000000001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6-4BDF-9228-EE9AEFC98BA0}"/>
            </c:ext>
          </c:extLst>
        </c:ser>
        <c:ser>
          <c:idx val="1"/>
          <c:order val="1"/>
          <c:tx>
            <c:strRef>
              <c:f>charts_type!$D$93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charts_type!$B$94:$B$103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charts_type!$D$94:$D$103</c:f>
              <c:numCache>
                <c:formatCode>General</c:formatCode>
                <c:ptCount val="10"/>
                <c:pt idx="0">
                  <c:v>148.19999999999999</c:v>
                </c:pt>
                <c:pt idx="1">
                  <c:v>150.30000000000001</c:v>
                </c:pt>
                <c:pt idx="2">
                  <c:v>147.9</c:v>
                </c:pt>
                <c:pt idx="3">
                  <c:v>149.5</c:v>
                </c:pt>
                <c:pt idx="4">
                  <c:v>153.1</c:v>
                </c:pt>
                <c:pt idx="5">
                  <c:v>154.80000000000001</c:v>
                </c:pt>
                <c:pt idx="6">
                  <c:v>152</c:v>
                </c:pt>
                <c:pt idx="7">
                  <c:v>156.19999999999999</c:v>
                </c:pt>
                <c:pt idx="8">
                  <c:v>157.5</c:v>
                </c:pt>
                <c:pt idx="9">
                  <c:v>158.9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46-4BDF-9228-EE9AEFC98BA0}"/>
            </c:ext>
          </c:extLst>
        </c:ser>
        <c:ser>
          <c:idx val="2"/>
          <c:order val="2"/>
          <c:tx>
            <c:strRef>
              <c:f>charts_type!$E$93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charts_type!$B$94:$B$103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charts_type!$E$94:$E$103</c:f>
              <c:numCache>
                <c:formatCode>General</c:formatCode>
                <c:ptCount val="10"/>
                <c:pt idx="0">
                  <c:v>140.1</c:v>
                </c:pt>
                <c:pt idx="1">
                  <c:v>144.5</c:v>
                </c:pt>
                <c:pt idx="2">
                  <c:v>141.80000000000001</c:v>
                </c:pt>
                <c:pt idx="3">
                  <c:v>142.30000000000001</c:v>
                </c:pt>
                <c:pt idx="4">
                  <c:v>147</c:v>
                </c:pt>
                <c:pt idx="5">
                  <c:v>148.9</c:v>
                </c:pt>
                <c:pt idx="6">
                  <c:v>146.30000000000001</c:v>
                </c:pt>
                <c:pt idx="7">
                  <c:v>149.69999999999999</c:v>
                </c:pt>
                <c:pt idx="8">
                  <c:v>152.1</c:v>
                </c:pt>
                <c:pt idx="9">
                  <c:v>151.5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46-4BDF-9228-EE9AEFC98BA0}"/>
            </c:ext>
          </c:extLst>
        </c:ser>
        <c:ser>
          <c:idx val="3"/>
          <c:order val="3"/>
          <c:tx>
            <c:strRef>
              <c:f>charts_type!$F$93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charts_type!$B$94:$B$103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charts_type!$F$94:$F$103</c:f>
              <c:numCache>
                <c:formatCode>General</c:formatCode>
                <c:ptCount val="10"/>
                <c:pt idx="0">
                  <c:v>146.80000000000001</c:v>
                </c:pt>
                <c:pt idx="1">
                  <c:v>145.19999999999999</c:v>
                </c:pt>
                <c:pt idx="2">
                  <c:v>143</c:v>
                </c:pt>
                <c:pt idx="3">
                  <c:v>148.69999999999999</c:v>
                </c:pt>
                <c:pt idx="4">
                  <c:v>151.4</c:v>
                </c:pt>
                <c:pt idx="5">
                  <c:v>149.5</c:v>
                </c:pt>
                <c:pt idx="6">
                  <c:v>150.80000000000001</c:v>
                </c:pt>
                <c:pt idx="7">
                  <c:v>155</c:v>
                </c:pt>
                <c:pt idx="8">
                  <c:v>153.30000000000001</c:v>
                </c:pt>
                <c:pt idx="9">
                  <c:v>157.6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46-4BDF-9228-EE9AEFC98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D1A63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A8B4DE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623173151"/>
        <c:axId val="1623167391"/>
      </c:stockChart>
      <c:dateAx>
        <c:axId val="1623173151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1623167391"/>
        <c:crosses val="autoZero"/>
        <c:auto val="1"/>
        <c:lblOffset val="100"/>
        <c:baseTimeUnit val="days"/>
      </c:dateAx>
      <c:valAx>
        <c:axId val="1623167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317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0434817357920706"/>
          <c:w val="1"/>
          <c:h val="0.8926006124234470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538176"/>
        <c:axId val="17529056"/>
      </c:scatterChart>
      <c:valAx>
        <c:axId val="17538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056"/>
        <c:crosses val="autoZero"/>
        <c:crossBetween val="midCat"/>
      </c:valAx>
      <c:valAx>
        <c:axId val="17529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381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5F6F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 per mile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Sheet1!$A$2:$A$37</c:f>
              <c:numCache>
                <c:formatCode>General</c:formatCode>
                <c:ptCount val="36"/>
                <c:pt idx="0">
                  <c:v>1100</c:v>
                </c:pt>
                <c:pt idx="1">
                  <c:v>1150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1450</c:v>
                </c:pt>
                <c:pt idx="6">
                  <c:v>1550</c:v>
                </c:pt>
                <c:pt idx="7">
                  <c:v>1650</c:v>
                </c:pt>
                <c:pt idx="8">
                  <c:v>1700</c:v>
                </c:pt>
                <c:pt idx="9">
                  <c:v>1800</c:v>
                </c:pt>
                <c:pt idx="10">
                  <c:v>1850</c:v>
                </c:pt>
                <c:pt idx="11">
                  <c:v>1950</c:v>
                </c:pt>
                <c:pt idx="12">
                  <c:v>2000</c:v>
                </c:pt>
                <c:pt idx="13">
                  <c:v>2150</c:v>
                </c:pt>
                <c:pt idx="14">
                  <c:v>2200</c:v>
                </c:pt>
                <c:pt idx="15">
                  <c:v>2250</c:v>
                </c:pt>
                <c:pt idx="16">
                  <c:v>2300</c:v>
                </c:pt>
                <c:pt idx="17">
                  <c:v>2350</c:v>
                </c:pt>
                <c:pt idx="18">
                  <c:v>2400</c:v>
                </c:pt>
                <c:pt idx="19">
                  <c:v>2500</c:v>
                </c:pt>
                <c:pt idx="20">
                  <c:v>2550</c:v>
                </c:pt>
                <c:pt idx="21">
                  <c:v>2600</c:v>
                </c:pt>
                <c:pt idx="22">
                  <c:v>2650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3050</c:v>
                </c:pt>
                <c:pt idx="27">
                  <c:v>3100</c:v>
                </c:pt>
                <c:pt idx="28">
                  <c:v>3200</c:v>
                </c:pt>
                <c:pt idx="29">
                  <c:v>3250</c:v>
                </c:pt>
                <c:pt idx="30">
                  <c:v>3350</c:v>
                </c:pt>
                <c:pt idx="31">
                  <c:v>3450</c:v>
                </c:pt>
                <c:pt idx="32">
                  <c:v>3500</c:v>
                </c:pt>
                <c:pt idx="33">
                  <c:v>3550</c:v>
                </c:pt>
                <c:pt idx="34">
                  <c:v>3600</c:v>
                </c:pt>
                <c:pt idx="35">
                  <c:v>3800</c:v>
                </c:pt>
              </c:numCache>
            </c:numRef>
          </c:xVal>
          <c:yVal>
            <c:numRef>
              <c:f>Sheet1!$B$2:$B$37</c:f>
              <c:numCache>
                <c:formatCode>General</c:formatCode>
                <c:ptCount val="36"/>
                <c:pt idx="0">
                  <c:v>2.4</c:v>
                </c:pt>
                <c:pt idx="1">
                  <c:v>2.8</c:v>
                </c:pt>
                <c:pt idx="2">
                  <c:v>2.2000000000000002</c:v>
                </c:pt>
                <c:pt idx="3">
                  <c:v>2.5</c:v>
                </c:pt>
                <c:pt idx="4">
                  <c:v>1.9</c:v>
                </c:pt>
                <c:pt idx="5">
                  <c:v>2</c:v>
                </c:pt>
                <c:pt idx="6">
                  <c:v>2.2000000000000002</c:v>
                </c:pt>
                <c:pt idx="7">
                  <c:v>2</c:v>
                </c:pt>
                <c:pt idx="8">
                  <c:v>1.35</c:v>
                </c:pt>
                <c:pt idx="9">
                  <c:v>1.3</c:v>
                </c:pt>
                <c:pt idx="10">
                  <c:v>1.2</c:v>
                </c:pt>
                <c:pt idx="11">
                  <c:v>1.2</c:v>
                </c:pt>
                <c:pt idx="12">
                  <c:v>1.1000000000000001</c:v>
                </c:pt>
                <c:pt idx="13">
                  <c:v>1.35</c:v>
                </c:pt>
                <c:pt idx="14">
                  <c:v>1.2</c:v>
                </c:pt>
                <c:pt idx="15">
                  <c:v>1.3</c:v>
                </c:pt>
                <c:pt idx="16">
                  <c:v>1.1000000000000001</c:v>
                </c:pt>
                <c:pt idx="17">
                  <c:v>1.2</c:v>
                </c:pt>
                <c:pt idx="18">
                  <c:v>1.5</c:v>
                </c:pt>
                <c:pt idx="19">
                  <c:v>1.4</c:v>
                </c:pt>
                <c:pt idx="20">
                  <c:v>1.2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0.8</c:v>
                </c:pt>
                <c:pt idx="24">
                  <c:v>1.05</c:v>
                </c:pt>
                <c:pt idx="25">
                  <c:v>1</c:v>
                </c:pt>
                <c:pt idx="26">
                  <c:v>1.3</c:v>
                </c:pt>
                <c:pt idx="27">
                  <c:v>1</c:v>
                </c:pt>
                <c:pt idx="28">
                  <c:v>1.25</c:v>
                </c:pt>
                <c:pt idx="29">
                  <c:v>1.1000000000000001</c:v>
                </c:pt>
                <c:pt idx="30">
                  <c:v>1.35</c:v>
                </c:pt>
                <c:pt idx="31">
                  <c:v>1.65</c:v>
                </c:pt>
                <c:pt idx="32">
                  <c:v>2.2000000000000002</c:v>
                </c:pt>
                <c:pt idx="33">
                  <c:v>1.8</c:v>
                </c:pt>
                <c:pt idx="34">
                  <c:v>1.9</c:v>
                </c:pt>
                <c:pt idx="35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E-46A8-8609-553B20441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532831"/>
        <c:axId val="662536671"/>
      </c:scatterChart>
      <c:valAx>
        <c:axId val="66253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36671"/>
        <c:crosses val="autoZero"/>
        <c:crossBetween val="midCat"/>
      </c:valAx>
      <c:valAx>
        <c:axId val="6625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3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B-4177-A7BA-ABC40FE4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13599039"/>
        <c:axId val="513599519"/>
      </c:barChart>
      <c:catAx>
        <c:axId val="5135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DB-4B21-87C5-E32C807BDC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DB-4B21-87C5-E32C807BDC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DB-4B21-87C5-E32C807BDC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DB-4B21-87C5-E32C807BD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B-4B21-87C5-E32C807BDC44}"/>
            </c:ext>
          </c:extLst>
        </c:ser>
        <c:ser>
          <c:idx val="1"/>
          <c:order val="1"/>
          <c:tx>
            <c:strRef>
              <c:f>bar!$D$2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DB-4B21-87C5-E32C807BDC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B73C4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B-4B21-87C5-E32C807BD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3599039"/>
        <c:axId val="513599519"/>
      </c:barChart>
      <c:catAx>
        <c:axId val="5135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59-4CD4-9AA9-CB6D6CF16D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59-4CD4-9AA9-CB6D6CF16D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59-4CD4-9AA9-CB6D6CF16D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59-4CD4-9AA9-CB6D6CF16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59-4CD4-9AA9-CB6D6CF16DCC}"/>
            </c:ext>
          </c:extLst>
        </c:ser>
        <c:ser>
          <c:idx val="1"/>
          <c:order val="1"/>
          <c:tx>
            <c:strRef>
              <c:f>bar!$D$2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59-4CD4-9AA9-CB6D6CF16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68048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59-4CD4-9AA9-CB6D6CF16DCC}"/>
            </c:ext>
          </c:extLst>
        </c:ser>
        <c:ser>
          <c:idx val="2"/>
          <c:order val="2"/>
          <c:tx>
            <c:strRef>
              <c:f>bar!$E$2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A8B4DE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59-4CD4-9AA9-CB6D6CF16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8B4DE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bar!$E$3:$E$7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59-4CD4-9AA9-CB6D6CF16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3599039"/>
        <c:axId val="513599519"/>
      </c:barChart>
      <c:catAx>
        <c:axId val="5135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stacked_bar!$C$2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F5-4BE1-B0A9-68B440CFCE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F5-4BE1-B0A9-68B440CFCE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F5-4BE1-B0A9-68B440CFCE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F5-4BE1-B0A9-68B440CFCE59}"/>
                </c:ext>
              </c:extLst>
            </c:dLbl>
            <c:dLbl>
              <c:idx val="4"/>
              <c:layout>
                <c:manualLayout>
                  <c:x val="0.10301555919356541"/>
                  <c:y val="-8.4875562720133283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F5-4BE1-B0A9-68B440CFC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stacked_bar!$B$3:$B$7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stacked_bar!$C$3:$C$7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F5-4BE1-B0A9-68B440CFCE59}"/>
            </c:ext>
          </c:extLst>
        </c:ser>
        <c:ser>
          <c:idx val="1"/>
          <c:order val="1"/>
          <c:tx>
            <c:strRef>
              <c:f>stacked_bar!$D$2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.10321305564391954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D1A63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F5-4BE1-B0A9-68B440CFC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stacked_bar!$B$3:$B$7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stacked_bar!$D$3:$D$7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3.5</c:v>
                </c:pt>
                <c:pt idx="3">
                  <c:v>4.5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F5-4BE1-B0A9-68B440CFCE59}"/>
            </c:ext>
          </c:extLst>
        </c:ser>
        <c:ser>
          <c:idx val="2"/>
          <c:order val="2"/>
          <c:tx>
            <c:strRef>
              <c:f>stacked_bar!$E$2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A8B4DE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F5-4BE1-B0A9-68B440CFCE59}"/>
                </c:ext>
              </c:extLst>
            </c:dLbl>
            <c:dLbl>
              <c:idx val="4"/>
              <c:layout>
                <c:manualLayout>
                  <c:x val="0.10301555919356541"/>
                  <c:y val="4.629629629629651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D1A63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1F5-4BE1-B0A9-68B440CFCE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8B4DE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stacked_bar!$B$3:$B$7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stacked_bar!$E$3:$E$7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F5-4BE1-B0A9-68B440CF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13599039"/>
        <c:axId val="513599519"/>
      </c:barChart>
      <c:catAx>
        <c:axId val="5135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bar_ho!$C$2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7-4D20-BB8D-37281D4F5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13599039"/>
        <c:axId val="513599519"/>
      </c:barChart>
      <c:catAx>
        <c:axId val="51359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bar_ho!$C$2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DE-4AD5-B512-A287369A8F0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E-4AD5-B512-A287369A8F0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DE-4AD5-B512-A287369A8F0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DE-4AD5-B512-A287369A8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E-4AD5-B512-A287369A8F0B}"/>
            </c:ext>
          </c:extLst>
        </c:ser>
        <c:ser>
          <c:idx val="1"/>
          <c:order val="1"/>
          <c:tx>
            <c:strRef>
              <c:f>bar_ho!$D$2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DE-4AD5-B512-A287369A8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B73C4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E-4AD5-B512-A287369A8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3599039"/>
        <c:axId val="513599519"/>
      </c:barChart>
      <c:catAx>
        <c:axId val="51359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bar_ho!$C$2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D1A6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5-4C1E-ACD6-B594AA7CBA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5-4C1E-ACD6-B594AA7CBA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5-4C1E-ACD6-B594AA7CBA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5-4C1E-ACD6-B594AA7CB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1A63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bar_ho!$C$3:$C$7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E5-4C1E-ACD6-B594AA7CBA8E}"/>
            </c:ext>
          </c:extLst>
        </c:ser>
        <c:ser>
          <c:idx val="1"/>
          <c:order val="1"/>
          <c:tx>
            <c:strRef>
              <c:f>bar_ho!$D$2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5B73C4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E5-4C1E-ACD6-B594AA7CB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68048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E5-4C1E-ACD6-B594AA7CBA8E}"/>
            </c:ext>
          </c:extLst>
        </c:ser>
        <c:ser>
          <c:idx val="2"/>
          <c:order val="2"/>
          <c:tx>
            <c:strRef>
              <c:f>bar_ho!$E$2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A8B4DE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E5-4C1E-ACD6-B594AA7CB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8B4DE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bar_ho!$B$3:$B$7</c:f>
              <c:strCache>
                <c:ptCount val="5"/>
                <c:pt idx="0">
                  <c:v>Cat 1</c:v>
                </c:pt>
                <c:pt idx="1">
                  <c:v>Cat 2</c:v>
                </c:pt>
                <c:pt idx="2">
                  <c:v>Cat 3</c:v>
                </c:pt>
                <c:pt idx="3">
                  <c:v>Cat 4</c:v>
                </c:pt>
                <c:pt idx="4">
                  <c:v>Cat 5</c:v>
                </c:pt>
              </c:strCache>
            </c:strRef>
          </c:cat>
          <c:val>
            <c:numRef>
              <c:f>bar_ho!$E$3:$E$7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E5-4C1E-ACD6-B594AA7C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3599039"/>
        <c:axId val="513599519"/>
      </c:barChart>
      <c:catAx>
        <c:axId val="51359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519"/>
        <c:crosses val="autoZero"/>
        <c:auto val="1"/>
        <c:lblAlgn val="ctr"/>
        <c:lblOffset val="100"/>
        <c:noMultiLvlLbl val="0"/>
      </c:catAx>
      <c:valAx>
        <c:axId val="5135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5135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stack_bar!$B$3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stack_bar!$C$2:$G$2</c:f>
              <c:strCache>
                <c:ptCount val="5"/>
                <c:pt idx="0">
                  <c:v>Survey item A</c:v>
                </c:pt>
                <c:pt idx="1">
                  <c:v>Survey item B</c:v>
                </c:pt>
                <c:pt idx="2">
                  <c:v>Survey item C</c:v>
                </c:pt>
                <c:pt idx="3">
                  <c:v>Survey item D</c:v>
                </c:pt>
                <c:pt idx="4">
                  <c:v>Survey item E</c:v>
                </c:pt>
              </c:strCache>
            </c:strRef>
          </c:cat>
          <c:val>
            <c:numRef>
              <c:f>stack_bar!$C$3:$G$3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18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E-4F1E-BC5C-60B8864FDB59}"/>
            </c:ext>
          </c:extLst>
        </c:ser>
        <c:ser>
          <c:idx val="1"/>
          <c:order val="1"/>
          <c:tx>
            <c:strRef>
              <c:f>stack_bar!$B$4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stack_bar!$C$2:$G$2</c:f>
              <c:strCache>
                <c:ptCount val="5"/>
                <c:pt idx="0">
                  <c:v>Survey item A</c:v>
                </c:pt>
                <c:pt idx="1">
                  <c:v>Survey item B</c:v>
                </c:pt>
                <c:pt idx="2">
                  <c:v>Survey item C</c:v>
                </c:pt>
                <c:pt idx="3">
                  <c:v>Survey item D</c:v>
                </c:pt>
                <c:pt idx="4">
                  <c:v>Survey item E</c:v>
                </c:pt>
              </c:strCache>
            </c:strRef>
          </c:cat>
          <c:val>
            <c:numRef>
              <c:f>stack_bar!$C$4:$G$4</c:f>
              <c:numCache>
                <c:formatCode>General</c:formatCode>
                <c:ptCount val="5"/>
                <c:pt idx="0">
                  <c:v>5</c:v>
                </c:pt>
                <c:pt idx="1">
                  <c:v>27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E-4F1E-BC5C-60B8864FDB59}"/>
            </c:ext>
          </c:extLst>
        </c:ser>
        <c:ser>
          <c:idx val="2"/>
          <c:order val="2"/>
          <c:tx>
            <c:strRef>
              <c:f>stack_bar!$B$5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stack_bar!$C$2:$G$2</c:f>
              <c:strCache>
                <c:ptCount val="5"/>
                <c:pt idx="0">
                  <c:v>Survey item A</c:v>
                </c:pt>
                <c:pt idx="1">
                  <c:v>Survey item B</c:v>
                </c:pt>
                <c:pt idx="2">
                  <c:v>Survey item C</c:v>
                </c:pt>
                <c:pt idx="3">
                  <c:v>Survey item D</c:v>
                </c:pt>
                <c:pt idx="4">
                  <c:v>Survey item E</c:v>
                </c:pt>
              </c:strCache>
            </c:strRef>
          </c:cat>
          <c:val>
            <c:numRef>
              <c:f>stack_bar!$C$5:$G$5</c:f>
              <c:numCache>
                <c:formatCode>General</c:formatCode>
                <c:ptCount val="5"/>
                <c:pt idx="0">
                  <c:v>25</c:v>
                </c:pt>
                <c:pt idx="1">
                  <c:v>24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E-4F1E-BC5C-60B8864FDB59}"/>
            </c:ext>
          </c:extLst>
        </c:ser>
        <c:ser>
          <c:idx val="3"/>
          <c:order val="3"/>
          <c:tx>
            <c:strRef>
              <c:f>stack_bar!$B$6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002060"/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stack_bar!$C$2:$G$2</c:f>
              <c:strCache>
                <c:ptCount val="5"/>
                <c:pt idx="0">
                  <c:v>Survey item A</c:v>
                </c:pt>
                <c:pt idx="1">
                  <c:v>Survey item B</c:v>
                </c:pt>
                <c:pt idx="2">
                  <c:v>Survey item C</c:v>
                </c:pt>
                <c:pt idx="3">
                  <c:v>Survey item D</c:v>
                </c:pt>
                <c:pt idx="4">
                  <c:v>Survey item E</c:v>
                </c:pt>
              </c:strCache>
            </c:strRef>
          </c:cat>
          <c:val>
            <c:numRef>
              <c:f>stack_bar!$C$6:$G$6</c:f>
              <c:numCache>
                <c:formatCode>General</c:formatCode>
                <c:ptCount val="5"/>
                <c:pt idx="0">
                  <c:v>35</c:v>
                </c:pt>
                <c:pt idx="1">
                  <c:v>20</c:v>
                </c:pt>
                <c:pt idx="2">
                  <c:v>27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E-4F1E-BC5C-60B8864FDB59}"/>
            </c:ext>
          </c:extLst>
        </c:ser>
        <c:ser>
          <c:idx val="4"/>
          <c:order val="4"/>
          <c:tx>
            <c:strRef>
              <c:f>stack_bar!$B$7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rgbClr val="002060"/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stack_bar!$C$2:$G$2</c:f>
              <c:strCache>
                <c:ptCount val="5"/>
                <c:pt idx="0">
                  <c:v>Survey item A</c:v>
                </c:pt>
                <c:pt idx="1">
                  <c:v>Survey item B</c:v>
                </c:pt>
                <c:pt idx="2">
                  <c:v>Survey item C</c:v>
                </c:pt>
                <c:pt idx="3">
                  <c:v>Survey item D</c:v>
                </c:pt>
                <c:pt idx="4">
                  <c:v>Survey item E</c:v>
                </c:pt>
              </c:strCache>
            </c:strRef>
          </c:cat>
          <c:val>
            <c:numRef>
              <c:f>stack_bar!$C$7:$G$7</c:f>
              <c:numCache>
                <c:formatCode>General</c:formatCode>
                <c:ptCount val="5"/>
                <c:pt idx="0">
                  <c:v>30</c:v>
                </c:pt>
                <c:pt idx="1">
                  <c:v>24</c:v>
                </c:pt>
                <c:pt idx="2">
                  <c:v>23</c:v>
                </c:pt>
                <c:pt idx="3">
                  <c:v>17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E-4F1E-BC5C-60B8864FD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683397743"/>
        <c:axId val="683398223"/>
      </c:barChart>
      <c:catAx>
        <c:axId val="68339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8223"/>
        <c:crosses val="autoZero"/>
        <c:auto val="1"/>
        <c:lblAlgn val="ctr"/>
        <c:lblOffset val="100"/>
        <c:noMultiLvlLbl val="0"/>
      </c:catAx>
      <c:valAx>
        <c:axId val="68339822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Pie_donut!$C$2</c:f>
              <c:strCache>
                <c:ptCount val="1"/>
                <c:pt idx="0">
                  <c:v>Survey item A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</c:spPr>
          <c:dPt>
            <c:idx val="0"/>
            <c:bubble3D val="0"/>
            <c:spPr>
              <a:solidFill>
                <a:srgbClr val="F5F6F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4A-4CD3-8CF3-6315493A201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4A-4CD3-8CF3-6315493A201E}"/>
              </c:ext>
            </c:extLst>
          </c:dPt>
          <c:dPt>
            <c:idx val="2"/>
            <c:bubble3D val="0"/>
            <c:spPr>
              <a:solidFill>
                <a:srgbClr val="A8B4D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4A-4CD3-8CF3-6315493A201E}"/>
              </c:ext>
            </c:extLst>
          </c:dPt>
          <c:cat>
            <c:strRef>
              <c:f>Pie_donut!$B$3:$B$5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Pie_donut!$C$3:$C$5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A-4CD3-8CF3-6315493A2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waffle!$D$3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waffle!$C$4:$C$103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xVal>
          <c:yVal>
            <c:numRef>
              <c:f>waffle!$D$4:$D$103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4">
                  <c:v>5</c:v>
                </c:pt>
                <c:pt idx="85">
                  <c:v>6</c:v>
                </c:pt>
                <c:pt idx="86">
                  <c:v>7</c:v>
                </c:pt>
                <c:pt idx="87">
                  <c:v>8</c:v>
                </c:pt>
                <c:pt idx="88">
                  <c:v>9</c:v>
                </c:pt>
                <c:pt idx="89">
                  <c:v>10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B-4EED-8658-068D26D7B321}"/>
            </c:ext>
          </c:extLst>
        </c:ser>
        <c:ser>
          <c:idx val="1"/>
          <c:order val="1"/>
          <c:tx>
            <c:strRef>
              <c:f>waffle!$E$3</c:f>
              <c:strCache>
                <c:ptCount val="1"/>
                <c:pt idx="0">
                  <c:v>y1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A8B4DE"/>
              </a:solidFill>
              <a:ln w="9525">
                <a:noFill/>
              </a:ln>
              <a:effectLst/>
            </c:spPr>
          </c:marker>
          <c:xVal>
            <c:numRef>
              <c:f>waffle!$C$4:$C$103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xVal>
          <c:yVal>
            <c:numRef>
              <c:f>waffle!$E$4:$E$103</c:f>
              <c:numCache>
                <c:formatCode>General</c:formatCode>
                <c:ptCount val="100"/>
                <c:pt idx="60">
                  <c:v>1</c:v>
                </c:pt>
                <c:pt idx="61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B-4EED-8658-068D26D7B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234767"/>
        <c:axId val="541235727"/>
      </c:scatterChart>
      <c:valAx>
        <c:axId val="541234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1235727"/>
        <c:crosses val="autoZero"/>
        <c:crossBetween val="midCat"/>
      </c:valAx>
      <c:valAx>
        <c:axId val="541235727"/>
        <c:scaling>
          <c:orientation val="minMax"/>
          <c:max val="11"/>
        </c:scaling>
        <c:delete val="1"/>
        <c:axPos val="l"/>
        <c:numFmt formatCode="General" sourceLinked="1"/>
        <c:majorTickMark val="none"/>
        <c:minorTickMark val="none"/>
        <c:tickLblPos val="nextTo"/>
        <c:crossAx val="54123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line!$C$4</c:f>
              <c:strCache>
                <c:ptCount val="1"/>
                <c:pt idx="0">
                  <c:v>FEDFUNDS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line!$B$5:$B$866</c:f>
              <c:numCache>
                <c:formatCode>[$-409]mmm/yy;@</c:formatCode>
                <c:ptCount val="862"/>
                <c:pt idx="0">
                  <c:v>19906</c:v>
                </c:pt>
                <c:pt idx="1">
                  <c:v>19937</c:v>
                </c:pt>
                <c:pt idx="2">
                  <c:v>19968</c:v>
                </c:pt>
                <c:pt idx="3">
                  <c:v>19998</c:v>
                </c:pt>
                <c:pt idx="4">
                  <c:v>20029</c:v>
                </c:pt>
                <c:pt idx="5">
                  <c:v>20059</c:v>
                </c:pt>
                <c:pt idx="6">
                  <c:v>20090</c:v>
                </c:pt>
                <c:pt idx="7">
                  <c:v>20121</c:v>
                </c:pt>
                <c:pt idx="8">
                  <c:v>20149</c:v>
                </c:pt>
                <c:pt idx="9">
                  <c:v>20180</c:v>
                </c:pt>
                <c:pt idx="10">
                  <c:v>20210</c:v>
                </c:pt>
                <c:pt idx="11">
                  <c:v>20241</c:v>
                </c:pt>
                <c:pt idx="12">
                  <c:v>20271</c:v>
                </c:pt>
                <c:pt idx="13">
                  <c:v>20302</c:v>
                </c:pt>
                <c:pt idx="14">
                  <c:v>20333</c:v>
                </c:pt>
                <c:pt idx="15">
                  <c:v>20363</c:v>
                </c:pt>
                <c:pt idx="16">
                  <c:v>20394</c:v>
                </c:pt>
                <c:pt idx="17">
                  <c:v>20424</c:v>
                </c:pt>
                <c:pt idx="18">
                  <c:v>20455</c:v>
                </c:pt>
                <c:pt idx="19">
                  <c:v>20486</c:v>
                </c:pt>
                <c:pt idx="20">
                  <c:v>20515</c:v>
                </c:pt>
                <c:pt idx="21">
                  <c:v>20546</c:v>
                </c:pt>
                <c:pt idx="22">
                  <c:v>20576</c:v>
                </c:pt>
                <c:pt idx="23">
                  <c:v>20607</c:v>
                </c:pt>
                <c:pt idx="24">
                  <c:v>20637</c:v>
                </c:pt>
                <c:pt idx="25">
                  <c:v>20668</c:v>
                </c:pt>
                <c:pt idx="26">
                  <c:v>20699</c:v>
                </c:pt>
                <c:pt idx="27">
                  <c:v>20729</c:v>
                </c:pt>
                <c:pt idx="28">
                  <c:v>20760</c:v>
                </c:pt>
                <c:pt idx="29">
                  <c:v>20790</c:v>
                </c:pt>
                <c:pt idx="30">
                  <c:v>20821</c:v>
                </c:pt>
                <c:pt idx="31">
                  <c:v>20852</c:v>
                </c:pt>
                <c:pt idx="32">
                  <c:v>20880</c:v>
                </c:pt>
                <c:pt idx="33">
                  <c:v>20911</c:v>
                </c:pt>
                <c:pt idx="34">
                  <c:v>20941</c:v>
                </c:pt>
                <c:pt idx="35">
                  <c:v>20972</c:v>
                </c:pt>
                <c:pt idx="36">
                  <c:v>21002</c:v>
                </c:pt>
                <c:pt idx="37">
                  <c:v>21033</c:v>
                </c:pt>
                <c:pt idx="38">
                  <c:v>21064</c:v>
                </c:pt>
                <c:pt idx="39">
                  <c:v>21094</c:v>
                </c:pt>
                <c:pt idx="40">
                  <c:v>21125</c:v>
                </c:pt>
                <c:pt idx="41">
                  <c:v>21155</c:v>
                </c:pt>
                <c:pt idx="42">
                  <c:v>21186</c:v>
                </c:pt>
                <c:pt idx="43">
                  <c:v>21217</c:v>
                </c:pt>
                <c:pt idx="44">
                  <c:v>21245</c:v>
                </c:pt>
                <c:pt idx="45">
                  <c:v>21276</c:v>
                </c:pt>
                <c:pt idx="46">
                  <c:v>21306</c:v>
                </c:pt>
                <c:pt idx="47">
                  <c:v>21337</c:v>
                </c:pt>
                <c:pt idx="48">
                  <c:v>21367</c:v>
                </c:pt>
                <c:pt idx="49">
                  <c:v>21398</c:v>
                </c:pt>
                <c:pt idx="50">
                  <c:v>21429</c:v>
                </c:pt>
                <c:pt idx="51">
                  <c:v>21459</c:v>
                </c:pt>
                <c:pt idx="52">
                  <c:v>21490</c:v>
                </c:pt>
                <c:pt idx="53">
                  <c:v>21520</c:v>
                </c:pt>
                <c:pt idx="54">
                  <c:v>21551</c:v>
                </c:pt>
                <c:pt idx="55">
                  <c:v>21582</c:v>
                </c:pt>
                <c:pt idx="56">
                  <c:v>21610</c:v>
                </c:pt>
                <c:pt idx="57">
                  <c:v>21641</c:v>
                </c:pt>
                <c:pt idx="58">
                  <c:v>21671</c:v>
                </c:pt>
                <c:pt idx="59">
                  <c:v>21702</c:v>
                </c:pt>
                <c:pt idx="60">
                  <c:v>21732</c:v>
                </c:pt>
                <c:pt idx="61">
                  <c:v>21763</c:v>
                </c:pt>
                <c:pt idx="62">
                  <c:v>21794</c:v>
                </c:pt>
                <c:pt idx="63">
                  <c:v>21824</c:v>
                </c:pt>
                <c:pt idx="64">
                  <c:v>21855</c:v>
                </c:pt>
                <c:pt idx="65">
                  <c:v>21885</c:v>
                </c:pt>
                <c:pt idx="66">
                  <c:v>21916</c:v>
                </c:pt>
                <c:pt idx="67">
                  <c:v>21947</c:v>
                </c:pt>
                <c:pt idx="68">
                  <c:v>21976</c:v>
                </c:pt>
                <c:pt idx="69">
                  <c:v>22007</c:v>
                </c:pt>
                <c:pt idx="70">
                  <c:v>22037</c:v>
                </c:pt>
                <c:pt idx="71">
                  <c:v>22068</c:v>
                </c:pt>
                <c:pt idx="72">
                  <c:v>22098</c:v>
                </c:pt>
                <c:pt idx="73">
                  <c:v>22129</c:v>
                </c:pt>
                <c:pt idx="74">
                  <c:v>22160</c:v>
                </c:pt>
                <c:pt idx="75">
                  <c:v>22190</c:v>
                </c:pt>
                <c:pt idx="76">
                  <c:v>22221</c:v>
                </c:pt>
                <c:pt idx="77">
                  <c:v>22251</c:v>
                </c:pt>
                <c:pt idx="78">
                  <c:v>22282</c:v>
                </c:pt>
                <c:pt idx="79">
                  <c:v>22313</c:v>
                </c:pt>
                <c:pt idx="80">
                  <c:v>22341</c:v>
                </c:pt>
                <c:pt idx="81">
                  <c:v>22372</c:v>
                </c:pt>
                <c:pt idx="82">
                  <c:v>22402</c:v>
                </c:pt>
                <c:pt idx="83">
                  <c:v>22433</c:v>
                </c:pt>
                <c:pt idx="84">
                  <c:v>22463</c:v>
                </c:pt>
                <c:pt idx="85">
                  <c:v>22494</c:v>
                </c:pt>
                <c:pt idx="86">
                  <c:v>22525</c:v>
                </c:pt>
                <c:pt idx="87">
                  <c:v>22555</c:v>
                </c:pt>
                <c:pt idx="88">
                  <c:v>22586</c:v>
                </c:pt>
                <c:pt idx="89">
                  <c:v>22616</c:v>
                </c:pt>
                <c:pt idx="90">
                  <c:v>22647</c:v>
                </c:pt>
                <c:pt idx="91">
                  <c:v>22678</c:v>
                </c:pt>
                <c:pt idx="92">
                  <c:v>22706</c:v>
                </c:pt>
                <c:pt idx="93">
                  <c:v>22737</c:v>
                </c:pt>
                <c:pt idx="94">
                  <c:v>22767</c:v>
                </c:pt>
                <c:pt idx="95">
                  <c:v>22798</c:v>
                </c:pt>
                <c:pt idx="96">
                  <c:v>22828</c:v>
                </c:pt>
                <c:pt idx="97">
                  <c:v>22859</c:v>
                </c:pt>
                <c:pt idx="98">
                  <c:v>22890</c:v>
                </c:pt>
                <c:pt idx="99">
                  <c:v>22920</c:v>
                </c:pt>
                <c:pt idx="100">
                  <c:v>22951</c:v>
                </c:pt>
                <c:pt idx="101">
                  <c:v>22981</c:v>
                </c:pt>
                <c:pt idx="102">
                  <c:v>23012</c:v>
                </c:pt>
                <c:pt idx="103">
                  <c:v>23043</c:v>
                </c:pt>
                <c:pt idx="104">
                  <c:v>23071</c:v>
                </c:pt>
                <c:pt idx="105">
                  <c:v>23102</c:v>
                </c:pt>
                <c:pt idx="106">
                  <c:v>23132</c:v>
                </c:pt>
                <c:pt idx="107">
                  <c:v>23163</c:v>
                </c:pt>
                <c:pt idx="108">
                  <c:v>23193</c:v>
                </c:pt>
                <c:pt idx="109">
                  <c:v>23224</c:v>
                </c:pt>
                <c:pt idx="110">
                  <c:v>23255</c:v>
                </c:pt>
                <c:pt idx="111">
                  <c:v>23285</c:v>
                </c:pt>
                <c:pt idx="112">
                  <c:v>23316</c:v>
                </c:pt>
                <c:pt idx="113">
                  <c:v>23346</c:v>
                </c:pt>
                <c:pt idx="114">
                  <c:v>23377</c:v>
                </c:pt>
                <c:pt idx="115">
                  <c:v>23408</c:v>
                </c:pt>
                <c:pt idx="116">
                  <c:v>23437</c:v>
                </c:pt>
                <c:pt idx="117">
                  <c:v>23468</c:v>
                </c:pt>
                <c:pt idx="118">
                  <c:v>23498</c:v>
                </c:pt>
                <c:pt idx="119">
                  <c:v>23529</c:v>
                </c:pt>
                <c:pt idx="120">
                  <c:v>23559</c:v>
                </c:pt>
                <c:pt idx="121">
                  <c:v>23590</c:v>
                </c:pt>
                <c:pt idx="122">
                  <c:v>23621</c:v>
                </c:pt>
                <c:pt idx="123">
                  <c:v>23651</c:v>
                </c:pt>
                <c:pt idx="124">
                  <c:v>23682</c:v>
                </c:pt>
                <c:pt idx="125">
                  <c:v>23712</c:v>
                </c:pt>
                <c:pt idx="126">
                  <c:v>23743</c:v>
                </c:pt>
                <c:pt idx="127">
                  <c:v>23774</c:v>
                </c:pt>
                <c:pt idx="128">
                  <c:v>23802</c:v>
                </c:pt>
                <c:pt idx="129">
                  <c:v>23833</c:v>
                </c:pt>
                <c:pt idx="130">
                  <c:v>23863</c:v>
                </c:pt>
                <c:pt idx="131">
                  <c:v>23894</c:v>
                </c:pt>
                <c:pt idx="132">
                  <c:v>23924</c:v>
                </c:pt>
                <c:pt idx="133">
                  <c:v>23955</c:v>
                </c:pt>
                <c:pt idx="134">
                  <c:v>23986</c:v>
                </c:pt>
                <c:pt idx="135">
                  <c:v>24016</c:v>
                </c:pt>
                <c:pt idx="136">
                  <c:v>24047</c:v>
                </c:pt>
                <c:pt idx="137">
                  <c:v>24077</c:v>
                </c:pt>
                <c:pt idx="138">
                  <c:v>24108</c:v>
                </c:pt>
                <c:pt idx="139">
                  <c:v>24139</c:v>
                </c:pt>
                <c:pt idx="140">
                  <c:v>24167</c:v>
                </c:pt>
                <c:pt idx="141">
                  <c:v>24198</c:v>
                </c:pt>
                <c:pt idx="142">
                  <c:v>24228</c:v>
                </c:pt>
                <c:pt idx="143">
                  <c:v>24259</c:v>
                </c:pt>
                <c:pt idx="144">
                  <c:v>24289</c:v>
                </c:pt>
                <c:pt idx="145">
                  <c:v>24320</c:v>
                </c:pt>
                <c:pt idx="146">
                  <c:v>24351</c:v>
                </c:pt>
                <c:pt idx="147">
                  <c:v>24381</c:v>
                </c:pt>
                <c:pt idx="148">
                  <c:v>24412</c:v>
                </c:pt>
                <c:pt idx="149">
                  <c:v>24442</c:v>
                </c:pt>
                <c:pt idx="150">
                  <c:v>24473</c:v>
                </c:pt>
                <c:pt idx="151">
                  <c:v>24504</c:v>
                </c:pt>
                <c:pt idx="152">
                  <c:v>24532</c:v>
                </c:pt>
                <c:pt idx="153">
                  <c:v>24563</c:v>
                </c:pt>
                <c:pt idx="154">
                  <c:v>24593</c:v>
                </c:pt>
                <c:pt idx="155">
                  <c:v>24624</c:v>
                </c:pt>
                <c:pt idx="156">
                  <c:v>24654</c:v>
                </c:pt>
                <c:pt idx="157">
                  <c:v>24685</c:v>
                </c:pt>
                <c:pt idx="158">
                  <c:v>24716</c:v>
                </c:pt>
                <c:pt idx="159">
                  <c:v>24746</c:v>
                </c:pt>
                <c:pt idx="160">
                  <c:v>24777</c:v>
                </c:pt>
                <c:pt idx="161">
                  <c:v>24807</c:v>
                </c:pt>
                <c:pt idx="162">
                  <c:v>24838</c:v>
                </c:pt>
                <c:pt idx="163">
                  <c:v>24869</c:v>
                </c:pt>
                <c:pt idx="164">
                  <c:v>24898</c:v>
                </c:pt>
                <c:pt idx="165">
                  <c:v>24929</c:v>
                </c:pt>
                <c:pt idx="166">
                  <c:v>24959</c:v>
                </c:pt>
                <c:pt idx="167">
                  <c:v>24990</c:v>
                </c:pt>
                <c:pt idx="168">
                  <c:v>25020</c:v>
                </c:pt>
                <c:pt idx="169">
                  <c:v>25051</c:v>
                </c:pt>
                <c:pt idx="170">
                  <c:v>25082</c:v>
                </c:pt>
                <c:pt idx="171">
                  <c:v>25112</c:v>
                </c:pt>
                <c:pt idx="172">
                  <c:v>25143</c:v>
                </c:pt>
                <c:pt idx="173">
                  <c:v>25173</c:v>
                </c:pt>
                <c:pt idx="174">
                  <c:v>25204</c:v>
                </c:pt>
                <c:pt idx="175">
                  <c:v>25235</c:v>
                </c:pt>
                <c:pt idx="176">
                  <c:v>25263</c:v>
                </c:pt>
                <c:pt idx="177">
                  <c:v>25294</c:v>
                </c:pt>
                <c:pt idx="178">
                  <c:v>25324</c:v>
                </c:pt>
                <c:pt idx="179">
                  <c:v>25355</c:v>
                </c:pt>
                <c:pt idx="180">
                  <c:v>25385</c:v>
                </c:pt>
                <c:pt idx="181">
                  <c:v>25416</c:v>
                </c:pt>
                <c:pt idx="182">
                  <c:v>25447</c:v>
                </c:pt>
                <c:pt idx="183">
                  <c:v>25477</c:v>
                </c:pt>
                <c:pt idx="184">
                  <c:v>25508</c:v>
                </c:pt>
                <c:pt idx="185">
                  <c:v>25538</c:v>
                </c:pt>
                <c:pt idx="186">
                  <c:v>25569</c:v>
                </c:pt>
                <c:pt idx="187">
                  <c:v>25600</c:v>
                </c:pt>
                <c:pt idx="188">
                  <c:v>25628</c:v>
                </c:pt>
                <c:pt idx="189">
                  <c:v>25659</c:v>
                </c:pt>
                <c:pt idx="190">
                  <c:v>25689</c:v>
                </c:pt>
                <c:pt idx="191">
                  <c:v>25720</c:v>
                </c:pt>
                <c:pt idx="192">
                  <c:v>25750</c:v>
                </c:pt>
                <c:pt idx="193">
                  <c:v>25781</c:v>
                </c:pt>
                <c:pt idx="194">
                  <c:v>25812</c:v>
                </c:pt>
                <c:pt idx="195">
                  <c:v>25842</c:v>
                </c:pt>
                <c:pt idx="196">
                  <c:v>25873</c:v>
                </c:pt>
                <c:pt idx="197">
                  <c:v>25903</c:v>
                </c:pt>
                <c:pt idx="198">
                  <c:v>25934</c:v>
                </c:pt>
                <c:pt idx="199">
                  <c:v>25965</c:v>
                </c:pt>
                <c:pt idx="200">
                  <c:v>25993</c:v>
                </c:pt>
                <c:pt idx="201">
                  <c:v>26024</c:v>
                </c:pt>
                <c:pt idx="202">
                  <c:v>26054</c:v>
                </c:pt>
                <c:pt idx="203">
                  <c:v>26085</c:v>
                </c:pt>
                <c:pt idx="204">
                  <c:v>26115</c:v>
                </c:pt>
                <c:pt idx="205">
                  <c:v>26146</c:v>
                </c:pt>
                <c:pt idx="206">
                  <c:v>26177</c:v>
                </c:pt>
                <c:pt idx="207">
                  <c:v>26207</c:v>
                </c:pt>
                <c:pt idx="208">
                  <c:v>26238</c:v>
                </c:pt>
                <c:pt idx="209">
                  <c:v>26268</c:v>
                </c:pt>
                <c:pt idx="210">
                  <c:v>26299</c:v>
                </c:pt>
                <c:pt idx="211">
                  <c:v>26330</c:v>
                </c:pt>
                <c:pt idx="212">
                  <c:v>26359</c:v>
                </c:pt>
                <c:pt idx="213">
                  <c:v>26390</c:v>
                </c:pt>
                <c:pt idx="214">
                  <c:v>26420</c:v>
                </c:pt>
                <c:pt idx="215">
                  <c:v>26451</c:v>
                </c:pt>
                <c:pt idx="216">
                  <c:v>26481</c:v>
                </c:pt>
                <c:pt idx="217">
                  <c:v>26512</c:v>
                </c:pt>
                <c:pt idx="218">
                  <c:v>26543</c:v>
                </c:pt>
                <c:pt idx="219">
                  <c:v>26573</c:v>
                </c:pt>
                <c:pt idx="220">
                  <c:v>26604</c:v>
                </c:pt>
                <c:pt idx="221">
                  <c:v>26634</c:v>
                </c:pt>
                <c:pt idx="222">
                  <c:v>26665</c:v>
                </c:pt>
                <c:pt idx="223">
                  <c:v>26696</c:v>
                </c:pt>
                <c:pt idx="224">
                  <c:v>26724</c:v>
                </c:pt>
                <c:pt idx="225">
                  <c:v>26755</c:v>
                </c:pt>
                <c:pt idx="226">
                  <c:v>26785</c:v>
                </c:pt>
                <c:pt idx="227">
                  <c:v>26816</c:v>
                </c:pt>
                <c:pt idx="228">
                  <c:v>26846</c:v>
                </c:pt>
                <c:pt idx="229">
                  <c:v>26877</c:v>
                </c:pt>
                <c:pt idx="230">
                  <c:v>26908</c:v>
                </c:pt>
                <c:pt idx="231">
                  <c:v>26938</c:v>
                </c:pt>
                <c:pt idx="232">
                  <c:v>26969</c:v>
                </c:pt>
                <c:pt idx="233">
                  <c:v>26999</c:v>
                </c:pt>
                <c:pt idx="234">
                  <c:v>27030</c:v>
                </c:pt>
                <c:pt idx="235">
                  <c:v>27061</c:v>
                </c:pt>
                <c:pt idx="236">
                  <c:v>27089</c:v>
                </c:pt>
                <c:pt idx="237">
                  <c:v>27120</c:v>
                </c:pt>
                <c:pt idx="238">
                  <c:v>27150</c:v>
                </c:pt>
                <c:pt idx="239">
                  <c:v>27181</c:v>
                </c:pt>
                <c:pt idx="240">
                  <c:v>27211</c:v>
                </c:pt>
                <c:pt idx="241">
                  <c:v>27242</c:v>
                </c:pt>
                <c:pt idx="242">
                  <c:v>27273</c:v>
                </c:pt>
                <c:pt idx="243">
                  <c:v>27303</c:v>
                </c:pt>
                <c:pt idx="244">
                  <c:v>27334</c:v>
                </c:pt>
                <c:pt idx="245">
                  <c:v>27364</c:v>
                </c:pt>
                <c:pt idx="246">
                  <c:v>27395</c:v>
                </c:pt>
                <c:pt idx="247">
                  <c:v>27426</c:v>
                </c:pt>
                <c:pt idx="248">
                  <c:v>27454</c:v>
                </c:pt>
                <c:pt idx="249">
                  <c:v>27485</c:v>
                </c:pt>
                <c:pt idx="250">
                  <c:v>27515</c:v>
                </c:pt>
                <c:pt idx="251">
                  <c:v>27546</c:v>
                </c:pt>
                <c:pt idx="252">
                  <c:v>27576</c:v>
                </c:pt>
                <c:pt idx="253">
                  <c:v>27607</c:v>
                </c:pt>
                <c:pt idx="254">
                  <c:v>27638</c:v>
                </c:pt>
                <c:pt idx="255">
                  <c:v>27668</c:v>
                </c:pt>
                <c:pt idx="256">
                  <c:v>27699</c:v>
                </c:pt>
                <c:pt idx="257">
                  <c:v>27729</c:v>
                </c:pt>
                <c:pt idx="258">
                  <c:v>27760</c:v>
                </c:pt>
                <c:pt idx="259">
                  <c:v>27791</c:v>
                </c:pt>
                <c:pt idx="260">
                  <c:v>27820</c:v>
                </c:pt>
                <c:pt idx="261">
                  <c:v>27851</c:v>
                </c:pt>
                <c:pt idx="262">
                  <c:v>27881</c:v>
                </c:pt>
                <c:pt idx="263">
                  <c:v>27912</c:v>
                </c:pt>
                <c:pt idx="264">
                  <c:v>27942</c:v>
                </c:pt>
                <c:pt idx="265">
                  <c:v>27973</c:v>
                </c:pt>
                <c:pt idx="266">
                  <c:v>28004</c:v>
                </c:pt>
                <c:pt idx="267">
                  <c:v>28034</c:v>
                </c:pt>
                <c:pt idx="268">
                  <c:v>28065</c:v>
                </c:pt>
                <c:pt idx="269">
                  <c:v>28095</c:v>
                </c:pt>
                <c:pt idx="270">
                  <c:v>28126</c:v>
                </c:pt>
                <c:pt idx="271">
                  <c:v>28157</c:v>
                </c:pt>
                <c:pt idx="272">
                  <c:v>28185</c:v>
                </c:pt>
                <c:pt idx="273">
                  <c:v>28216</c:v>
                </c:pt>
                <c:pt idx="274">
                  <c:v>28246</c:v>
                </c:pt>
                <c:pt idx="275">
                  <c:v>28277</c:v>
                </c:pt>
                <c:pt idx="276">
                  <c:v>28307</c:v>
                </c:pt>
                <c:pt idx="277">
                  <c:v>28338</c:v>
                </c:pt>
                <c:pt idx="278">
                  <c:v>28369</c:v>
                </c:pt>
                <c:pt idx="279">
                  <c:v>28399</c:v>
                </c:pt>
                <c:pt idx="280">
                  <c:v>28430</c:v>
                </c:pt>
                <c:pt idx="281">
                  <c:v>28460</c:v>
                </c:pt>
                <c:pt idx="282">
                  <c:v>28491</c:v>
                </c:pt>
                <c:pt idx="283">
                  <c:v>28522</c:v>
                </c:pt>
                <c:pt idx="284">
                  <c:v>28550</c:v>
                </c:pt>
                <c:pt idx="285">
                  <c:v>28581</c:v>
                </c:pt>
                <c:pt idx="286">
                  <c:v>28611</c:v>
                </c:pt>
                <c:pt idx="287">
                  <c:v>28642</c:v>
                </c:pt>
                <c:pt idx="288">
                  <c:v>28672</c:v>
                </c:pt>
                <c:pt idx="289">
                  <c:v>28703</c:v>
                </c:pt>
                <c:pt idx="290">
                  <c:v>28734</c:v>
                </c:pt>
                <c:pt idx="291">
                  <c:v>28764</c:v>
                </c:pt>
                <c:pt idx="292">
                  <c:v>28795</c:v>
                </c:pt>
                <c:pt idx="293">
                  <c:v>28825</c:v>
                </c:pt>
                <c:pt idx="294">
                  <c:v>28856</c:v>
                </c:pt>
                <c:pt idx="295">
                  <c:v>28887</c:v>
                </c:pt>
                <c:pt idx="296">
                  <c:v>28915</c:v>
                </c:pt>
                <c:pt idx="297">
                  <c:v>28946</c:v>
                </c:pt>
                <c:pt idx="298">
                  <c:v>28976</c:v>
                </c:pt>
                <c:pt idx="299">
                  <c:v>29007</c:v>
                </c:pt>
                <c:pt idx="300">
                  <c:v>29037</c:v>
                </c:pt>
                <c:pt idx="301">
                  <c:v>29068</c:v>
                </c:pt>
                <c:pt idx="302">
                  <c:v>29099</c:v>
                </c:pt>
                <c:pt idx="303">
                  <c:v>29129</c:v>
                </c:pt>
                <c:pt idx="304">
                  <c:v>29160</c:v>
                </c:pt>
                <c:pt idx="305">
                  <c:v>29190</c:v>
                </c:pt>
                <c:pt idx="306">
                  <c:v>29221</c:v>
                </c:pt>
                <c:pt idx="307">
                  <c:v>29252</c:v>
                </c:pt>
                <c:pt idx="308">
                  <c:v>29281</c:v>
                </c:pt>
                <c:pt idx="309">
                  <c:v>29312</c:v>
                </c:pt>
                <c:pt idx="310">
                  <c:v>29342</c:v>
                </c:pt>
                <c:pt idx="311">
                  <c:v>29373</c:v>
                </c:pt>
                <c:pt idx="312">
                  <c:v>29403</c:v>
                </c:pt>
                <c:pt idx="313">
                  <c:v>29434</c:v>
                </c:pt>
                <c:pt idx="314">
                  <c:v>29465</c:v>
                </c:pt>
                <c:pt idx="315">
                  <c:v>29495</c:v>
                </c:pt>
                <c:pt idx="316">
                  <c:v>29526</c:v>
                </c:pt>
                <c:pt idx="317">
                  <c:v>29556</c:v>
                </c:pt>
                <c:pt idx="318">
                  <c:v>29587</c:v>
                </c:pt>
                <c:pt idx="319">
                  <c:v>29618</c:v>
                </c:pt>
                <c:pt idx="320">
                  <c:v>29646</c:v>
                </c:pt>
                <c:pt idx="321">
                  <c:v>29677</c:v>
                </c:pt>
                <c:pt idx="322">
                  <c:v>29707</c:v>
                </c:pt>
                <c:pt idx="323">
                  <c:v>29738</c:v>
                </c:pt>
                <c:pt idx="324">
                  <c:v>29768</c:v>
                </c:pt>
                <c:pt idx="325">
                  <c:v>29799</c:v>
                </c:pt>
                <c:pt idx="326">
                  <c:v>29830</c:v>
                </c:pt>
                <c:pt idx="327">
                  <c:v>29860</c:v>
                </c:pt>
                <c:pt idx="328">
                  <c:v>29891</c:v>
                </c:pt>
                <c:pt idx="329">
                  <c:v>29921</c:v>
                </c:pt>
                <c:pt idx="330">
                  <c:v>29952</c:v>
                </c:pt>
                <c:pt idx="331">
                  <c:v>29983</c:v>
                </c:pt>
                <c:pt idx="332">
                  <c:v>30011</c:v>
                </c:pt>
                <c:pt idx="333">
                  <c:v>30042</c:v>
                </c:pt>
                <c:pt idx="334">
                  <c:v>30072</c:v>
                </c:pt>
                <c:pt idx="335">
                  <c:v>30103</c:v>
                </c:pt>
                <c:pt idx="336">
                  <c:v>30133</c:v>
                </c:pt>
                <c:pt idx="337">
                  <c:v>30164</c:v>
                </c:pt>
                <c:pt idx="338">
                  <c:v>30195</c:v>
                </c:pt>
                <c:pt idx="339">
                  <c:v>30225</c:v>
                </c:pt>
                <c:pt idx="340">
                  <c:v>30256</c:v>
                </c:pt>
                <c:pt idx="341">
                  <c:v>30286</c:v>
                </c:pt>
                <c:pt idx="342">
                  <c:v>30317</c:v>
                </c:pt>
                <c:pt idx="343">
                  <c:v>30348</c:v>
                </c:pt>
                <c:pt idx="344">
                  <c:v>30376</c:v>
                </c:pt>
                <c:pt idx="345">
                  <c:v>30407</c:v>
                </c:pt>
                <c:pt idx="346">
                  <c:v>30437</c:v>
                </c:pt>
                <c:pt idx="347">
                  <c:v>30468</c:v>
                </c:pt>
                <c:pt idx="348">
                  <c:v>30498</c:v>
                </c:pt>
                <c:pt idx="349">
                  <c:v>30529</c:v>
                </c:pt>
                <c:pt idx="350">
                  <c:v>30560</c:v>
                </c:pt>
                <c:pt idx="351">
                  <c:v>30590</c:v>
                </c:pt>
                <c:pt idx="352">
                  <c:v>30621</c:v>
                </c:pt>
                <c:pt idx="353">
                  <c:v>30651</c:v>
                </c:pt>
                <c:pt idx="354">
                  <c:v>30682</c:v>
                </c:pt>
                <c:pt idx="355">
                  <c:v>30713</c:v>
                </c:pt>
                <c:pt idx="356">
                  <c:v>30742</c:v>
                </c:pt>
                <c:pt idx="357">
                  <c:v>30773</c:v>
                </c:pt>
                <c:pt idx="358">
                  <c:v>30803</c:v>
                </c:pt>
                <c:pt idx="359">
                  <c:v>30834</c:v>
                </c:pt>
                <c:pt idx="360">
                  <c:v>30864</c:v>
                </c:pt>
                <c:pt idx="361">
                  <c:v>30895</c:v>
                </c:pt>
                <c:pt idx="362">
                  <c:v>30926</c:v>
                </c:pt>
                <c:pt idx="363">
                  <c:v>30956</c:v>
                </c:pt>
                <c:pt idx="364">
                  <c:v>30987</c:v>
                </c:pt>
                <c:pt idx="365">
                  <c:v>31017</c:v>
                </c:pt>
                <c:pt idx="366">
                  <c:v>31048</c:v>
                </c:pt>
                <c:pt idx="367">
                  <c:v>31079</c:v>
                </c:pt>
                <c:pt idx="368">
                  <c:v>31107</c:v>
                </c:pt>
                <c:pt idx="369">
                  <c:v>31138</c:v>
                </c:pt>
                <c:pt idx="370">
                  <c:v>31168</c:v>
                </c:pt>
                <c:pt idx="371">
                  <c:v>31199</c:v>
                </c:pt>
                <c:pt idx="372">
                  <c:v>31229</c:v>
                </c:pt>
                <c:pt idx="373">
                  <c:v>31260</c:v>
                </c:pt>
                <c:pt idx="374">
                  <c:v>31291</c:v>
                </c:pt>
                <c:pt idx="375">
                  <c:v>31321</c:v>
                </c:pt>
                <c:pt idx="376">
                  <c:v>31352</c:v>
                </c:pt>
                <c:pt idx="377">
                  <c:v>31382</c:v>
                </c:pt>
                <c:pt idx="378">
                  <c:v>31413</c:v>
                </c:pt>
                <c:pt idx="379">
                  <c:v>31444</c:v>
                </c:pt>
                <c:pt idx="380">
                  <c:v>31472</c:v>
                </c:pt>
                <c:pt idx="381">
                  <c:v>31503</c:v>
                </c:pt>
                <c:pt idx="382">
                  <c:v>31533</c:v>
                </c:pt>
                <c:pt idx="383">
                  <c:v>31564</c:v>
                </c:pt>
                <c:pt idx="384">
                  <c:v>31594</c:v>
                </c:pt>
                <c:pt idx="385">
                  <c:v>31625</c:v>
                </c:pt>
                <c:pt idx="386">
                  <c:v>31656</c:v>
                </c:pt>
                <c:pt idx="387">
                  <c:v>31686</c:v>
                </c:pt>
                <c:pt idx="388">
                  <c:v>31717</c:v>
                </c:pt>
                <c:pt idx="389">
                  <c:v>31747</c:v>
                </c:pt>
                <c:pt idx="390">
                  <c:v>31778</c:v>
                </c:pt>
                <c:pt idx="391">
                  <c:v>31809</c:v>
                </c:pt>
                <c:pt idx="392">
                  <c:v>31837</c:v>
                </c:pt>
                <c:pt idx="393">
                  <c:v>31868</c:v>
                </c:pt>
                <c:pt idx="394">
                  <c:v>31898</c:v>
                </c:pt>
                <c:pt idx="395">
                  <c:v>31929</c:v>
                </c:pt>
                <c:pt idx="396">
                  <c:v>31959</c:v>
                </c:pt>
                <c:pt idx="397">
                  <c:v>31990</c:v>
                </c:pt>
                <c:pt idx="398">
                  <c:v>32021</c:v>
                </c:pt>
                <c:pt idx="399">
                  <c:v>32051</c:v>
                </c:pt>
                <c:pt idx="400">
                  <c:v>32082</c:v>
                </c:pt>
                <c:pt idx="401">
                  <c:v>32112</c:v>
                </c:pt>
                <c:pt idx="402">
                  <c:v>32143</c:v>
                </c:pt>
                <c:pt idx="403">
                  <c:v>32174</c:v>
                </c:pt>
                <c:pt idx="404">
                  <c:v>32203</c:v>
                </c:pt>
                <c:pt idx="405">
                  <c:v>32234</c:v>
                </c:pt>
                <c:pt idx="406">
                  <c:v>32264</c:v>
                </c:pt>
                <c:pt idx="407">
                  <c:v>32295</c:v>
                </c:pt>
                <c:pt idx="408">
                  <c:v>32325</c:v>
                </c:pt>
                <c:pt idx="409">
                  <c:v>32356</c:v>
                </c:pt>
                <c:pt idx="410">
                  <c:v>32387</c:v>
                </c:pt>
                <c:pt idx="411">
                  <c:v>32417</c:v>
                </c:pt>
                <c:pt idx="412">
                  <c:v>32448</c:v>
                </c:pt>
                <c:pt idx="413">
                  <c:v>32478</c:v>
                </c:pt>
                <c:pt idx="414">
                  <c:v>32509</c:v>
                </c:pt>
                <c:pt idx="415">
                  <c:v>32540</c:v>
                </c:pt>
                <c:pt idx="416">
                  <c:v>32568</c:v>
                </c:pt>
                <c:pt idx="417">
                  <c:v>32599</c:v>
                </c:pt>
                <c:pt idx="418">
                  <c:v>32629</c:v>
                </c:pt>
                <c:pt idx="419">
                  <c:v>32660</c:v>
                </c:pt>
                <c:pt idx="420">
                  <c:v>32690</c:v>
                </c:pt>
                <c:pt idx="421">
                  <c:v>32721</c:v>
                </c:pt>
                <c:pt idx="422">
                  <c:v>32752</c:v>
                </c:pt>
                <c:pt idx="423">
                  <c:v>32782</c:v>
                </c:pt>
                <c:pt idx="424">
                  <c:v>32813</c:v>
                </c:pt>
                <c:pt idx="425">
                  <c:v>32843</c:v>
                </c:pt>
                <c:pt idx="426">
                  <c:v>32874</c:v>
                </c:pt>
                <c:pt idx="427">
                  <c:v>32905</c:v>
                </c:pt>
                <c:pt idx="428">
                  <c:v>32933</c:v>
                </c:pt>
                <c:pt idx="429">
                  <c:v>32964</c:v>
                </c:pt>
                <c:pt idx="430">
                  <c:v>32994</c:v>
                </c:pt>
                <c:pt idx="431">
                  <c:v>33025</c:v>
                </c:pt>
                <c:pt idx="432">
                  <c:v>33055</c:v>
                </c:pt>
                <c:pt idx="433">
                  <c:v>33086</c:v>
                </c:pt>
                <c:pt idx="434">
                  <c:v>33117</c:v>
                </c:pt>
                <c:pt idx="435">
                  <c:v>33147</c:v>
                </c:pt>
                <c:pt idx="436">
                  <c:v>33178</c:v>
                </c:pt>
                <c:pt idx="437">
                  <c:v>33208</c:v>
                </c:pt>
                <c:pt idx="438">
                  <c:v>33239</c:v>
                </c:pt>
                <c:pt idx="439">
                  <c:v>33270</c:v>
                </c:pt>
                <c:pt idx="440">
                  <c:v>33298</c:v>
                </c:pt>
                <c:pt idx="441">
                  <c:v>33329</c:v>
                </c:pt>
                <c:pt idx="442">
                  <c:v>33359</c:v>
                </c:pt>
                <c:pt idx="443">
                  <c:v>33390</c:v>
                </c:pt>
                <c:pt idx="444">
                  <c:v>33420</c:v>
                </c:pt>
                <c:pt idx="445">
                  <c:v>33451</c:v>
                </c:pt>
                <c:pt idx="446">
                  <c:v>33482</c:v>
                </c:pt>
                <c:pt idx="447">
                  <c:v>33512</c:v>
                </c:pt>
                <c:pt idx="448">
                  <c:v>33543</c:v>
                </c:pt>
                <c:pt idx="449">
                  <c:v>33573</c:v>
                </c:pt>
                <c:pt idx="450">
                  <c:v>33604</c:v>
                </c:pt>
                <c:pt idx="451">
                  <c:v>33635</c:v>
                </c:pt>
                <c:pt idx="452">
                  <c:v>33664</c:v>
                </c:pt>
                <c:pt idx="453">
                  <c:v>33695</c:v>
                </c:pt>
                <c:pt idx="454">
                  <c:v>33725</c:v>
                </c:pt>
                <c:pt idx="455">
                  <c:v>33756</c:v>
                </c:pt>
                <c:pt idx="456">
                  <c:v>33786</c:v>
                </c:pt>
                <c:pt idx="457">
                  <c:v>33817</c:v>
                </c:pt>
                <c:pt idx="458">
                  <c:v>33848</c:v>
                </c:pt>
                <c:pt idx="459">
                  <c:v>33878</c:v>
                </c:pt>
                <c:pt idx="460">
                  <c:v>33909</c:v>
                </c:pt>
                <c:pt idx="461">
                  <c:v>33939</c:v>
                </c:pt>
                <c:pt idx="462">
                  <c:v>33970</c:v>
                </c:pt>
                <c:pt idx="463">
                  <c:v>34001</c:v>
                </c:pt>
                <c:pt idx="464">
                  <c:v>34029</c:v>
                </c:pt>
                <c:pt idx="465">
                  <c:v>34060</c:v>
                </c:pt>
                <c:pt idx="466">
                  <c:v>34090</c:v>
                </c:pt>
                <c:pt idx="467">
                  <c:v>34121</c:v>
                </c:pt>
                <c:pt idx="468">
                  <c:v>34151</c:v>
                </c:pt>
                <c:pt idx="469">
                  <c:v>34182</c:v>
                </c:pt>
                <c:pt idx="470">
                  <c:v>34213</c:v>
                </c:pt>
                <c:pt idx="471">
                  <c:v>34243</c:v>
                </c:pt>
                <c:pt idx="472">
                  <c:v>34274</c:v>
                </c:pt>
                <c:pt idx="473">
                  <c:v>34304</c:v>
                </c:pt>
                <c:pt idx="474">
                  <c:v>34335</c:v>
                </c:pt>
                <c:pt idx="475">
                  <c:v>34366</c:v>
                </c:pt>
                <c:pt idx="476">
                  <c:v>34394</c:v>
                </c:pt>
                <c:pt idx="477">
                  <c:v>34425</c:v>
                </c:pt>
                <c:pt idx="478">
                  <c:v>34455</c:v>
                </c:pt>
                <c:pt idx="479">
                  <c:v>34486</c:v>
                </c:pt>
                <c:pt idx="480">
                  <c:v>34516</c:v>
                </c:pt>
                <c:pt idx="481">
                  <c:v>34547</c:v>
                </c:pt>
                <c:pt idx="482">
                  <c:v>34578</c:v>
                </c:pt>
                <c:pt idx="483">
                  <c:v>34608</c:v>
                </c:pt>
                <c:pt idx="484">
                  <c:v>34639</c:v>
                </c:pt>
                <c:pt idx="485">
                  <c:v>34669</c:v>
                </c:pt>
                <c:pt idx="486">
                  <c:v>34700</c:v>
                </c:pt>
                <c:pt idx="487">
                  <c:v>34731</c:v>
                </c:pt>
                <c:pt idx="488">
                  <c:v>34759</c:v>
                </c:pt>
                <c:pt idx="489">
                  <c:v>34790</c:v>
                </c:pt>
                <c:pt idx="490">
                  <c:v>34820</c:v>
                </c:pt>
                <c:pt idx="491">
                  <c:v>34851</c:v>
                </c:pt>
                <c:pt idx="492">
                  <c:v>34881</c:v>
                </c:pt>
                <c:pt idx="493">
                  <c:v>34912</c:v>
                </c:pt>
                <c:pt idx="494">
                  <c:v>34943</c:v>
                </c:pt>
                <c:pt idx="495">
                  <c:v>34973</c:v>
                </c:pt>
                <c:pt idx="496">
                  <c:v>35004</c:v>
                </c:pt>
                <c:pt idx="497">
                  <c:v>35034</c:v>
                </c:pt>
                <c:pt idx="498">
                  <c:v>35065</c:v>
                </c:pt>
                <c:pt idx="499">
                  <c:v>35096</c:v>
                </c:pt>
                <c:pt idx="500">
                  <c:v>35125</c:v>
                </c:pt>
                <c:pt idx="501">
                  <c:v>35156</c:v>
                </c:pt>
                <c:pt idx="502">
                  <c:v>35186</c:v>
                </c:pt>
                <c:pt idx="503">
                  <c:v>35217</c:v>
                </c:pt>
                <c:pt idx="504">
                  <c:v>35247</c:v>
                </c:pt>
                <c:pt idx="505">
                  <c:v>35278</c:v>
                </c:pt>
                <c:pt idx="506">
                  <c:v>35309</c:v>
                </c:pt>
                <c:pt idx="507">
                  <c:v>35339</c:v>
                </c:pt>
                <c:pt idx="508">
                  <c:v>35370</c:v>
                </c:pt>
                <c:pt idx="509">
                  <c:v>35400</c:v>
                </c:pt>
                <c:pt idx="510">
                  <c:v>35431</c:v>
                </c:pt>
                <c:pt idx="511">
                  <c:v>35462</c:v>
                </c:pt>
                <c:pt idx="512">
                  <c:v>35490</c:v>
                </c:pt>
                <c:pt idx="513">
                  <c:v>35521</c:v>
                </c:pt>
                <c:pt idx="514">
                  <c:v>35551</c:v>
                </c:pt>
                <c:pt idx="515">
                  <c:v>35582</c:v>
                </c:pt>
                <c:pt idx="516">
                  <c:v>35612</c:v>
                </c:pt>
                <c:pt idx="517">
                  <c:v>35643</c:v>
                </c:pt>
                <c:pt idx="518">
                  <c:v>35674</c:v>
                </c:pt>
                <c:pt idx="519">
                  <c:v>35704</c:v>
                </c:pt>
                <c:pt idx="520">
                  <c:v>35735</c:v>
                </c:pt>
                <c:pt idx="521">
                  <c:v>35765</c:v>
                </c:pt>
                <c:pt idx="522">
                  <c:v>35796</c:v>
                </c:pt>
                <c:pt idx="523">
                  <c:v>35827</c:v>
                </c:pt>
                <c:pt idx="524">
                  <c:v>35855</c:v>
                </c:pt>
                <c:pt idx="525">
                  <c:v>35886</c:v>
                </c:pt>
                <c:pt idx="526">
                  <c:v>35916</c:v>
                </c:pt>
                <c:pt idx="527">
                  <c:v>35947</c:v>
                </c:pt>
                <c:pt idx="528">
                  <c:v>35977</c:v>
                </c:pt>
                <c:pt idx="529">
                  <c:v>36008</c:v>
                </c:pt>
                <c:pt idx="530">
                  <c:v>36039</c:v>
                </c:pt>
                <c:pt idx="531">
                  <c:v>36069</c:v>
                </c:pt>
                <c:pt idx="532">
                  <c:v>36100</c:v>
                </c:pt>
                <c:pt idx="533">
                  <c:v>36130</c:v>
                </c:pt>
                <c:pt idx="534">
                  <c:v>36161</c:v>
                </c:pt>
                <c:pt idx="535">
                  <c:v>36192</c:v>
                </c:pt>
                <c:pt idx="536">
                  <c:v>36220</c:v>
                </c:pt>
                <c:pt idx="537">
                  <c:v>36251</c:v>
                </c:pt>
                <c:pt idx="538">
                  <c:v>36281</c:v>
                </c:pt>
                <c:pt idx="539">
                  <c:v>36312</c:v>
                </c:pt>
                <c:pt idx="540">
                  <c:v>36342</c:v>
                </c:pt>
                <c:pt idx="541">
                  <c:v>36373</c:v>
                </c:pt>
                <c:pt idx="542">
                  <c:v>36404</c:v>
                </c:pt>
                <c:pt idx="543">
                  <c:v>36434</c:v>
                </c:pt>
                <c:pt idx="544">
                  <c:v>36465</c:v>
                </c:pt>
                <c:pt idx="545">
                  <c:v>36495</c:v>
                </c:pt>
                <c:pt idx="546">
                  <c:v>36526</c:v>
                </c:pt>
                <c:pt idx="547">
                  <c:v>36557</c:v>
                </c:pt>
                <c:pt idx="548">
                  <c:v>36586</c:v>
                </c:pt>
                <c:pt idx="549">
                  <c:v>36617</c:v>
                </c:pt>
                <c:pt idx="550">
                  <c:v>36647</c:v>
                </c:pt>
                <c:pt idx="551">
                  <c:v>36678</c:v>
                </c:pt>
                <c:pt idx="552">
                  <c:v>36708</c:v>
                </c:pt>
                <c:pt idx="553">
                  <c:v>36739</c:v>
                </c:pt>
                <c:pt idx="554">
                  <c:v>36770</c:v>
                </c:pt>
                <c:pt idx="555">
                  <c:v>36800</c:v>
                </c:pt>
                <c:pt idx="556">
                  <c:v>36831</c:v>
                </c:pt>
                <c:pt idx="557">
                  <c:v>36861</c:v>
                </c:pt>
                <c:pt idx="558">
                  <c:v>36892</c:v>
                </c:pt>
                <c:pt idx="559">
                  <c:v>36923</c:v>
                </c:pt>
                <c:pt idx="560">
                  <c:v>36951</c:v>
                </c:pt>
                <c:pt idx="561">
                  <c:v>36982</c:v>
                </c:pt>
                <c:pt idx="562">
                  <c:v>37012</c:v>
                </c:pt>
                <c:pt idx="563">
                  <c:v>37043</c:v>
                </c:pt>
                <c:pt idx="564">
                  <c:v>37073</c:v>
                </c:pt>
                <c:pt idx="565">
                  <c:v>37104</c:v>
                </c:pt>
                <c:pt idx="566">
                  <c:v>37135</c:v>
                </c:pt>
                <c:pt idx="567">
                  <c:v>37165</c:v>
                </c:pt>
                <c:pt idx="568">
                  <c:v>37196</c:v>
                </c:pt>
                <c:pt idx="569">
                  <c:v>37226</c:v>
                </c:pt>
                <c:pt idx="570">
                  <c:v>37257</c:v>
                </c:pt>
                <c:pt idx="571">
                  <c:v>37288</c:v>
                </c:pt>
                <c:pt idx="572">
                  <c:v>37316</c:v>
                </c:pt>
                <c:pt idx="573">
                  <c:v>37347</c:v>
                </c:pt>
                <c:pt idx="574">
                  <c:v>37377</c:v>
                </c:pt>
                <c:pt idx="575">
                  <c:v>37408</c:v>
                </c:pt>
                <c:pt idx="576">
                  <c:v>37438</c:v>
                </c:pt>
                <c:pt idx="577">
                  <c:v>37469</c:v>
                </c:pt>
                <c:pt idx="578">
                  <c:v>37500</c:v>
                </c:pt>
                <c:pt idx="579">
                  <c:v>37530</c:v>
                </c:pt>
                <c:pt idx="580">
                  <c:v>37561</c:v>
                </c:pt>
                <c:pt idx="581">
                  <c:v>37591</c:v>
                </c:pt>
                <c:pt idx="582">
                  <c:v>37622</c:v>
                </c:pt>
                <c:pt idx="583">
                  <c:v>37653</c:v>
                </c:pt>
                <c:pt idx="584">
                  <c:v>37681</c:v>
                </c:pt>
                <c:pt idx="585">
                  <c:v>37712</c:v>
                </c:pt>
                <c:pt idx="586">
                  <c:v>37742</c:v>
                </c:pt>
                <c:pt idx="587">
                  <c:v>37773</c:v>
                </c:pt>
                <c:pt idx="588">
                  <c:v>37803</c:v>
                </c:pt>
                <c:pt idx="589">
                  <c:v>37834</c:v>
                </c:pt>
                <c:pt idx="590">
                  <c:v>37865</c:v>
                </c:pt>
                <c:pt idx="591">
                  <c:v>37895</c:v>
                </c:pt>
                <c:pt idx="592">
                  <c:v>37926</c:v>
                </c:pt>
                <c:pt idx="593">
                  <c:v>37956</c:v>
                </c:pt>
                <c:pt idx="594">
                  <c:v>37987</c:v>
                </c:pt>
                <c:pt idx="595">
                  <c:v>38018</c:v>
                </c:pt>
                <c:pt idx="596">
                  <c:v>38047</c:v>
                </c:pt>
                <c:pt idx="597">
                  <c:v>38078</c:v>
                </c:pt>
                <c:pt idx="598">
                  <c:v>38108</c:v>
                </c:pt>
                <c:pt idx="599">
                  <c:v>38139</c:v>
                </c:pt>
                <c:pt idx="600">
                  <c:v>38169</c:v>
                </c:pt>
                <c:pt idx="601">
                  <c:v>38200</c:v>
                </c:pt>
                <c:pt idx="602">
                  <c:v>38231</c:v>
                </c:pt>
                <c:pt idx="603">
                  <c:v>38261</c:v>
                </c:pt>
                <c:pt idx="604">
                  <c:v>38292</c:v>
                </c:pt>
                <c:pt idx="605">
                  <c:v>38322</c:v>
                </c:pt>
                <c:pt idx="606">
                  <c:v>38353</c:v>
                </c:pt>
                <c:pt idx="607">
                  <c:v>38384</c:v>
                </c:pt>
                <c:pt idx="608">
                  <c:v>38412</c:v>
                </c:pt>
                <c:pt idx="609">
                  <c:v>38443</c:v>
                </c:pt>
                <c:pt idx="610">
                  <c:v>38473</c:v>
                </c:pt>
                <c:pt idx="611">
                  <c:v>38504</c:v>
                </c:pt>
                <c:pt idx="612">
                  <c:v>38534</c:v>
                </c:pt>
                <c:pt idx="613">
                  <c:v>38565</c:v>
                </c:pt>
                <c:pt idx="614">
                  <c:v>38596</c:v>
                </c:pt>
                <c:pt idx="615">
                  <c:v>38626</c:v>
                </c:pt>
                <c:pt idx="616">
                  <c:v>38657</c:v>
                </c:pt>
                <c:pt idx="617">
                  <c:v>38687</c:v>
                </c:pt>
                <c:pt idx="618">
                  <c:v>38718</c:v>
                </c:pt>
                <c:pt idx="619">
                  <c:v>38749</c:v>
                </c:pt>
                <c:pt idx="620">
                  <c:v>38777</c:v>
                </c:pt>
                <c:pt idx="621">
                  <c:v>38808</c:v>
                </c:pt>
                <c:pt idx="622">
                  <c:v>38838</c:v>
                </c:pt>
                <c:pt idx="623">
                  <c:v>38869</c:v>
                </c:pt>
                <c:pt idx="624">
                  <c:v>38899</c:v>
                </c:pt>
                <c:pt idx="625">
                  <c:v>38930</c:v>
                </c:pt>
                <c:pt idx="626">
                  <c:v>38961</c:v>
                </c:pt>
                <c:pt idx="627">
                  <c:v>38991</c:v>
                </c:pt>
                <c:pt idx="628">
                  <c:v>39022</c:v>
                </c:pt>
                <c:pt idx="629">
                  <c:v>39052</c:v>
                </c:pt>
                <c:pt idx="630">
                  <c:v>39083</c:v>
                </c:pt>
                <c:pt idx="631">
                  <c:v>39114</c:v>
                </c:pt>
                <c:pt idx="632">
                  <c:v>39142</c:v>
                </c:pt>
                <c:pt idx="633">
                  <c:v>39173</c:v>
                </c:pt>
                <c:pt idx="634">
                  <c:v>39203</c:v>
                </c:pt>
                <c:pt idx="635">
                  <c:v>39234</c:v>
                </c:pt>
                <c:pt idx="636">
                  <c:v>39264</c:v>
                </c:pt>
                <c:pt idx="637">
                  <c:v>39295</c:v>
                </c:pt>
                <c:pt idx="638">
                  <c:v>39326</c:v>
                </c:pt>
                <c:pt idx="639">
                  <c:v>39356</c:v>
                </c:pt>
                <c:pt idx="640">
                  <c:v>39387</c:v>
                </c:pt>
                <c:pt idx="641">
                  <c:v>39417</c:v>
                </c:pt>
                <c:pt idx="642">
                  <c:v>39448</c:v>
                </c:pt>
                <c:pt idx="643">
                  <c:v>39479</c:v>
                </c:pt>
                <c:pt idx="644">
                  <c:v>39508</c:v>
                </c:pt>
                <c:pt idx="645">
                  <c:v>39539</c:v>
                </c:pt>
                <c:pt idx="646">
                  <c:v>39569</c:v>
                </c:pt>
                <c:pt idx="647">
                  <c:v>39600</c:v>
                </c:pt>
                <c:pt idx="648">
                  <c:v>39630</c:v>
                </c:pt>
                <c:pt idx="649">
                  <c:v>39661</c:v>
                </c:pt>
                <c:pt idx="650">
                  <c:v>39692</c:v>
                </c:pt>
                <c:pt idx="651">
                  <c:v>39722</c:v>
                </c:pt>
                <c:pt idx="652">
                  <c:v>39753</c:v>
                </c:pt>
                <c:pt idx="653">
                  <c:v>39783</c:v>
                </c:pt>
                <c:pt idx="654">
                  <c:v>39814</c:v>
                </c:pt>
                <c:pt idx="655">
                  <c:v>39845</c:v>
                </c:pt>
                <c:pt idx="656">
                  <c:v>39873</c:v>
                </c:pt>
                <c:pt idx="657">
                  <c:v>39904</c:v>
                </c:pt>
                <c:pt idx="658">
                  <c:v>39934</c:v>
                </c:pt>
                <c:pt idx="659">
                  <c:v>39965</c:v>
                </c:pt>
                <c:pt idx="660">
                  <c:v>39995</c:v>
                </c:pt>
                <c:pt idx="661">
                  <c:v>40026</c:v>
                </c:pt>
                <c:pt idx="662">
                  <c:v>40057</c:v>
                </c:pt>
                <c:pt idx="663">
                  <c:v>40087</c:v>
                </c:pt>
                <c:pt idx="664">
                  <c:v>40118</c:v>
                </c:pt>
                <c:pt idx="665">
                  <c:v>40148</c:v>
                </c:pt>
                <c:pt idx="666">
                  <c:v>40179</c:v>
                </c:pt>
                <c:pt idx="667">
                  <c:v>40210</c:v>
                </c:pt>
                <c:pt idx="668">
                  <c:v>40238</c:v>
                </c:pt>
                <c:pt idx="669">
                  <c:v>40269</c:v>
                </c:pt>
                <c:pt idx="670">
                  <c:v>40299</c:v>
                </c:pt>
                <c:pt idx="671">
                  <c:v>40330</c:v>
                </c:pt>
                <c:pt idx="672">
                  <c:v>40360</c:v>
                </c:pt>
                <c:pt idx="673">
                  <c:v>40391</c:v>
                </c:pt>
                <c:pt idx="674">
                  <c:v>40422</c:v>
                </c:pt>
                <c:pt idx="675">
                  <c:v>40452</c:v>
                </c:pt>
                <c:pt idx="676">
                  <c:v>40483</c:v>
                </c:pt>
                <c:pt idx="677">
                  <c:v>40513</c:v>
                </c:pt>
                <c:pt idx="678">
                  <c:v>40544</c:v>
                </c:pt>
                <c:pt idx="679">
                  <c:v>40575</c:v>
                </c:pt>
                <c:pt idx="680">
                  <c:v>40603</c:v>
                </c:pt>
                <c:pt idx="681">
                  <c:v>40634</c:v>
                </c:pt>
                <c:pt idx="682">
                  <c:v>40664</c:v>
                </c:pt>
                <c:pt idx="683">
                  <c:v>40695</c:v>
                </c:pt>
                <c:pt idx="684">
                  <c:v>40725</c:v>
                </c:pt>
                <c:pt idx="685">
                  <c:v>40756</c:v>
                </c:pt>
                <c:pt idx="686">
                  <c:v>40787</c:v>
                </c:pt>
                <c:pt idx="687">
                  <c:v>40817</c:v>
                </c:pt>
                <c:pt idx="688">
                  <c:v>40848</c:v>
                </c:pt>
                <c:pt idx="689">
                  <c:v>40878</c:v>
                </c:pt>
                <c:pt idx="690">
                  <c:v>40909</c:v>
                </c:pt>
                <c:pt idx="691">
                  <c:v>40940</c:v>
                </c:pt>
                <c:pt idx="692">
                  <c:v>40969</c:v>
                </c:pt>
                <c:pt idx="693">
                  <c:v>41000</c:v>
                </c:pt>
                <c:pt idx="694">
                  <c:v>41030</c:v>
                </c:pt>
                <c:pt idx="695">
                  <c:v>41061</c:v>
                </c:pt>
                <c:pt idx="696">
                  <c:v>41091</c:v>
                </c:pt>
                <c:pt idx="697">
                  <c:v>41122</c:v>
                </c:pt>
                <c:pt idx="698">
                  <c:v>41153</c:v>
                </c:pt>
                <c:pt idx="699">
                  <c:v>41183</c:v>
                </c:pt>
                <c:pt idx="700">
                  <c:v>41214</c:v>
                </c:pt>
                <c:pt idx="701">
                  <c:v>41244</c:v>
                </c:pt>
                <c:pt idx="702">
                  <c:v>41275</c:v>
                </c:pt>
                <c:pt idx="703">
                  <c:v>41306</c:v>
                </c:pt>
                <c:pt idx="704">
                  <c:v>41334</c:v>
                </c:pt>
                <c:pt idx="705">
                  <c:v>41365</c:v>
                </c:pt>
                <c:pt idx="706">
                  <c:v>41395</c:v>
                </c:pt>
                <c:pt idx="707">
                  <c:v>41426</c:v>
                </c:pt>
                <c:pt idx="708">
                  <c:v>41456</c:v>
                </c:pt>
                <c:pt idx="709">
                  <c:v>41487</c:v>
                </c:pt>
                <c:pt idx="710">
                  <c:v>41518</c:v>
                </c:pt>
                <c:pt idx="711">
                  <c:v>41548</c:v>
                </c:pt>
                <c:pt idx="712">
                  <c:v>41579</c:v>
                </c:pt>
                <c:pt idx="713">
                  <c:v>41609</c:v>
                </c:pt>
                <c:pt idx="714">
                  <c:v>41640</c:v>
                </c:pt>
                <c:pt idx="715">
                  <c:v>41671</c:v>
                </c:pt>
                <c:pt idx="716">
                  <c:v>41699</c:v>
                </c:pt>
                <c:pt idx="717">
                  <c:v>41730</c:v>
                </c:pt>
                <c:pt idx="718">
                  <c:v>41760</c:v>
                </c:pt>
                <c:pt idx="719">
                  <c:v>41791</c:v>
                </c:pt>
                <c:pt idx="720">
                  <c:v>41821</c:v>
                </c:pt>
                <c:pt idx="721">
                  <c:v>41852</c:v>
                </c:pt>
                <c:pt idx="722">
                  <c:v>41883</c:v>
                </c:pt>
                <c:pt idx="723">
                  <c:v>41913</c:v>
                </c:pt>
                <c:pt idx="724">
                  <c:v>41944</c:v>
                </c:pt>
                <c:pt idx="725">
                  <c:v>41974</c:v>
                </c:pt>
                <c:pt idx="726">
                  <c:v>42005</c:v>
                </c:pt>
                <c:pt idx="727">
                  <c:v>42036</c:v>
                </c:pt>
                <c:pt idx="728">
                  <c:v>42064</c:v>
                </c:pt>
                <c:pt idx="729">
                  <c:v>42095</c:v>
                </c:pt>
                <c:pt idx="730">
                  <c:v>42125</c:v>
                </c:pt>
                <c:pt idx="731">
                  <c:v>42156</c:v>
                </c:pt>
                <c:pt idx="732">
                  <c:v>42186</c:v>
                </c:pt>
                <c:pt idx="733">
                  <c:v>42217</c:v>
                </c:pt>
                <c:pt idx="734">
                  <c:v>42248</c:v>
                </c:pt>
                <c:pt idx="735">
                  <c:v>42278</c:v>
                </c:pt>
                <c:pt idx="736">
                  <c:v>42309</c:v>
                </c:pt>
                <c:pt idx="737">
                  <c:v>42339</c:v>
                </c:pt>
                <c:pt idx="738">
                  <c:v>42370</c:v>
                </c:pt>
                <c:pt idx="739">
                  <c:v>42401</c:v>
                </c:pt>
                <c:pt idx="740">
                  <c:v>42430</c:v>
                </c:pt>
                <c:pt idx="741">
                  <c:v>42461</c:v>
                </c:pt>
                <c:pt idx="742">
                  <c:v>42491</c:v>
                </c:pt>
                <c:pt idx="743">
                  <c:v>42522</c:v>
                </c:pt>
                <c:pt idx="744">
                  <c:v>42552</c:v>
                </c:pt>
                <c:pt idx="745">
                  <c:v>42583</c:v>
                </c:pt>
                <c:pt idx="746">
                  <c:v>42614</c:v>
                </c:pt>
                <c:pt idx="747">
                  <c:v>42644</c:v>
                </c:pt>
                <c:pt idx="748">
                  <c:v>42675</c:v>
                </c:pt>
                <c:pt idx="749">
                  <c:v>42705</c:v>
                </c:pt>
                <c:pt idx="750">
                  <c:v>42736</c:v>
                </c:pt>
                <c:pt idx="751">
                  <c:v>42767</c:v>
                </c:pt>
                <c:pt idx="752">
                  <c:v>42795</c:v>
                </c:pt>
                <c:pt idx="753">
                  <c:v>42826</c:v>
                </c:pt>
                <c:pt idx="754">
                  <c:v>42856</c:v>
                </c:pt>
                <c:pt idx="755">
                  <c:v>42887</c:v>
                </c:pt>
                <c:pt idx="756">
                  <c:v>42917</c:v>
                </c:pt>
                <c:pt idx="757">
                  <c:v>42948</c:v>
                </c:pt>
                <c:pt idx="758">
                  <c:v>42979</c:v>
                </c:pt>
                <c:pt idx="759">
                  <c:v>43009</c:v>
                </c:pt>
                <c:pt idx="760">
                  <c:v>43040</c:v>
                </c:pt>
                <c:pt idx="761">
                  <c:v>43070</c:v>
                </c:pt>
                <c:pt idx="762">
                  <c:v>43101</c:v>
                </c:pt>
                <c:pt idx="763">
                  <c:v>43132</c:v>
                </c:pt>
                <c:pt idx="764">
                  <c:v>43160</c:v>
                </c:pt>
                <c:pt idx="765">
                  <c:v>43191</c:v>
                </c:pt>
                <c:pt idx="766">
                  <c:v>43221</c:v>
                </c:pt>
                <c:pt idx="767">
                  <c:v>43252</c:v>
                </c:pt>
                <c:pt idx="768">
                  <c:v>43282</c:v>
                </c:pt>
                <c:pt idx="769">
                  <c:v>43313</c:v>
                </c:pt>
                <c:pt idx="770">
                  <c:v>43344</c:v>
                </c:pt>
                <c:pt idx="771">
                  <c:v>43374</c:v>
                </c:pt>
                <c:pt idx="772">
                  <c:v>43405</c:v>
                </c:pt>
                <c:pt idx="773">
                  <c:v>43435</c:v>
                </c:pt>
                <c:pt idx="774">
                  <c:v>43466</c:v>
                </c:pt>
                <c:pt idx="775">
                  <c:v>43497</c:v>
                </c:pt>
                <c:pt idx="776">
                  <c:v>43525</c:v>
                </c:pt>
                <c:pt idx="777">
                  <c:v>43556</c:v>
                </c:pt>
                <c:pt idx="778">
                  <c:v>43586</c:v>
                </c:pt>
                <c:pt idx="779">
                  <c:v>43617</c:v>
                </c:pt>
                <c:pt idx="780">
                  <c:v>43647</c:v>
                </c:pt>
                <c:pt idx="781">
                  <c:v>43678</c:v>
                </c:pt>
                <c:pt idx="782">
                  <c:v>43709</c:v>
                </c:pt>
                <c:pt idx="783">
                  <c:v>43739</c:v>
                </c:pt>
                <c:pt idx="784">
                  <c:v>43770</c:v>
                </c:pt>
                <c:pt idx="785">
                  <c:v>43800</c:v>
                </c:pt>
                <c:pt idx="786">
                  <c:v>43831</c:v>
                </c:pt>
                <c:pt idx="787">
                  <c:v>43862</c:v>
                </c:pt>
                <c:pt idx="788">
                  <c:v>43891</c:v>
                </c:pt>
                <c:pt idx="789">
                  <c:v>43922</c:v>
                </c:pt>
                <c:pt idx="790">
                  <c:v>43952</c:v>
                </c:pt>
                <c:pt idx="791">
                  <c:v>43983</c:v>
                </c:pt>
                <c:pt idx="792">
                  <c:v>44013</c:v>
                </c:pt>
                <c:pt idx="793">
                  <c:v>44044</c:v>
                </c:pt>
                <c:pt idx="794">
                  <c:v>44075</c:v>
                </c:pt>
                <c:pt idx="795">
                  <c:v>44105</c:v>
                </c:pt>
                <c:pt idx="796">
                  <c:v>44136</c:v>
                </c:pt>
                <c:pt idx="797">
                  <c:v>44166</c:v>
                </c:pt>
                <c:pt idx="798">
                  <c:v>44197</c:v>
                </c:pt>
                <c:pt idx="799">
                  <c:v>44228</c:v>
                </c:pt>
                <c:pt idx="800">
                  <c:v>44256</c:v>
                </c:pt>
                <c:pt idx="801">
                  <c:v>44287</c:v>
                </c:pt>
                <c:pt idx="802">
                  <c:v>44317</c:v>
                </c:pt>
                <c:pt idx="803">
                  <c:v>44348</c:v>
                </c:pt>
                <c:pt idx="804">
                  <c:v>44378</c:v>
                </c:pt>
                <c:pt idx="805">
                  <c:v>44409</c:v>
                </c:pt>
                <c:pt idx="806">
                  <c:v>44440</c:v>
                </c:pt>
                <c:pt idx="807">
                  <c:v>44470</c:v>
                </c:pt>
                <c:pt idx="808">
                  <c:v>44501</c:v>
                </c:pt>
                <c:pt idx="809">
                  <c:v>44531</c:v>
                </c:pt>
                <c:pt idx="810">
                  <c:v>44562</c:v>
                </c:pt>
                <c:pt idx="811">
                  <c:v>44593</c:v>
                </c:pt>
                <c:pt idx="812">
                  <c:v>44621</c:v>
                </c:pt>
                <c:pt idx="813">
                  <c:v>44652</c:v>
                </c:pt>
                <c:pt idx="814">
                  <c:v>44682</c:v>
                </c:pt>
                <c:pt idx="815">
                  <c:v>44713</c:v>
                </c:pt>
                <c:pt idx="816">
                  <c:v>44743</c:v>
                </c:pt>
                <c:pt idx="817">
                  <c:v>44774</c:v>
                </c:pt>
                <c:pt idx="818">
                  <c:v>44805</c:v>
                </c:pt>
                <c:pt idx="819">
                  <c:v>44835</c:v>
                </c:pt>
                <c:pt idx="820">
                  <c:v>44866</c:v>
                </c:pt>
                <c:pt idx="821">
                  <c:v>44896</c:v>
                </c:pt>
                <c:pt idx="822">
                  <c:v>44927</c:v>
                </c:pt>
                <c:pt idx="823">
                  <c:v>44958</c:v>
                </c:pt>
                <c:pt idx="824">
                  <c:v>44986</c:v>
                </c:pt>
                <c:pt idx="825">
                  <c:v>45017</c:v>
                </c:pt>
                <c:pt idx="826">
                  <c:v>45047</c:v>
                </c:pt>
                <c:pt idx="827">
                  <c:v>45078</c:v>
                </c:pt>
                <c:pt idx="828">
                  <c:v>45108</c:v>
                </c:pt>
                <c:pt idx="829">
                  <c:v>45139</c:v>
                </c:pt>
                <c:pt idx="830">
                  <c:v>45170</c:v>
                </c:pt>
                <c:pt idx="831">
                  <c:v>45200</c:v>
                </c:pt>
                <c:pt idx="832">
                  <c:v>45231</c:v>
                </c:pt>
                <c:pt idx="833">
                  <c:v>45261</c:v>
                </c:pt>
                <c:pt idx="834">
                  <c:v>45292</c:v>
                </c:pt>
                <c:pt idx="835">
                  <c:v>45323</c:v>
                </c:pt>
                <c:pt idx="836">
                  <c:v>45352</c:v>
                </c:pt>
                <c:pt idx="837">
                  <c:v>45383</c:v>
                </c:pt>
                <c:pt idx="838">
                  <c:v>45413</c:v>
                </c:pt>
                <c:pt idx="839">
                  <c:v>45444</c:v>
                </c:pt>
                <c:pt idx="840">
                  <c:v>45474</c:v>
                </c:pt>
                <c:pt idx="841">
                  <c:v>45505</c:v>
                </c:pt>
                <c:pt idx="842">
                  <c:v>45536</c:v>
                </c:pt>
                <c:pt idx="843">
                  <c:v>45566</c:v>
                </c:pt>
                <c:pt idx="844">
                  <c:v>45597</c:v>
                </c:pt>
                <c:pt idx="845">
                  <c:v>45627</c:v>
                </c:pt>
                <c:pt idx="846">
                  <c:v>45658</c:v>
                </c:pt>
                <c:pt idx="847">
                  <c:v>45689</c:v>
                </c:pt>
                <c:pt idx="848">
                  <c:v>45717</c:v>
                </c:pt>
                <c:pt idx="849">
                  <c:v>45748</c:v>
                </c:pt>
                <c:pt idx="850">
                  <c:v>45778</c:v>
                </c:pt>
                <c:pt idx="851">
                  <c:v>45809</c:v>
                </c:pt>
                <c:pt idx="852">
                  <c:v>45839</c:v>
                </c:pt>
                <c:pt idx="853">
                  <c:v>45870</c:v>
                </c:pt>
                <c:pt idx="854">
                  <c:v>45901</c:v>
                </c:pt>
                <c:pt idx="855">
                  <c:v>45931</c:v>
                </c:pt>
                <c:pt idx="856">
                  <c:v>45962</c:v>
                </c:pt>
                <c:pt idx="857">
                  <c:v>45992</c:v>
                </c:pt>
                <c:pt idx="858">
                  <c:v>46023</c:v>
                </c:pt>
                <c:pt idx="859">
                  <c:v>46054</c:v>
                </c:pt>
                <c:pt idx="860">
                  <c:v>46082</c:v>
                </c:pt>
                <c:pt idx="861">
                  <c:v>46113</c:v>
                </c:pt>
              </c:numCache>
            </c:numRef>
          </c:cat>
          <c:val>
            <c:numRef>
              <c:f>line!$C$5:$C$866</c:f>
              <c:numCache>
                <c:formatCode>0.00</c:formatCode>
                <c:ptCount val="862"/>
                <c:pt idx="0">
                  <c:v>0.8</c:v>
                </c:pt>
                <c:pt idx="1">
                  <c:v>1.22</c:v>
                </c:pt>
                <c:pt idx="2">
                  <c:v>1.07</c:v>
                </c:pt>
                <c:pt idx="3">
                  <c:v>0.85</c:v>
                </c:pt>
                <c:pt idx="4">
                  <c:v>0.83</c:v>
                </c:pt>
                <c:pt idx="5">
                  <c:v>1.28</c:v>
                </c:pt>
                <c:pt idx="6">
                  <c:v>1.39</c:v>
                </c:pt>
                <c:pt idx="7">
                  <c:v>1.29</c:v>
                </c:pt>
                <c:pt idx="8">
                  <c:v>1.35</c:v>
                </c:pt>
                <c:pt idx="9">
                  <c:v>1.43</c:v>
                </c:pt>
                <c:pt idx="10">
                  <c:v>1.43</c:v>
                </c:pt>
                <c:pt idx="11">
                  <c:v>1.64</c:v>
                </c:pt>
                <c:pt idx="12">
                  <c:v>1.68</c:v>
                </c:pt>
                <c:pt idx="13">
                  <c:v>1.96</c:v>
                </c:pt>
                <c:pt idx="14">
                  <c:v>2.1800000000000002</c:v>
                </c:pt>
                <c:pt idx="15">
                  <c:v>2.2400000000000002</c:v>
                </c:pt>
                <c:pt idx="16">
                  <c:v>2.35</c:v>
                </c:pt>
                <c:pt idx="17">
                  <c:v>2.48</c:v>
                </c:pt>
                <c:pt idx="18">
                  <c:v>2.4500000000000002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2.62</c:v>
                </c:pt>
                <c:pt idx="22">
                  <c:v>2.75</c:v>
                </c:pt>
                <c:pt idx="23">
                  <c:v>2.71</c:v>
                </c:pt>
                <c:pt idx="24">
                  <c:v>2.75</c:v>
                </c:pt>
                <c:pt idx="25">
                  <c:v>2.73</c:v>
                </c:pt>
                <c:pt idx="26">
                  <c:v>2.95</c:v>
                </c:pt>
                <c:pt idx="27">
                  <c:v>2.96</c:v>
                </c:pt>
                <c:pt idx="28">
                  <c:v>2.88</c:v>
                </c:pt>
                <c:pt idx="29">
                  <c:v>2.94</c:v>
                </c:pt>
                <c:pt idx="30">
                  <c:v>2.84</c:v>
                </c:pt>
                <c:pt idx="31">
                  <c:v>3</c:v>
                </c:pt>
                <c:pt idx="32">
                  <c:v>2.96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2.99</c:v>
                </c:pt>
                <c:pt idx="37">
                  <c:v>3.24</c:v>
                </c:pt>
                <c:pt idx="38">
                  <c:v>3.47</c:v>
                </c:pt>
                <c:pt idx="39">
                  <c:v>3.5</c:v>
                </c:pt>
                <c:pt idx="40">
                  <c:v>3.28</c:v>
                </c:pt>
                <c:pt idx="41">
                  <c:v>2.98</c:v>
                </c:pt>
                <c:pt idx="42">
                  <c:v>2.72</c:v>
                </c:pt>
                <c:pt idx="43">
                  <c:v>1.67</c:v>
                </c:pt>
                <c:pt idx="44">
                  <c:v>1.2</c:v>
                </c:pt>
                <c:pt idx="45">
                  <c:v>1.26</c:v>
                </c:pt>
                <c:pt idx="46">
                  <c:v>0.63</c:v>
                </c:pt>
                <c:pt idx="47">
                  <c:v>0.93</c:v>
                </c:pt>
                <c:pt idx="48">
                  <c:v>0.68</c:v>
                </c:pt>
                <c:pt idx="49">
                  <c:v>1.53</c:v>
                </c:pt>
                <c:pt idx="50">
                  <c:v>1.76</c:v>
                </c:pt>
                <c:pt idx="51">
                  <c:v>1.8</c:v>
                </c:pt>
                <c:pt idx="52">
                  <c:v>2.27</c:v>
                </c:pt>
                <c:pt idx="53">
                  <c:v>2.42</c:v>
                </c:pt>
                <c:pt idx="54">
                  <c:v>2.48</c:v>
                </c:pt>
                <c:pt idx="55">
                  <c:v>2.4300000000000002</c:v>
                </c:pt>
                <c:pt idx="56">
                  <c:v>2.8</c:v>
                </c:pt>
                <c:pt idx="57">
                  <c:v>2.96</c:v>
                </c:pt>
                <c:pt idx="58">
                  <c:v>2.9</c:v>
                </c:pt>
                <c:pt idx="59">
                  <c:v>3.39</c:v>
                </c:pt>
                <c:pt idx="60">
                  <c:v>3.47</c:v>
                </c:pt>
                <c:pt idx="61">
                  <c:v>3.5</c:v>
                </c:pt>
                <c:pt idx="62">
                  <c:v>3.76</c:v>
                </c:pt>
                <c:pt idx="63">
                  <c:v>3.98</c:v>
                </c:pt>
                <c:pt idx="64">
                  <c:v>4</c:v>
                </c:pt>
                <c:pt idx="65">
                  <c:v>3.99</c:v>
                </c:pt>
                <c:pt idx="66">
                  <c:v>3.99</c:v>
                </c:pt>
                <c:pt idx="67">
                  <c:v>3.97</c:v>
                </c:pt>
                <c:pt idx="68">
                  <c:v>3.84</c:v>
                </c:pt>
                <c:pt idx="69">
                  <c:v>3.92</c:v>
                </c:pt>
                <c:pt idx="70">
                  <c:v>3.85</c:v>
                </c:pt>
                <c:pt idx="71">
                  <c:v>3.32</c:v>
                </c:pt>
                <c:pt idx="72">
                  <c:v>3.23</c:v>
                </c:pt>
                <c:pt idx="73">
                  <c:v>2.98</c:v>
                </c:pt>
                <c:pt idx="74">
                  <c:v>2.6</c:v>
                </c:pt>
                <c:pt idx="75">
                  <c:v>2.4700000000000002</c:v>
                </c:pt>
                <c:pt idx="76">
                  <c:v>2.44</c:v>
                </c:pt>
                <c:pt idx="77">
                  <c:v>1.98</c:v>
                </c:pt>
                <c:pt idx="78">
                  <c:v>1.45</c:v>
                </c:pt>
                <c:pt idx="79">
                  <c:v>2.54</c:v>
                </c:pt>
                <c:pt idx="80">
                  <c:v>2.02</c:v>
                </c:pt>
                <c:pt idx="81">
                  <c:v>1.49</c:v>
                </c:pt>
                <c:pt idx="82">
                  <c:v>1.98</c:v>
                </c:pt>
                <c:pt idx="83">
                  <c:v>1.73</c:v>
                </c:pt>
                <c:pt idx="84">
                  <c:v>1.17</c:v>
                </c:pt>
                <c:pt idx="85">
                  <c:v>2</c:v>
                </c:pt>
                <c:pt idx="86">
                  <c:v>1.88</c:v>
                </c:pt>
                <c:pt idx="87">
                  <c:v>2.2599999999999998</c:v>
                </c:pt>
                <c:pt idx="88">
                  <c:v>2.61</c:v>
                </c:pt>
                <c:pt idx="89">
                  <c:v>2.33</c:v>
                </c:pt>
                <c:pt idx="90">
                  <c:v>2.15</c:v>
                </c:pt>
                <c:pt idx="91">
                  <c:v>2.37</c:v>
                </c:pt>
                <c:pt idx="92">
                  <c:v>2.85</c:v>
                </c:pt>
                <c:pt idx="93">
                  <c:v>2.78</c:v>
                </c:pt>
                <c:pt idx="94">
                  <c:v>2.36</c:v>
                </c:pt>
                <c:pt idx="95">
                  <c:v>2.68</c:v>
                </c:pt>
                <c:pt idx="96">
                  <c:v>2.71</c:v>
                </c:pt>
                <c:pt idx="97">
                  <c:v>2.93</c:v>
                </c:pt>
                <c:pt idx="98">
                  <c:v>2.9</c:v>
                </c:pt>
                <c:pt idx="99">
                  <c:v>2.9</c:v>
                </c:pt>
                <c:pt idx="100">
                  <c:v>2.94</c:v>
                </c:pt>
                <c:pt idx="101">
                  <c:v>2.93</c:v>
                </c:pt>
                <c:pt idx="102">
                  <c:v>2.92</c:v>
                </c:pt>
                <c:pt idx="103">
                  <c:v>3</c:v>
                </c:pt>
                <c:pt idx="104">
                  <c:v>2.98</c:v>
                </c:pt>
                <c:pt idx="105">
                  <c:v>2.9</c:v>
                </c:pt>
                <c:pt idx="106">
                  <c:v>3</c:v>
                </c:pt>
                <c:pt idx="107">
                  <c:v>2.99</c:v>
                </c:pt>
                <c:pt idx="108">
                  <c:v>3.02</c:v>
                </c:pt>
                <c:pt idx="109">
                  <c:v>3.49</c:v>
                </c:pt>
                <c:pt idx="110">
                  <c:v>3.48</c:v>
                </c:pt>
                <c:pt idx="111">
                  <c:v>3.5</c:v>
                </c:pt>
                <c:pt idx="112">
                  <c:v>3.48</c:v>
                </c:pt>
                <c:pt idx="113">
                  <c:v>3.38</c:v>
                </c:pt>
                <c:pt idx="114">
                  <c:v>3.48</c:v>
                </c:pt>
                <c:pt idx="115">
                  <c:v>3.48</c:v>
                </c:pt>
                <c:pt idx="116">
                  <c:v>3.43</c:v>
                </c:pt>
                <c:pt idx="117">
                  <c:v>3.47</c:v>
                </c:pt>
                <c:pt idx="118">
                  <c:v>3.5</c:v>
                </c:pt>
                <c:pt idx="119">
                  <c:v>3.5</c:v>
                </c:pt>
                <c:pt idx="120">
                  <c:v>3.42</c:v>
                </c:pt>
                <c:pt idx="121">
                  <c:v>3.5</c:v>
                </c:pt>
                <c:pt idx="122">
                  <c:v>3.45</c:v>
                </c:pt>
                <c:pt idx="123">
                  <c:v>3.36</c:v>
                </c:pt>
                <c:pt idx="124">
                  <c:v>3.52</c:v>
                </c:pt>
                <c:pt idx="125">
                  <c:v>3.85</c:v>
                </c:pt>
                <c:pt idx="126">
                  <c:v>3.9</c:v>
                </c:pt>
                <c:pt idx="127">
                  <c:v>3.98</c:v>
                </c:pt>
                <c:pt idx="128">
                  <c:v>4.05</c:v>
                </c:pt>
                <c:pt idx="129">
                  <c:v>4.09</c:v>
                </c:pt>
                <c:pt idx="130">
                  <c:v>4.0999999999999996</c:v>
                </c:pt>
                <c:pt idx="131">
                  <c:v>4.05</c:v>
                </c:pt>
                <c:pt idx="132">
                  <c:v>4.09</c:v>
                </c:pt>
                <c:pt idx="133">
                  <c:v>4.12</c:v>
                </c:pt>
                <c:pt idx="134">
                  <c:v>4.0199999999999996</c:v>
                </c:pt>
                <c:pt idx="135">
                  <c:v>4.08</c:v>
                </c:pt>
                <c:pt idx="136">
                  <c:v>4.0999999999999996</c:v>
                </c:pt>
                <c:pt idx="137">
                  <c:v>4.32</c:v>
                </c:pt>
                <c:pt idx="138">
                  <c:v>4.42</c:v>
                </c:pt>
                <c:pt idx="139">
                  <c:v>4.5999999999999996</c:v>
                </c:pt>
                <c:pt idx="140">
                  <c:v>4.66</c:v>
                </c:pt>
                <c:pt idx="141">
                  <c:v>4.67</c:v>
                </c:pt>
                <c:pt idx="142">
                  <c:v>4.9000000000000004</c:v>
                </c:pt>
                <c:pt idx="143">
                  <c:v>5.17</c:v>
                </c:pt>
                <c:pt idx="144">
                  <c:v>5.3</c:v>
                </c:pt>
                <c:pt idx="145">
                  <c:v>5.53</c:v>
                </c:pt>
                <c:pt idx="146">
                  <c:v>5.4</c:v>
                </c:pt>
                <c:pt idx="147">
                  <c:v>5.53</c:v>
                </c:pt>
                <c:pt idx="148">
                  <c:v>5.76</c:v>
                </c:pt>
                <c:pt idx="149">
                  <c:v>5.4</c:v>
                </c:pt>
                <c:pt idx="150">
                  <c:v>4.9400000000000004</c:v>
                </c:pt>
                <c:pt idx="151">
                  <c:v>5</c:v>
                </c:pt>
                <c:pt idx="152">
                  <c:v>4.53</c:v>
                </c:pt>
                <c:pt idx="153">
                  <c:v>4.05</c:v>
                </c:pt>
                <c:pt idx="154">
                  <c:v>3.94</c:v>
                </c:pt>
                <c:pt idx="155">
                  <c:v>3.98</c:v>
                </c:pt>
                <c:pt idx="156">
                  <c:v>3.79</c:v>
                </c:pt>
                <c:pt idx="157">
                  <c:v>3.9</c:v>
                </c:pt>
                <c:pt idx="158">
                  <c:v>3.99</c:v>
                </c:pt>
                <c:pt idx="159">
                  <c:v>3.88</c:v>
                </c:pt>
                <c:pt idx="160">
                  <c:v>4.13</c:v>
                </c:pt>
                <c:pt idx="161">
                  <c:v>4.51</c:v>
                </c:pt>
                <c:pt idx="162">
                  <c:v>4.6100000000000003</c:v>
                </c:pt>
                <c:pt idx="163">
                  <c:v>4.71</c:v>
                </c:pt>
                <c:pt idx="164">
                  <c:v>5.05</c:v>
                </c:pt>
                <c:pt idx="165">
                  <c:v>5.76</c:v>
                </c:pt>
                <c:pt idx="166">
                  <c:v>6.12</c:v>
                </c:pt>
                <c:pt idx="167">
                  <c:v>6.07</c:v>
                </c:pt>
                <c:pt idx="168">
                  <c:v>6.03</c:v>
                </c:pt>
                <c:pt idx="169">
                  <c:v>6.03</c:v>
                </c:pt>
                <c:pt idx="170">
                  <c:v>5.78</c:v>
                </c:pt>
                <c:pt idx="171">
                  <c:v>5.91</c:v>
                </c:pt>
                <c:pt idx="172">
                  <c:v>5.82</c:v>
                </c:pt>
                <c:pt idx="173">
                  <c:v>6.02</c:v>
                </c:pt>
                <c:pt idx="174">
                  <c:v>6.3</c:v>
                </c:pt>
                <c:pt idx="175">
                  <c:v>6.61</c:v>
                </c:pt>
                <c:pt idx="176">
                  <c:v>6.79</c:v>
                </c:pt>
                <c:pt idx="177">
                  <c:v>7.41</c:v>
                </c:pt>
                <c:pt idx="178">
                  <c:v>8.67</c:v>
                </c:pt>
                <c:pt idx="179">
                  <c:v>8.9</c:v>
                </c:pt>
                <c:pt idx="180">
                  <c:v>8.61</c:v>
                </c:pt>
                <c:pt idx="181">
                  <c:v>9.19</c:v>
                </c:pt>
                <c:pt idx="182">
                  <c:v>9.15</c:v>
                </c:pt>
                <c:pt idx="183">
                  <c:v>9</c:v>
                </c:pt>
                <c:pt idx="184">
                  <c:v>8.85</c:v>
                </c:pt>
                <c:pt idx="185">
                  <c:v>8.9700000000000006</c:v>
                </c:pt>
                <c:pt idx="186">
                  <c:v>8.98</c:v>
                </c:pt>
                <c:pt idx="187">
                  <c:v>8.98</c:v>
                </c:pt>
                <c:pt idx="188">
                  <c:v>7.76</c:v>
                </c:pt>
                <c:pt idx="189">
                  <c:v>8.1</c:v>
                </c:pt>
                <c:pt idx="190">
                  <c:v>7.95</c:v>
                </c:pt>
                <c:pt idx="191">
                  <c:v>7.61</c:v>
                </c:pt>
                <c:pt idx="192">
                  <c:v>7.21</c:v>
                </c:pt>
                <c:pt idx="193">
                  <c:v>6.62</c:v>
                </c:pt>
                <c:pt idx="194">
                  <c:v>6.29</c:v>
                </c:pt>
                <c:pt idx="195">
                  <c:v>6.2</c:v>
                </c:pt>
                <c:pt idx="196">
                  <c:v>5.6</c:v>
                </c:pt>
                <c:pt idx="197">
                  <c:v>4.9000000000000004</c:v>
                </c:pt>
                <c:pt idx="198">
                  <c:v>4.1399999999999997</c:v>
                </c:pt>
                <c:pt idx="199">
                  <c:v>3.72</c:v>
                </c:pt>
                <c:pt idx="200">
                  <c:v>3.71</c:v>
                </c:pt>
                <c:pt idx="201">
                  <c:v>4.16</c:v>
                </c:pt>
                <c:pt idx="202">
                  <c:v>4.63</c:v>
                </c:pt>
                <c:pt idx="203">
                  <c:v>4.91</c:v>
                </c:pt>
                <c:pt idx="204">
                  <c:v>5.31</c:v>
                </c:pt>
                <c:pt idx="205">
                  <c:v>5.57</c:v>
                </c:pt>
                <c:pt idx="206">
                  <c:v>5.55</c:v>
                </c:pt>
                <c:pt idx="207">
                  <c:v>5.2</c:v>
                </c:pt>
                <c:pt idx="208">
                  <c:v>4.91</c:v>
                </c:pt>
                <c:pt idx="209">
                  <c:v>4.1399999999999997</c:v>
                </c:pt>
                <c:pt idx="210">
                  <c:v>3.51</c:v>
                </c:pt>
                <c:pt idx="211">
                  <c:v>3.3</c:v>
                </c:pt>
                <c:pt idx="212">
                  <c:v>3.83</c:v>
                </c:pt>
                <c:pt idx="213">
                  <c:v>4.17</c:v>
                </c:pt>
                <c:pt idx="214">
                  <c:v>4.2699999999999996</c:v>
                </c:pt>
                <c:pt idx="215">
                  <c:v>4.46</c:v>
                </c:pt>
                <c:pt idx="216">
                  <c:v>4.55</c:v>
                </c:pt>
                <c:pt idx="217">
                  <c:v>4.8099999999999996</c:v>
                </c:pt>
                <c:pt idx="218">
                  <c:v>4.87</c:v>
                </c:pt>
                <c:pt idx="219">
                  <c:v>5.05</c:v>
                </c:pt>
                <c:pt idx="220">
                  <c:v>5.0599999999999996</c:v>
                </c:pt>
                <c:pt idx="221">
                  <c:v>5.33</c:v>
                </c:pt>
                <c:pt idx="222">
                  <c:v>5.94</c:v>
                </c:pt>
                <c:pt idx="223">
                  <c:v>6.58</c:v>
                </c:pt>
                <c:pt idx="224">
                  <c:v>7.09</c:v>
                </c:pt>
                <c:pt idx="225">
                  <c:v>7.12</c:v>
                </c:pt>
                <c:pt idx="226">
                  <c:v>7.84</c:v>
                </c:pt>
                <c:pt idx="227">
                  <c:v>8.49</c:v>
                </c:pt>
                <c:pt idx="228">
                  <c:v>10.4</c:v>
                </c:pt>
                <c:pt idx="229">
                  <c:v>10.5</c:v>
                </c:pt>
                <c:pt idx="230">
                  <c:v>10.78</c:v>
                </c:pt>
                <c:pt idx="231">
                  <c:v>10.01</c:v>
                </c:pt>
                <c:pt idx="232">
                  <c:v>10.029999999999999</c:v>
                </c:pt>
                <c:pt idx="233">
                  <c:v>9.9499999999999993</c:v>
                </c:pt>
                <c:pt idx="234">
                  <c:v>9.65</c:v>
                </c:pt>
                <c:pt idx="235">
                  <c:v>8.9700000000000006</c:v>
                </c:pt>
                <c:pt idx="236">
                  <c:v>9.35</c:v>
                </c:pt>
                <c:pt idx="237">
                  <c:v>10.51</c:v>
                </c:pt>
                <c:pt idx="238">
                  <c:v>11.31</c:v>
                </c:pt>
                <c:pt idx="239">
                  <c:v>11.93</c:v>
                </c:pt>
                <c:pt idx="240">
                  <c:v>12.92</c:v>
                </c:pt>
                <c:pt idx="241">
                  <c:v>12.01</c:v>
                </c:pt>
                <c:pt idx="242">
                  <c:v>11.34</c:v>
                </c:pt>
                <c:pt idx="243">
                  <c:v>10.06</c:v>
                </c:pt>
                <c:pt idx="244">
                  <c:v>9.4499999999999993</c:v>
                </c:pt>
                <c:pt idx="245">
                  <c:v>8.5299999999999994</c:v>
                </c:pt>
                <c:pt idx="246">
                  <c:v>7.13</c:v>
                </c:pt>
                <c:pt idx="247">
                  <c:v>6.24</c:v>
                </c:pt>
                <c:pt idx="248">
                  <c:v>5.54</c:v>
                </c:pt>
                <c:pt idx="249">
                  <c:v>5.49</c:v>
                </c:pt>
                <c:pt idx="250">
                  <c:v>5.22</c:v>
                </c:pt>
                <c:pt idx="251">
                  <c:v>5.55</c:v>
                </c:pt>
                <c:pt idx="252">
                  <c:v>6.1</c:v>
                </c:pt>
                <c:pt idx="253">
                  <c:v>6.14</c:v>
                </c:pt>
                <c:pt idx="254">
                  <c:v>6.24</c:v>
                </c:pt>
                <c:pt idx="255">
                  <c:v>5.82</c:v>
                </c:pt>
                <c:pt idx="256">
                  <c:v>5.22</c:v>
                </c:pt>
                <c:pt idx="257">
                  <c:v>5.2</c:v>
                </c:pt>
                <c:pt idx="258">
                  <c:v>4.87</c:v>
                </c:pt>
                <c:pt idx="259">
                  <c:v>4.7699999999999996</c:v>
                </c:pt>
                <c:pt idx="260">
                  <c:v>4.84</c:v>
                </c:pt>
                <c:pt idx="261">
                  <c:v>4.82</c:v>
                </c:pt>
                <c:pt idx="262">
                  <c:v>5.29</c:v>
                </c:pt>
                <c:pt idx="263">
                  <c:v>5.48</c:v>
                </c:pt>
                <c:pt idx="264">
                  <c:v>5.31</c:v>
                </c:pt>
                <c:pt idx="265">
                  <c:v>5.29</c:v>
                </c:pt>
                <c:pt idx="266">
                  <c:v>5.25</c:v>
                </c:pt>
                <c:pt idx="267">
                  <c:v>5.0199999999999996</c:v>
                </c:pt>
                <c:pt idx="268">
                  <c:v>4.95</c:v>
                </c:pt>
                <c:pt idx="269">
                  <c:v>4.6500000000000004</c:v>
                </c:pt>
                <c:pt idx="270">
                  <c:v>4.6100000000000003</c:v>
                </c:pt>
                <c:pt idx="271">
                  <c:v>4.68</c:v>
                </c:pt>
                <c:pt idx="272">
                  <c:v>4.6900000000000004</c:v>
                </c:pt>
                <c:pt idx="273">
                  <c:v>4.7300000000000004</c:v>
                </c:pt>
                <c:pt idx="274">
                  <c:v>5.35</c:v>
                </c:pt>
                <c:pt idx="275">
                  <c:v>5.39</c:v>
                </c:pt>
                <c:pt idx="276">
                  <c:v>5.42</c:v>
                </c:pt>
                <c:pt idx="277">
                  <c:v>5.9</c:v>
                </c:pt>
                <c:pt idx="278">
                  <c:v>6.14</c:v>
                </c:pt>
                <c:pt idx="279">
                  <c:v>6.47</c:v>
                </c:pt>
                <c:pt idx="280">
                  <c:v>6.51</c:v>
                </c:pt>
                <c:pt idx="281">
                  <c:v>6.56</c:v>
                </c:pt>
                <c:pt idx="282">
                  <c:v>6.7</c:v>
                </c:pt>
                <c:pt idx="283">
                  <c:v>6.78</c:v>
                </c:pt>
                <c:pt idx="284">
                  <c:v>6.79</c:v>
                </c:pt>
                <c:pt idx="285">
                  <c:v>6.89</c:v>
                </c:pt>
                <c:pt idx="286">
                  <c:v>7.36</c:v>
                </c:pt>
                <c:pt idx="287">
                  <c:v>7.6</c:v>
                </c:pt>
                <c:pt idx="288">
                  <c:v>7.81</c:v>
                </c:pt>
                <c:pt idx="289">
                  <c:v>8.0399999999999991</c:v>
                </c:pt>
                <c:pt idx="290">
                  <c:v>8.4499999999999993</c:v>
                </c:pt>
                <c:pt idx="291">
                  <c:v>8.9600000000000009</c:v>
                </c:pt>
                <c:pt idx="292">
                  <c:v>9.76</c:v>
                </c:pt>
                <c:pt idx="293">
                  <c:v>10.029999999999999</c:v>
                </c:pt>
                <c:pt idx="294">
                  <c:v>10.07</c:v>
                </c:pt>
                <c:pt idx="295">
                  <c:v>10.06</c:v>
                </c:pt>
                <c:pt idx="296">
                  <c:v>10.09</c:v>
                </c:pt>
                <c:pt idx="297">
                  <c:v>10.01</c:v>
                </c:pt>
                <c:pt idx="298">
                  <c:v>10.24</c:v>
                </c:pt>
                <c:pt idx="299">
                  <c:v>10.29</c:v>
                </c:pt>
                <c:pt idx="300">
                  <c:v>10.47</c:v>
                </c:pt>
                <c:pt idx="301">
                  <c:v>10.94</c:v>
                </c:pt>
                <c:pt idx="302">
                  <c:v>11.43</c:v>
                </c:pt>
                <c:pt idx="303">
                  <c:v>13.77</c:v>
                </c:pt>
                <c:pt idx="304">
                  <c:v>13.18</c:v>
                </c:pt>
                <c:pt idx="305">
                  <c:v>13.78</c:v>
                </c:pt>
                <c:pt idx="306">
                  <c:v>13.82</c:v>
                </c:pt>
                <c:pt idx="307">
                  <c:v>14.13</c:v>
                </c:pt>
                <c:pt idx="308">
                  <c:v>17.190000000000001</c:v>
                </c:pt>
                <c:pt idx="309">
                  <c:v>17.61</c:v>
                </c:pt>
                <c:pt idx="310">
                  <c:v>10.98</c:v>
                </c:pt>
                <c:pt idx="311">
                  <c:v>9.4700000000000006</c:v>
                </c:pt>
                <c:pt idx="312">
                  <c:v>9.0299999999999994</c:v>
                </c:pt>
                <c:pt idx="313">
                  <c:v>9.61</c:v>
                </c:pt>
                <c:pt idx="314">
                  <c:v>10.87</c:v>
                </c:pt>
                <c:pt idx="315">
                  <c:v>12.81</c:v>
                </c:pt>
                <c:pt idx="316">
                  <c:v>15.85</c:v>
                </c:pt>
                <c:pt idx="317">
                  <c:v>18.899999999999999</c:v>
                </c:pt>
                <c:pt idx="318">
                  <c:v>19.079999999999998</c:v>
                </c:pt>
                <c:pt idx="319">
                  <c:v>15.93</c:v>
                </c:pt>
                <c:pt idx="320">
                  <c:v>14.7</c:v>
                </c:pt>
                <c:pt idx="321">
                  <c:v>15.72</c:v>
                </c:pt>
                <c:pt idx="322">
                  <c:v>18.52</c:v>
                </c:pt>
                <c:pt idx="323">
                  <c:v>19.100000000000001</c:v>
                </c:pt>
                <c:pt idx="324">
                  <c:v>19.04</c:v>
                </c:pt>
                <c:pt idx="325">
                  <c:v>17.82</c:v>
                </c:pt>
                <c:pt idx="326">
                  <c:v>15.87</c:v>
                </c:pt>
                <c:pt idx="327">
                  <c:v>15.08</c:v>
                </c:pt>
                <c:pt idx="328">
                  <c:v>13.31</c:v>
                </c:pt>
                <c:pt idx="329">
                  <c:v>12.37</c:v>
                </c:pt>
                <c:pt idx="330">
                  <c:v>13.22</c:v>
                </c:pt>
                <c:pt idx="331">
                  <c:v>14.78</c:v>
                </c:pt>
                <c:pt idx="332">
                  <c:v>14.68</c:v>
                </c:pt>
                <c:pt idx="333">
                  <c:v>14.94</c:v>
                </c:pt>
                <c:pt idx="334">
                  <c:v>14.45</c:v>
                </c:pt>
                <c:pt idx="335">
                  <c:v>14.15</c:v>
                </c:pt>
                <c:pt idx="336">
                  <c:v>12.59</c:v>
                </c:pt>
                <c:pt idx="337">
                  <c:v>10.119999999999999</c:v>
                </c:pt>
                <c:pt idx="338">
                  <c:v>10.31</c:v>
                </c:pt>
                <c:pt idx="339">
                  <c:v>9.7100000000000009</c:v>
                </c:pt>
                <c:pt idx="340">
                  <c:v>9.1999999999999993</c:v>
                </c:pt>
                <c:pt idx="341">
                  <c:v>8.9499999999999993</c:v>
                </c:pt>
                <c:pt idx="342">
                  <c:v>8.68</c:v>
                </c:pt>
                <c:pt idx="343">
                  <c:v>8.51</c:v>
                </c:pt>
                <c:pt idx="344">
                  <c:v>8.77</c:v>
                </c:pt>
                <c:pt idx="345">
                  <c:v>8.8000000000000007</c:v>
                </c:pt>
                <c:pt idx="346">
                  <c:v>8.6300000000000008</c:v>
                </c:pt>
                <c:pt idx="347">
                  <c:v>8.98</c:v>
                </c:pt>
                <c:pt idx="348">
                  <c:v>9.3699999999999992</c:v>
                </c:pt>
                <c:pt idx="349">
                  <c:v>9.56</c:v>
                </c:pt>
                <c:pt idx="350">
                  <c:v>9.4499999999999993</c:v>
                </c:pt>
                <c:pt idx="351">
                  <c:v>9.48</c:v>
                </c:pt>
                <c:pt idx="352">
                  <c:v>9.34</c:v>
                </c:pt>
                <c:pt idx="353">
                  <c:v>9.4700000000000006</c:v>
                </c:pt>
                <c:pt idx="354">
                  <c:v>9.56</c:v>
                </c:pt>
                <c:pt idx="355">
                  <c:v>9.59</c:v>
                </c:pt>
                <c:pt idx="356">
                  <c:v>9.91</c:v>
                </c:pt>
                <c:pt idx="357">
                  <c:v>10.29</c:v>
                </c:pt>
                <c:pt idx="358">
                  <c:v>10.32</c:v>
                </c:pt>
                <c:pt idx="359">
                  <c:v>11.06</c:v>
                </c:pt>
                <c:pt idx="360">
                  <c:v>11.23</c:v>
                </c:pt>
                <c:pt idx="361">
                  <c:v>11.64</c:v>
                </c:pt>
                <c:pt idx="362">
                  <c:v>11.3</c:v>
                </c:pt>
                <c:pt idx="363">
                  <c:v>9.99</c:v>
                </c:pt>
                <c:pt idx="364">
                  <c:v>9.43</c:v>
                </c:pt>
                <c:pt idx="365">
                  <c:v>8.3800000000000008</c:v>
                </c:pt>
                <c:pt idx="366">
                  <c:v>8.35</c:v>
                </c:pt>
                <c:pt idx="367">
                  <c:v>8.5</c:v>
                </c:pt>
                <c:pt idx="368">
                  <c:v>8.58</c:v>
                </c:pt>
                <c:pt idx="369">
                  <c:v>8.27</c:v>
                </c:pt>
                <c:pt idx="370">
                  <c:v>7.97</c:v>
                </c:pt>
                <c:pt idx="371">
                  <c:v>7.53</c:v>
                </c:pt>
                <c:pt idx="372">
                  <c:v>7.88</c:v>
                </c:pt>
                <c:pt idx="373">
                  <c:v>7.9</c:v>
                </c:pt>
                <c:pt idx="374">
                  <c:v>7.92</c:v>
                </c:pt>
                <c:pt idx="375">
                  <c:v>7.99</c:v>
                </c:pt>
                <c:pt idx="376">
                  <c:v>8.0500000000000007</c:v>
                </c:pt>
                <c:pt idx="377">
                  <c:v>8.27</c:v>
                </c:pt>
                <c:pt idx="378">
                  <c:v>8.14</c:v>
                </c:pt>
                <c:pt idx="379">
                  <c:v>7.86</c:v>
                </c:pt>
                <c:pt idx="380">
                  <c:v>7.48</c:v>
                </c:pt>
                <c:pt idx="381">
                  <c:v>6.99</c:v>
                </c:pt>
                <c:pt idx="382">
                  <c:v>6.85</c:v>
                </c:pt>
                <c:pt idx="383">
                  <c:v>6.92</c:v>
                </c:pt>
                <c:pt idx="384">
                  <c:v>6.56</c:v>
                </c:pt>
                <c:pt idx="385">
                  <c:v>6.17</c:v>
                </c:pt>
                <c:pt idx="386">
                  <c:v>5.89</c:v>
                </c:pt>
                <c:pt idx="387">
                  <c:v>5.85</c:v>
                </c:pt>
                <c:pt idx="388">
                  <c:v>6.04</c:v>
                </c:pt>
                <c:pt idx="389">
                  <c:v>6.91</c:v>
                </c:pt>
                <c:pt idx="390">
                  <c:v>6.43</c:v>
                </c:pt>
                <c:pt idx="391">
                  <c:v>6.1</c:v>
                </c:pt>
                <c:pt idx="392">
                  <c:v>6.13</c:v>
                </c:pt>
                <c:pt idx="393">
                  <c:v>6.37</c:v>
                </c:pt>
                <c:pt idx="394">
                  <c:v>6.85</c:v>
                </c:pt>
                <c:pt idx="395">
                  <c:v>6.73</c:v>
                </c:pt>
                <c:pt idx="396">
                  <c:v>6.58</c:v>
                </c:pt>
                <c:pt idx="397">
                  <c:v>6.73</c:v>
                </c:pt>
                <c:pt idx="398">
                  <c:v>7.22</c:v>
                </c:pt>
                <c:pt idx="399">
                  <c:v>7.29</c:v>
                </c:pt>
                <c:pt idx="400">
                  <c:v>6.69</c:v>
                </c:pt>
                <c:pt idx="401">
                  <c:v>6.77</c:v>
                </c:pt>
                <c:pt idx="402">
                  <c:v>6.83</c:v>
                </c:pt>
                <c:pt idx="403">
                  <c:v>6.58</c:v>
                </c:pt>
                <c:pt idx="404">
                  <c:v>6.58</c:v>
                </c:pt>
                <c:pt idx="405">
                  <c:v>6.87</c:v>
                </c:pt>
                <c:pt idx="406">
                  <c:v>7.09</c:v>
                </c:pt>
                <c:pt idx="407">
                  <c:v>7.51</c:v>
                </c:pt>
                <c:pt idx="408">
                  <c:v>7.75</c:v>
                </c:pt>
                <c:pt idx="409">
                  <c:v>8.01</c:v>
                </c:pt>
                <c:pt idx="410">
                  <c:v>8.19</c:v>
                </c:pt>
                <c:pt idx="411">
                  <c:v>8.3000000000000007</c:v>
                </c:pt>
                <c:pt idx="412">
                  <c:v>8.35</c:v>
                </c:pt>
                <c:pt idx="413">
                  <c:v>8.76</c:v>
                </c:pt>
                <c:pt idx="414">
                  <c:v>9.1199999999999992</c:v>
                </c:pt>
                <c:pt idx="415">
                  <c:v>9.36</c:v>
                </c:pt>
                <c:pt idx="416">
                  <c:v>9.85</c:v>
                </c:pt>
                <c:pt idx="417">
                  <c:v>9.84</c:v>
                </c:pt>
                <c:pt idx="418">
                  <c:v>9.81</c:v>
                </c:pt>
                <c:pt idx="419">
                  <c:v>9.5299999999999994</c:v>
                </c:pt>
                <c:pt idx="420">
                  <c:v>9.24</c:v>
                </c:pt>
                <c:pt idx="421">
                  <c:v>8.99</c:v>
                </c:pt>
                <c:pt idx="422">
                  <c:v>9.02</c:v>
                </c:pt>
                <c:pt idx="423">
                  <c:v>8.84</c:v>
                </c:pt>
                <c:pt idx="424">
                  <c:v>8.5500000000000007</c:v>
                </c:pt>
                <c:pt idx="425">
                  <c:v>8.4499999999999993</c:v>
                </c:pt>
                <c:pt idx="426">
                  <c:v>8.23</c:v>
                </c:pt>
                <c:pt idx="427">
                  <c:v>8.24</c:v>
                </c:pt>
                <c:pt idx="428">
                  <c:v>8.2799999999999994</c:v>
                </c:pt>
                <c:pt idx="429">
                  <c:v>8.26</c:v>
                </c:pt>
                <c:pt idx="430">
                  <c:v>8.18</c:v>
                </c:pt>
                <c:pt idx="431">
                  <c:v>8.2899999999999991</c:v>
                </c:pt>
                <c:pt idx="432">
                  <c:v>8.15</c:v>
                </c:pt>
                <c:pt idx="433">
                  <c:v>8.1300000000000008</c:v>
                </c:pt>
                <c:pt idx="434">
                  <c:v>8.1999999999999993</c:v>
                </c:pt>
                <c:pt idx="435">
                  <c:v>8.11</c:v>
                </c:pt>
                <c:pt idx="436">
                  <c:v>7.81</c:v>
                </c:pt>
                <c:pt idx="437">
                  <c:v>7.31</c:v>
                </c:pt>
                <c:pt idx="438">
                  <c:v>6.91</c:v>
                </c:pt>
                <c:pt idx="439">
                  <c:v>6.25</c:v>
                </c:pt>
                <c:pt idx="440">
                  <c:v>6.12</c:v>
                </c:pt>
                <c:pt idx="441">
                  <c:v>5.91</c:v>
                </c:pt>
                <c:pt idx="442">
                  <c:v>5.78</c:v>
                </c:pt>
                <c:pt idx="443">
                  <c:v>5.9</c:v>
                </c:pt>
                <c:pt idx="444">
                  <c:v>5.82</c:v>
                </c:pt>
                <c:pt idx="445">
                  <c:v>5.66</c:v>
                </c:pt>
                <c:pt idx="446">
                  <c:v>5.45</c:v>
                </c:pt>
                <c:pt idx="447">
                  <c:v>5.21</c:v>
                </c:pt>
                <c:pt idx="448">
                  <c:v>4.8099999999999996</c:v>
                </c:pt>
                <c:pt idx="449">
                  <c:v>4.43</c:v>
                </c:pt>
                <c:pt idx="450">
                  <c:v>4.03</c:v>
                </c:pt>
                <c:pt idx="451">
                  <c:v>4.0599999999999996</c:v>
                </c:pt>
                <c:pt idx="452">
                  <c:v>3.98</c:v>
                </c:pt>
                <c:pt idx="453">
                  <c:v>3.73</c:v>
                </c:pt>
                <c:pt idx="454">
                  <c:v>3.82</c:v>
                </c:pt>
                <c:pt idx="455">
                  <c:v>3.76</c:v>
                </c:pt>
                <c:pt idx="456">
                  <c:v>3.25</c:v>
                </c:pt>
                <c:pt idx="457">
                  <c:v>3.3</c:v>
                </c:pt>
                <c:pt idx="458">
                  <c:v>3.22</c:v>
                </c:pt>
                <c:pt idx="459">
                  <c:v>3.1</c:v>
                </c:pt>
                <c:pt idx="460">
                  <c:v>3.09</c:v>
                </c:pt>
                <c:pt idx="461">
                  <c:v>2.92</c:v>
                </c:pt>
                <c:pt idx="462">
                  <c:v>3.02</c:v>
                </c:pt>
                <c:pt idx="463">
                  <c:v>3.03</c:v>
                </c:pt>
                <c:pt idx="464">
                  <c:v>3.07</c:v>
                </c:pt>
                <c:pt idx="465">
                  <c:v>2.96</c:v>
                </c:pt>
                <c:pt idx="466">
                  <c:v>3</c:v>
                </c:pt>
                <c:pt idx="467">
                  <c:v>3.04</c:v>
                </c:pt>
                <c:pt idx="468">
                  <c:v>3.06</c:v>
                </c:pt>
                <c:pt idx="469">
                  <c:v>3.03</c:v>
                </c:pt>
                <c:pt idx="470">
                  <c:v>3.09</c:v>
                </c:pt>
                <c:pt idx="471">
                  <c:v>2.99</c:v>
                </c:pt>
                <c:pt idx="472">
                  <c:v>3.02</c:v>
                </c:pt>
                <c:pt idx="473">
                  <c:v>2.96</c:v>
                </c:pt>
                <c:pt idx="474">
                  <c:v>3.05</c:v>
                </c:pt>
                <c:pt idx="475">
                  <c:v>3.25</c:v>
                </c:pt>
                <c:pt idx="476">
                  <c:v>3.34</c:v>
                </c:pt>
                <c:pt idx="477">
                  <c:v>3.56</c:v>
                </c:pt>
                <c:pt idx="478">
                  <c:v>4.01</c:v>
                </c:pt>
                <c:pt idx="479">
                  <c:v>4.25</c:v>
                </c:pt>
                <c:pt idx="480">
                  <c:v>4.26</c:v>
                </c:pt>
                <c:pt idx="481">
                  <c:v>4.47</c:v>
                </c:pt>
                <c:pt idx="482">
                  <c:v>4.7300000000000004</c:v>
                </c:pt>
                <c:pt idx="483">
                  <c:v>4.76</c:v>
                </c:pt>
                <c:pt idx="484">
                  <c:v>5.29</c:v>
                </c:pt>
                <c:pt idx="485">
                  <c:v>5.45</c:v>
                </c:pt>
                <c:pt idx="486">
                  <c:v>5.53</c:v>
                </c:pt>
                <c:pt idx="487">
                  <c:v>5.92</c:v>
                </c:pt>
                <c:pt idx="488">
                  <c:v>5.98</c:v>
                </c:pt>
                <c:pt idx="489">
                  <c:v>6.05</c:v>
                </c:pt>
                <c:pt idx="490">
                  <c:v>6.01</c:v>
                </c:pt>
                <c:pt idx="491">
                  <c:v>6</c:v>
                </c:pt>
                <c:pt idx="492">
                  <c:v>5.85</c:v>
                </c:pt>
                <c:pt idx="493">
                  <c:v>5.74</c:v>
                </c:pt>
                <c:pt idx="494">
                  <c:v>5.8</c:v>
                </c:pt>
                <c:pt idx="495">
                  <c:v>5.76</c:v>
                </c:pt>
                <c:pt idx="496">
                  <c:v>5.8</c:v>
                </c:pt>
                <c:pt idx="497">
                  <c:v>5.6</c:v>
                </c:pt>
                <c:pt idx="498">
                  <c:v>5.56</c:v>
                </c:pt>
                <c:pt idx="499">
                  <c:v>5.22</c:v>
                </c:pt>
                <c:pt idx="500">
                  <c:v>5.31</c:v>
                </c:pt>
                <c:pt idx="501">
                  <c:v>5.22</c:v>
                </c:pt>
                <c:pt idx="502">
                  <c:v>5.24</c:v>
                </c:pt>
                <c:pt idx="503">
                  <c:v>5.27</c:v>
                </c:pt>
                <c:pt idx="504">
                  <c:v>5.4</c:v>
                </c:pt>
                <c:pt idx="505">
                  <c:v>5.22</c:v>
                </c:pt>
                <c:pt idx="506">
                  <c:v>5.3</c:v>
                </c:pt>
                <c:pt idx="507">
                  <c:v>5.24</c:v>
                </c:pt>
                <c:pt idx="508">
                  <c:v>5.31</c:v>
                </c:pt>
                <c:pt idx="509">
                  <c:v>5.29</c:v>
                </c:pt>
                <c:pt idx="510">
                  <c:v>5.25</c:v>
                </c:pt>
                <c:pt idx="511">
                  <c:v>5.19</c:v>
                </c:pt>
                <c:pt idx="512">
                  <c:v>5.39</c:v>
                </c:pt>
                <c:pt idx="513">
                  <c:v>5.51</c:v>
                </c:pt>
                <c:pt idx="514">
                  <c:v>5.5</c:v>
                </c:pt>
                <c:pt idx="515">
                  <c:v>5.56</c:v>
                </c:pt>
                <c:pt idx="516">
                  <c:v>5.52</c:v>
                </c:pt>
                <c:pt idx="517">
                  <c:v>5.54</c:v>
                </c:pt>
                <c:pt idx="518">
                  <c:v>5.54</c:v>
                </c:pt>
                <c:pt idx="519">
                  <c:v>5.5</c:v>
                </c:pt>
                <c:pt idx="520">
                  <c:v>5.52</c:v>
                </c:pt>
                <c:pt idx="521">
                  <c:v>5.5</c:v>
                </c:pt>
                <c:pt idx="522">
                  <c:v>5.56</c:v>
                </c:pt>
                <c:pt idx="523">
                  <c:v>5.51</c:v>
                </c:pt>
                <c:pt idx="524">
                  <c:v>5.49</c:v>
                </c:pt>
                <c:pt idx="525">
                  <c:v>5.45</c:v>
                </c:pt>
                <c:pt idx="526">
                  <c:v>5.49</c:v>
                </c:pt>
                <c:pt idx="527">
                  <c:v>5.56</c:v>
                </c:pt>
                <c:pt idx="528">
                  <c:v>5.54</c:v>
                </c:pt>
                <c:pt idx="529">
                  <c:v>5.55</c:v>
                </c:pt>
                <c:pt idx="530">
                  <c:v>5.51</c:v>
                </c:pt>
                <c:pt idx="531">
                  <c:v>5.07</c:v>
                </c:pt>
                <c:pt idx="532">
                  <c:v>4.83</c:v>
                </c:pt>
                <c:pt idx="533">
                  <c:v>4.68</c:v>
                </c:pt>
                <c:pt idx="534">
                  <c:v>4.63</c:v>
                </c:pt>
                <c:pt idx="535">
                  <c:v>4.76</c:v>
                </c:pt>
                <c:pt idx="536">
                  <c:v>4.8099999999999996</c:v>
                </c:pt>
                <c:pt idx="537">
                  <c:v>4.74</c:v>
                </c:pt>
                <c:pt idx="538">
                  <c:v>4.74</c:v>
                </c:pt>
                <c:pt idx="539">
                  <c:v>4.76</c:v>
                </c:pt>
                <c:pt idx="540">
                  <c:v>4.99</c:v>
                </c:pt>
                <c:pt idx="541">
                  <c:v>5.07</c:v>
                </c:pt>
                <c:pt idx="542">
                  <c:v>5.22</c:v>
                </c:pt>
                <c:pt idx="543">
                  <c:v>5.2</c:v>
                </c:pt>
                <c:pt idx="544">
                  <c:v>5.42</c:v>
                </c:pt>
                <c:pt idx="545">
                  <c:v>5.3</c:v>
                </c:pt>
                <c:pt idx="546">
                  <c:v>5.45</c:v>
                </c:pt>
                <c:pt idx="547">
                  <c:v>5.73</c:v>
                </c:pt>
                <c:pt idx="548">
                  <c:v>5.85</c:v>
                </c:pt>
                <c:pt idx="549">
                  <c:v>6.02</c:v>
                </c:pt>
                <c:pt idx="550">
                  <c:v>6.27</c:v>
                </c:pt>
                <c:pt idx="551">
                  <c:v>6.53</c:v>
                </c:pt>
                <c:pt idx="552">
                  <c:v>6.54</c:v>
                </c:pt>
                <c:pt idx="553">
                  <c:v>6.5</c:v>
                </c:pt>
                <c:pt idx="554">
                  <c:v>6.52</c:v>
                </c:pt>
                <c:pt idx="555">
                  <c:v>6.51</c:v>
                </c:pt>
                <c:pt idx="556">
                  <c:v>6.51</c:v>
                </c:pt>
                <c:pt idx="557">
                  <c:v>6.4</c:v>
                </c:pt>
                <c:pt idx="558">
                  <c:v>5.98</c:v>
                </c:pt>
                <c:pt idx="559">
                  <c:v>5.49</c:v>
                </c:pt>
                <c:pt idx="560">
                  <c:v>5.31</c:v>
                </c:pt>
                <c:pt idx="561">
                  <c:v>4.8</c:v>
                </c:pt>
                <c:pt idx="562">
                  <c:v>4.21</c:v>
                </c:pt>
                <c:pt idx="563">
                  <c:v>3.97</c:v>
                </c:pt>
                <c:pt idx="564">
                  <c:v>3.77</c:v>
                </c:pt>
                <c:pt idx="565">
                  <c:v>3.65</c:v>
                </c:pt>
                <c:pt idx="566">
                  <c:v>3.07</c:v>
                </c:pt>
                <c:pt idx="567">
                  <c:v>2.4900000000000002</c:v>
                </c:pt>
                <c:pt idx="568">
                  <c:v>2.09</c:v>
                </c:pt>
                <c:pt idx="569">
                  <c:v>1.82</c:v>
                </c:pt>
                <c:pt idx="570">
                  <c:v>1.73</c:v>
                </c:pt>
                <c:pt idx="571">
                  <c:v>1.74</c:v>
                </c:pt>
                <c:pt idx="572">
                  <c:v>1.73</c:v>
                </c:pt>
                <c:pt idx="573">
                  <c:v>1.75</c:v>
                </c:pt>
                <c:pt idx="574">
                  <c:v>1.75</c:v>
                </c:pt>
                <c:pt idx="575">
                  <c:v>1.75</c:v>
                </c:pt>
                <c:pt idx="576">
                  <c:v>1.73</c:v>
                </c:pt>
                <c:pt idx="577">
                  <c:v>1.74</c:v>
                </c:pt>
                <c:pt idx="578">
                  <c:v>1.75</c:v>
                </c:pt>
                <c:pt idx="579">
                  <c:v>1.75</c:v>
                </c:pt>
                <c:pt idx="580">
                  <c:v>1.34</c:v>
                </c:pt>
                <c:pt idx="581">
                  <c:v>1.24</c:v>
                </c:pt>
                <c:pt idx="582">
                  <c:v>1.24</c:v>
                </c:pt>
                <c:pt idx="583">
                  <c:v>1.26</c:v>
                </c:pt>
                <c:pt idx="584">
                  <c:v>1.25</c:v>
                </c:pt>
                <c:pt idx="585">
                  <c:v>1.26</c:v>
                </c:pt>
                <c:pt idx="586">
                  <c:v>1.26</c:v>
                </c:pt>
                <c:pt idx="587">
                  <c:v>1.22</c:v>
                </c:pt>
                <c:pt idx="588">
                  <c:v>1.01</c:v>
                </c:pt>
                <c:pt idx="589">
                  <c:v>1.03</c:v>
                </c:pt>
                <c:pt idx="590">
                  <c:v>1.01</c:v>
                </c:pt>
                <c:pt idx="591">
                  <c:v>1.01</c:v>
                </c:pt>
                <c:pt idx="592">
                  <c:v>1</c:v>
                </c:pt>
                <c:pt idx="593">
                  <c:v>0.98</c:v>
                </c:pt>
                <c:pt idx="594">
                  <c:v>1</c:v>
                </c:pt>
                <c:pt idx="595">
                  <c:v>1.01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1.03</c:v>
                </c:pt>
                <c:pt idx="600">
                  <c:v>1.26</c:v>
                </c:pt>
                <c:pt idx="601">
                  <c:v>1.43</c:v>
                </c:pt>
                <c:pt idx="602">
                  <c:v>1.61</c:v>
                </c:pt>
                <c:pt idx="603">
                  <c:v>1.76</c:v>
                </c:pt>
                <c:pt idx="604">
                  <c:v>1.93</c:v>
                </c:pt>
                <c:pt idx="605">
                  <c:v>2.16</c:v>
                </c:pt>
                <c:pt idx="606">
                  <c:v>2.2799999999999998</c:v>
                </c:pt>
                <c:pt idx="607">
                  <c:v>2.5</c:v>
                </c:pt>
                <c:pt idx="608">
                  <c:v>2.63</c:v>
                </c:pt>
                <c:pt idx="609">
                  <c:v>2.79</c:v>
                </c:pt>
                <c:pt idx="610">
                  <c:v>3</c:v>
                </c:pt>
                <c:pt idx="611">
                  <c:v>3.04</c:v>
                </c:pt>
                <c:pt idx="612">
                  <c:v>3.26</c:v>
                </c:pt>
                <c:pt idx="613">
                  <c:v>3.5</c:v>
                </c:pt>
                <c:pt idx="614">
                  <c:v>3.62</c:v>
                </c:pt>
                <c:pt idx="615">
                  <c:v>3.78</c:v>
                </c:pt>
                <c:pt idx="616">
                  <c:v>4</c:v>
                </c:pt>
                <c:pt idx="617">
                  <c:v>4.16</c:v>
                </c:pt>
                <c:pt idx="618">
                  <c:v>4.29</c:v>
                </c:pt>
                <c:pt idx="619">
                  <c:v>4.49</c:v>
                </c:pt>
                <c:pt idx="620">
                  <c:v>4.59</c:v>
                </c:pt>
                <c:pt idx="621">
                  <c:v>4.79</c:v>
                </c:pt>
                <c:pt idx="622">
                  <c:v>4.9400000000000004</c:v>
                </c:pt>
                <c:pt idx="623">
                  <c:v>4.99</c:v>
                </c:pt>
                <c:pt idx="624">
                  <c:v>5.24</c:v>
                </c:pt>
                <c:pt idx="625">
                  <c:v>5.25</c:v>
                </c:pt>
                <c:pt idx="626">
                  <c:v>5.25</c:v>
                </c:pt>
                <c:pt idx="627">
                  <c:v>5.25</c:v>
                </c:pt>
                <c:pt idx="628">
                  <c:v>5.25</c:v>
                </c:pt>
                <c:pt idx="629">
                  <c:v>5.24</c:v>
                </c:pt>
                <c:pt idx="630">
                  <c:v>5.25</c:v>
                </c:pt>
                <c:pt idx="631">
                  <c:v>5.26</c:v>
                </c:pt>
                <c:pt idx="632">
                  <c:v>5.26</c:v>
                </c:pt>
                <c:pt idx="633">
                  <c:v>5.25</c:v>
                </c:pt>
                <c:pt idx="634">
                  <c:v>5.25</c:v>
                </c:pt>
                <c:pt idx="635">
                  <c:v>5.25</c:v>
                </c:pt>
                <c:pt idx="636">
                  <c:v>5.26</c:v>
                </c:pt>
                <c:pt idx="637">
                  <c:v>5.0199999999999996</c:v>
                </c:pt>
                <c:pt idx="638">
                  <c:v>4.9400000000000004</c:v>
                </c:pt>
                <c:pt idx="639">
                  <c:v>4.76</c:v>
                </c:pt>
                <c:pt idx="640">
                  <c:v>4.49</c:v>
                </c:pt>
                <c:pt idx="641">
                  <c:v>4.24</c:v>
                </c:pt>
                <c:pt idx="642">
                  <c:v>3.94</c:v>
                </c:pt>
                <c:pt idx="643">
                  <c:v>2.98</c:v>
                </c:pt>
                <c:pt idx="644">
                  <c:v>2.61</c:v>
                </c:pt>
                <c:pt idx="645">
                  <c:v>2.2799999999999998</c:v>
                </c:pt>
                <c:pt idx="646">
                  <c:v>1.98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</c:v>
                </c:pt>
                <c:pt idx="650">
                  <c:v>1.81</c:v>
                </c:pt>
                <c:pt idx="651">
                  <c:v>0.97</c:v>
                </c:pt>
                <c:pt idx="652">
                  <c:v>0.39</c:v>
                </c:pt>
                <c:pt idx="653">
                  <c:v>0.16</c:v>
                </c:pt>
                <c:pt idx="654">
                  <c:v>0.15</c:v>
                </c:pt>
                <c:pt idx="655">
                  <c:v>0.22</c:v>
                </c:pt>
                <c:pt idx="656">
                  <c:v>0.18</c:v>
                </c:pt>
                <c:pt idx="657">
                  <c:v>0.15</c:v>
                </c:pt>
                <c:pt idx="658">
                  <c:v>0.18</c:v>
                </c:pt>
                <c:pt idx="659">
                  <c:v>0.21</c:v>
                </c:pt>
                <c:pt idx="660">
                  <c:v>0.16</c:v>
                </c:pt>
                <c:pt idx="661">
                  <c:v>0.16</c:v>
                </c:pt>
                <c:pt idx="662">
                  <c:v>0.15</c:v>
                </c:pt>
                <c:pt idx="663">
                  <c:v>0.12</c:v>
                </c:pt>
                <c:pt idx="664">
                  <c:v>0.12</c:v>
                </c:pt>
                <c:pt idx="665">
                  <c:v>0.12</c:v>
                </c:pt>
                <c:pt idx="666">
                  <c:v>0.11</c:v>
                </c:pt>
                <c:pt idx="667">
                  <c:v>0.13</c:v>
                </c:pt>
                <c:pt idx="668">
                  <c:v>0.16</c:v>
                </c:pt>
                <c:pt idx="669">
                  <c:v>0.2</c:v>
                </c:pt>
                <c:pt idx="670">
                  <c:v>0.2</c:v>
                </c:pt>
                <c:pt idx="671">
                  <c:v>0.18</c:v>
                </c:pt>
                <c:pt idx="672">
                  <c:v>0.18</c:v>
                </c:pt>
                <c:pt idx="673">
                  <c:v>0.19</c:v>
                </c:pt>
                <c:pt idx="674">
                  <c:v>0.19</c:v>
                </c:pt>
                <c:pt idx="675">
                  <c:v>0.19</c:v>
                </c:pt>
                <c:pt idx="676">
                  <c:v>0.19</c:v>
                </c:pt>
                <c:pt idx="677">
                  <c:v>0.18</c:v>
                </c:pt>
                <c:pt idx="678">
                  <c:v>0.17</c:v>
                </c:pt>
                <c:pt idx="679">
                  <c:v>0.16</c:v>
                </c:pt>
                <c:pt idx="680">
                  <c:v>0.14000000000000001</c:v>
                </c:pt>
                <c:pt idx="681">
                  <c:v>0.1</c:v>
                </c:pt>
                <c:pt idx="682">
                  <c:v>0.09</c:v>
                </c:pt>
                <c:pt idx="683">
                  <c:v>0.09</c:v>
                </c:pt>
                <c:pt idx="684">
                  <c:v>7.0000000000000007E-2</c:v>
                </c:pt>
                <c:pt idx="685">
                  <c:v>0.1</c:v>
                </c:pt>
                <c:pt idx="686">
                  <c:v>0.08</c:v>
                </c:pt>
                <c:pt idx="687">
                  <c:v>7.0000000000000007E-2</c:v>
                </c:pt>
                <c:pt idx="688">
                  <c:v>0.08</c:v>
                </c:pt>
                <c:pt idx="689">
                  <c:v>7.0000000000000007E-2</c:v>
                </c:pt>
                <c:pt idx="690">
                  <c:v>0.08</c:v>
                </c:pt>
                <c:pt idx="691">
                  <c:v>0.1</c:v>
                </c:pt>
                <c:pt idx="692">
                  <c:v>0.13</c:v>
                </c:pt>
                <c:pt idx="693">
                  <c:v>0.14000000000000001</c:v>
                </c:pt>
                <c:pt idx="694">
                  <c:v>0.16</c:v>
                </c:pt>
                <c:pt idx="695">
                  <c:v>0.16</c:v>
                </c:pt>
                <c:pt idx="696">
                  <c:v>0.16</c:v>
                </c:pt>
                <c:pt idx="697">
                  <c:v>0.13</c:v>
                </c:pt>
                <c:pt idx="698">
                  <c:v>0.14000000000000001</c:v>
                </c:pt>
                <c:pt idx="699">
                  <c:v>0.16</c:v>
                </c:pt>
                <c:pt idx="700">
                  <c:v>0.16</c:v>
                </c:pt>
                <c:pt idx="701">
                  <c:v>0.16</c:v>
                </c:pt>
                <c:pt idx="702">
                  <c:v>0.14000000000000001</c:v>
                </c:pt>
                <c:pt idx="703">
                  <c:v>0.15</c:v>
                </c:pt>
                <c:pt idx="704">
                  <c:v>0.14000000000000001</c:v>
                </c:pt>
                <c:pt idx="705">
                  <c:v>0.15</c:v>
                </c:pt>
                <c:pt idx="706">
                  <c:v>0.11</c:v>
                </c:pt>
                <c:pt idx="707">
                  <c:v>0.09</c:v>
                </c:pt>
                <c:pt idx="708">
                  <c:v>0.09</c:v>
                </c:pt>
                <c:pt idx="709">
                  <c:v>0.08</c:v>
                </c:pt>
                <c:pt idx="710">
                  <c:v>0.08</c:v>
                </c:pt>
                <c:pt idx="711">
                  <c:v>0.09</c:v>
                </c:pt>
                <c:pt idx="712">
                  <c:v>0.08</c:v>
                </c:pt>
                <c:pt idx="713">
                  <c:v>0.09</c:v>
                </c:pt>
                <c:pt idx="714">
                  <c:v>7.0000000000000007E-2</c:v>
                </c:pt>
                <c:pt idx="715">
                  <c:v>7.0000000000000007E-2</c:v>
                </c:pt>
                <c:pt idx="716">
                  <c:v>0.08</c:v>
                </c:pt>
                <c:pt idx="717">
                  <c:v>0.09</c:v>
                </c:pt>
                <c:pt idx="718">
                  <c:v>0.09</c:v>
                </c:pt>
                <c:pt idx="719">
                  <c:v>0.1</c:v>
                </c:pt>
                <c:pt idx="720">
                  <c:v>0.09</c:v>
                </c:pt>
                <c:pt idx="721">
                  <c:v>0.09</c:v>
                </c:pt>
                <c:pt idx="722">
                  <c:v>0.09</c:v>
                </c:pt>
                <c:pt idx="723">
                  <c:v>0.09</c:v>
                </c:pt>
                <c:pt idx="724">
                  <c:v>0.09</c:v>
                </c:pt>
                <c:pt idx="725">
                  <c:v>0.12</c:v>
                </c:pt>
                <c:pt idx="726">
                  <c:v>0.11</c:v>
                </c:pt>
                <c:pt idx="727">
                  <c:v>0.11</c:v>
                </c:pt>
                <c:pt idx="728">
                  <c:v>0.11</c:v>
                </c:pt>
                <c:pt idx="729">
                  <c:v>0.12</c:v>
                </c:pt>
                <c:pt idx="730">
                  <c:v>0.12</c:v>
                </c:pt>
                <c:pt idx="731">
                  <c:v>0.13</c:v>
                </c:pt>
                <c:pt idx="732">
                  <c:v>0.13</c:v>
                </c:pt>
                <c:pt idx="733">
                  <c:v>0.14000000000000001</c:v>
                </c:pt>
                <c:pt idx="734">
                  <c:v>0.14000000000000001</c:v>
                </c:pt>
                <c:pt idx="735">
                  <c:v>0.12</c:v>
                </c:pt>
                <c:pt idx="736">
                  <c:v>0.12</c:v>
                </c:pt>
                <c:pt idx="737">
                  <c:v>0.24</c:v>
                </c:pt>
                <c:pt idx="738">
                  <c:v>0.34</c:v>
                </c:pt>
                <c:pt idx="739">
                  <c:v>0.38</c:v>
                </c:pt>
                <c:pt idx="740">
                  <c:v>0.36</c:v>
                </c:pt>
                <c:pt idx="741">
                  <c:v>0.37</c:v>
                </c:pt>
                <c:pt idx="742">
                  <c:v>0.37</c:v>
                </c:pt>
                <c:pt idx="743">
                  <c:v>0.38</c:v>
                </c:pt>
                <c:pt idx="744">
                  <c:v>0.39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0.41</c:v>
                </c:pt>
                <c:pt idx="749">
                  <c:v>0.54</c:v>
                </c:pt>
                <c:pt idx="750">
                  <c:v>0.65</c:v>
                </c:pt>
                <c:pt idx="751">
                  <c:v>0.66</c:v>
                </c:pt>
                <c:pt idx="752">
                  <c:v>0.79</c:v>
                </c:pt>
                <c:pt idx="753">
                  <c:v>0.9</c:v>
                </c:pt>
                <c:pt idx="754">
                  <c:v>0.91</c:v>
                </c:pt>
                <c:pt idx="755">
                  <c:v>1.04</c:v>
                </c:pt>
                <c:pt idx="756">
                  <c:v>1.1499999999999999</c:v>
                </c:pt>
                <c:pt idx="757">
                  <c:v>1.1599999999999999</c:v>
                </c:pt>
                <c:pt idx="758">
                  <c:v>1.1499999999999999</c:v>
                </c:pt>
                <c:pt idx="759">
                  <c:v>1.1499999999999999</c:v>
                </c:pt>
                <c:pt idx="760">
                  <c:v>1.1599999999999999</c:v>
                </c:pt>
                <c:pt idx="761">
                  <c:v>1.3</c:v>
                </c:pt>
                <c:pt idx="762">
                  <c:v>1.41</c:v>
                </c:pt>
                <c:pt idx="763">
                  <c:v>1.42</c:v>
                </c:pt>
                <c:pt idx="764">
                  <c:v>1.51</c:v>
                </c:pt>
                <c:pt idx="765">
                  <c:v>1.69</c:v>
                </c:pt>
                <c:pt idx="766">
                  <c:v>1.7</c:v>
                </c:pt>
                <c:pt idx="767">
                  <c:v>1.82</c:v>
                </c:pt>
                <c:pt idx="768">
                  <c:v>1.91</c:v>
                </c:pt>
                <c:pt idx="769">
                  <c:v>1.91</c:v>
                </c:pt>
                <c:pt idx="770">
                  <c:v>1.95</c:v>
                </c:pt>
                <c:pt idx="771">
                  <c:v>2.19</c:v>
                </c:pt>
                <c:pt idx="772">
                  <c:v>2.2000000000000002</c:v>
                </c:pt>
                <c:pt idx="773">
                  <c:v>2.27</c:v>
                </c:pt>
                <c:pt idx="774">
                  <c:v>2.4</c:v>
                </c:pt>
                <c:pt idx="775">
                  <c:v>2.4</c:v>
                </c:pt>
                <c:pt idx="776">
                  <c:v>2.41</c:v>
                </c:pt>
                <c:pt idx="777">
                  <c:v>2.42</c:v>
                </c:pt>
                <c:pt idx="778">
                  <c:v>2.39</c:v>
                </c:pt>
                <c:pt idx="779">
                  <c:v>2.38</c:v>
                </c:pt>
                <c:pt idx="780">
                  <c:v>2.4</c:v>
                </c:pt>
                <c:pt idx="781">
                  <c:v>2.13</c:v>
                </c:pt>
                <c:pt idx="782">
                  <c:v>2.04</c:v>
                </c:pt>
                <c:pt idx="783">
                  <c:v>1.83</c:v>
                </c:pt>
                <c:pt idx="784">
                  <c:v>1.55</c:v>
                </c:pt>
                <c:pt idx="785">
                  <c:v>1.55</c:v>
                </c:pt>
                <c:pt idx="786">
                  <c:v>1.55</c:v>
                </c:pt>
                <c:pt idx="787">
                  <c:v>1.58</c:v>
                </c:pt>
                <c:pt idx="788">
                  <c:v>0.65</c:v>
                </c:pt>
                <c:pt idx="789">
                  <c:v>0.05</c:v>
                </c:pt>
                <c:pt idx="790">
                  <c:v>0.05</c:v>
                </c:pt>
                <c:pt idx="791">
                  <c:v>0.08</c:v>
                </c:pt>
                <c:pt idx="792">
                  <c:v>0.09</c:v>
                </c:pt>
                <c:pt idx="793">
                  <c:v>0.1</c:v>
                </c:pt>
                <c:pt idx="794">
                  <c:v>0.09</c:v>
                </c:pt>
                <c:pt idx="795">
                  <c:v>0.09</c:v>
                </c:pt>
                <c:pt idx="796">
                  <c:v>0.09</c:v>
                </c:pt>
                <c:pt idx="797">
                  <c:v>0.09</c:v>
                </c:pt>
                <c:pt idx="798">
                  <c:v>0.09</c:v>
                </c:pt>
                <c:pt idx="799">
                  <c:v>0.08</c:v>
                </c:pt>
                <c:pt idx="800">
                  <c:v>7.0000000000000007E-2</c:v>
                </c:pt>
                <c:pt idx="801">
                  <c:v>7.0000000000000007E-2</c:v>
                </c:pt>
                <c:pt idx="802">
                  <c:v>0.06</c:v>
                </c:pt>
                <c:pt idx="803">
                  <c:v>0.08</c:v>
                </c:pt>
                <c:pt idx="804">
                  <c:v>0.1</c:v>
                </c:pt>
                <c:pt idx="805">
                  <c:v>0.09</c:v>
                </c:pt>
                <c:pt idx="806">
                  <c:v>0.08</c:v>
                </c:pt>
                <c:pt idx="807">
                  <c:v>0.08</c:v>
                </c:pt>
                <c:pt idx="808">
                  <c:v>0.08</c:v>
                </c:pt>
                <c:pt idx="809">
                  <c:v>0.08</c:v>
                </c:pt>
                <c:pt idx="810">
                  <c:v>0.08</c:v>
                </c:pt>
                <c:pt idx="811">
                  <c:v>0.08</c:v>
                </c:pt>
                <c:pt idx="812">
                  <c:v>0.2</c:v>
                </c:pt>
                <c:pt idx="813">
                  <c:v>0.33</c:v>
                </c:pt>
                <c:pt idx="814">
                  <c:v>0.77</c:v>
                </c:pt>
                <c:pt idx="815">
                  <c:v>1.21</c:v>
                </c:pt>
                <c:pt idx="816">
                  <c:v>1.68</c:v>
                </c:pt>
                <c:pt idx="817">
                  <c:v>2.33</c:v>
                </c:pt>
                <c:pt idx="818">
                  <c:v>2.56</c:v>
                </c:pt>
                <c:pt idx="819">
                  <c:v>3.08</c:v>
                </c:pt>
                <c:pt idx="820">
                  <c:v>3.78</c:v>
                </c:pt>
                <c:pt idx="821">
                  <c:v>4.0999999999999996</c:v>
                </c:pt>
                <c:pt idx="822">
                  <c:v>4.33</c:v>
                </c:pt>
                <c:pt idx="823">
                  <c:v>4.57</c:v>
                </c:pt>
                <c:pt idx="824">
                  <c:v>4.6500000000000004</c:v>
                </c:pt>
                <c:pt idx="825">
                  <c:v>4.83</c:v>
                </c:pt>
                <c:pt idx="826">
                  <c:v>5.0599999999999996</c:v>
                </c:pt>
                <c:pt idx="827">
                  <c:v>5.08</c:v>
                </c:pt>
                <c:pt idx="828">
                  <c:v>5.12</c:v>
                </c:pt>
                <c:pt idx="829">
                  <c:v>5.33</c:v>
                </c:pt>
                <c:pt idx="830">
                  <c:v>5.33</c:v>
                </c:pt>
                <c:pt idx="831">
                  <c:v>5.33</c:v>
                </c:pt>
                <c:pt idx="832">
                  <c:v>5.33</c:v>
                </c:pt>
                <c:pt idx="833">
                  <c:v>5.33</c:v>
                </c:pt>
                <c:pt idx="834">
                  <c:v>5.33</c:v>
                </c:pt>
                <c:pt idx="835">
                  <c:v>5.33</c:v>
                </c:pt>
                <c:pt idx="836">
                  <c:v>5.33</c:v>
                </c:pt>
                <c:pt idx="837">
                  <c:v>5.33</c:v>
                </c:pt>
                <c:pt idx="838">
                  <c:v>5.33</c:v>
                </c:pt>
                <c:pt idx="839">
                  <c:v>5.33</c:v>
                </c:pt>
                <c:pt idx="840">
                  <c:v>5.33</c:v>
                </c:pt>
                <c:pt idx="841">
                  <c:v>5.33</c:v>
                </c:pt>
                <c:pt idx="842">
                  <c:v>5.13</c:v>
                </c:pt>
                <c:pt idx="843">
                  <c:v>4.83</c:v>
                </c:pt>
                <c:pt idx="844">
                  <c:v>4.6399999999999997</c:v>
                </c:pt>
                <c:pt idx="845">
                  <c:v>4.4800000000000004</c:v>
                </c:pt>
                <c:pt idx="846">
                  <c:v>4.33</c:v>
                </c:pt>
                <c:pt idx="847">
                  <c:v>4.33</c:v>
                </c:pt>
                <c:pt idx="848">
                  <c:v>4.33</c:v>
                </c:pt>
                <c:pt idx="849">
                  <c:v>4.33</c:v>
                </c:pt>
                <c:pt idx="850">
                  <c:v>4.33</c:v>
                </c:pt>
                <c:pt idx="851">
                  <c:v>4.33</c:v>
                </c:pt>
                <c:pt idx="852">
                  <c:v>4.33</c:v>
                </c:pt>
                <c:pt idx="853">
                  <c:v>4.33</c:v>
                </c:pt>
                <c:pt idx="854">
                  <c:v>4.22</c:v>
                </c:pt>
                <c:pt idx="855">
                  <c:v>4.09</c:v>
                </c:pt>
                <c:pt idx="856">
                  <c:v>3.88</c:v>
                </c:pt>
                <c:pt idx="857">
                  <c:v>3.72</c:v>
                </c:pt>
                <c:pt idx="858">
                  <c:v>3.64</c:v>
                </c:pt>
                <c:pt idx="859">
                  <c:v>3.64</c:v>
                </c:pt>
                <c:pt idx="860">
                  <c:v>3.64</c:v>
                </c:pt>
                <c:pt idx="861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1-483C-941A-C57972B8E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927888"/>
        <c:axId val="2103924528"/>
      </c:lineChart>
      <c:dateAx>
        <c:axId val="2103927888"/>
        <c:scaling>
          <c:orientation val="minMax"/>
        </c:scaling>
        <c:delete val="0"/>
        <c:axPos val="b"/>
        <c:numFmt formatCode="[$-409]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103924528"/>
        <c:crosses val="autoZero"/>
        <c:auto val="0"/>
        <c:lblOffset val="100"/>
        <c:baseTimeUnit val="months"/>
        <c:majorUnit val="24"/>
        <c:majorTimeUnit val="months"/>
      </c:dateAx>
      <c:valAx>
        <c:axId val="210392452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210392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area!$A$2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area!$B$2:$BG$2</c:f>
              <c:numCache>
                <c:formatCode>General</c:formatCode>
                <c:ptCount val="58"/>
                <c:pt idx="0">
                  <c:v>599728767</c:v>
                </c:pt>
                <c:pt idx="1">
                  <c:v>605540781</c:v>
                </c:pt>
                <c:pt idx="2">
                  <c:v>611584621</c:v>
                </c:pt>
                <c:pt idx="3">
                  <c:v>617678053</c:v>
                </c:pt>
                <c:pt idx="4">
                  <c:v>623698030</c:v>
                </c:pt>
                <c:pt idx="5">
                  <c:v>629500499</c:v>
                </c:pt>
                <c:pt idx="6">
                  <c:v>634339310</c:v>
                </c:pt>
                <c:pt idx="7">
                  <c:v>639017055</c:v>
                </c:pt>
                <c:pt idx="8">
                  <c:v>643449685</c:v>
                </c:pt>
                <c:pt idx="9">
                  <c:v>647750653</c:v>
                </c:pt>
                <c:pt idx="10">
                  <c:v>651504792</c:v>
                </c:pt>
                <c:pt idx="11">
                  <c:v>655236057</c:v>
                </c:pt>
                <c:pt idx="12">
                  <c:v>659487789</c:v>
                </c:pt>
                <c:pt idx="13">
                  <c:v>663574354</c:v>
                </c:pt>
                <c:pt idx="14">
                  <c:v>667445192</c:v>
                </c:pt>
                <c:pt idx="15">
                  <c:v>671144830</c:v>
                </c:pt>
                <c:pt idx="16">
                  <c:v>674731401</c:v>
                </c:pt>
                <c:pt idx="17">
                  <c:v>678106983</c:v>
                </c:pt>
                <c:pt idx="18">
                  <c:v>681413881</c:v>
                </c:pt>
                <c:pt idx="19">
                  <c:v>684705324</c:v>
                </c:pt>
                <c:pt idx="20">
                  <c:v>688118451</c:v>
                </c:pt>
                <c:pt idx="21">
                  <c:v>691333943</c:v>
                </c:pt>
                <c:pt idx="22">
                  <c:v>693992403</c:v>
                </c:pt>
                <c:pt idx="23">
                  <c:v>696407894</c:v>
                </c:pt>
                <c:pt idx="24">
                  <c:v>699003784</c:v>
                </c:pt>
                <c:pt idx="25">
                  <c:v>701703378</c:v>
                </c:pt>
                <c:pt idx="26">
                  <c:v>704503174</c:v>
                </c:pt>
                <c:pt idx="27">
                  <c:v>707350770</c:v>
                </c:pt>
                <c:pt idx="28">
                  <c:v>710271210</c:v>
                </c:pt>
                <c:pt idx="29">
                  <c:v>713206952</c:v>
                </c:pt>
                <c:pt idx="30">
                  <c:v>723231199</c:v>
                </c:pt>
                <c:pt idx="31">
                  <c:v>725156004</c:v>
                </c:pt>
                <c:pt idx="32">
                  <c:v>726816663</c:v>
                </c:pt>
                <c:pt idx="33">
                  <c:v>728212749</c:v>
                </c:pt>
                <c:pt idx="34">
                  <c:v>728942232</c:v>
                </c:pt>
                <c:pt idx="35">
                  <c:v>729354297</c:v>
                </c:pt>
                <c:pt idx="36">
                  <c:v>729485346</c:v>
                </c:pt>
                <c:pt idx="37">
                  <c:v>729525219</c:v>
                </c:pt>
                <c:pt idx="38">
                  <c:v>729417543</c:v>
                </c:pt>
                <c:pt idx="39">
                  <c:v>729184302</c:v>
                </c:pt>
                <c:pt idx="40">
                  <c:v>728726864</c:v>
                </c:pt>
                <c:pt idx="41">
                  <c:v>728400910</c:v>
                </c:pt>
                <c:pt idx="42">
                  <c:v>728500157</c:v>
                </c:pt>
                <c:pt idx="43">
                  <c:v>729257273</c:v>
                </c:pt>
                <c:pt idx="44">
                  <c:v>730267708</c:v>
                </c:pt>
                <c:pt idx="45">
                  <c:v>731310642</c:v>
                </c:pt>
                <c:pt idx="46">
                  <c:v>732383260</c:v>
                </c:pt>
                <c:pt idx="47">
                  <c:v>733844962</c:v>
                </c:pt>
                <c:pt idx="48">
                  <c:v>735505044</c:v>
                </c:pt>
                <c:pt idx="49">
                  <c:v>736939367</c:v>
                </c:pt>
                <c:pt idx="50">
                  <c:v>737992808</c:v>
                </c:pt>
                <c:pt idx="51">
                  <c:v>737689599</c:v>
                </c:pt>
                <c:pt idx="52">
                  <c:v>738971586</c:v>
                </c:pt>
                <c:pt idx="53">
                  <c:v>740750467</c:v>
                </c:pt>
                <c:pt idx="54">
                  <c:v>742508792</c:v>
                </c:pt>
                <c:pt idx="55">
                  <c:v>744239631</c:v>
                </c:pt>
                <c:pt idx="56">
                  <c:v>745920941</c:v>
                </c:pt>
                <c:pt idx="57">
                  <c:v>746940738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7-4F6E-BE19-6B37C3ED3C5B}"/>
            </c:ext>
          </c:extLst>
        </c:ser>
        <c:ser>
          <c:idx val="1"/>
          <c:order val="1"/>
          <c:tx>
            <c:strRef>
              <c:f>area!$A$3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area!$B$3:$BG$3</c:f>
              <c:numCache>
                <c:formatCode>General</c:formatCode>
                <c:ptCount val="58"/>
                <c:pt idx="0">
                  <c:v>274107909</c:v>
                </c:pt>
                <c:pt idx="1">
                  <c:v>279608477</c:v>
                </c:pt>
                <c:pt idx="2">
                  <c:v>284990400</c:v>
                </c:pt>
                <c:pt idx="3">
                  <c:v>290303294</c:v>
                </c:pt>
                <c:pt idx="4">
                  <c:v>295612941</c:v>
                </c:pt>
                <c:pt idx="5">
                  <c:v>300719322</c:v>
                </c:pt>
                <c:pt idx="6">
                  <c:v>305716236</c:v>
                </c:pt>
                <c:pt idx="7">
                  <c:v>310632063</c:v>
                </c:pt>
                <c:pt idx="8">
                  <c:v>315400792</c:v>
                </c:pt>
                <c:pt idx="9">
                  <c:v>320149678</c:v>
                </c:pt>
                <c:pt idx="10">
                  <c:v>325374007</c:v>
                </c:pt>
                <c:pt idx="11">
                  <c:v>331237575</c:v>
                </c:pt>
                <c:pt idx="12">
                  <c:v>336395843</c:v>
                </c:pt>
                <c:pt idx="13">
                  <c:v>341385046</c:v>
                </c:pt>
                <c:pt idx="14">
                  <c:v>346356970</c:v>
                </c:pt>
                <c:pt idx="15">
                  <c:v>351508500</c:v>
                </c:pt>
                <c:pt idx="16">
                  <c:v>356553562</c:v>
                </c:pt>
                <c:pt idx="17">
                  <c:v>361689456</c:v>
                </c:pt>
                <c:pt idx="18">
                  <c:v>366927432</c:v>
                </c:pt>
                <c:pt idx="19">
                  <c:v>372299446</c:v>
                </c:pt>
                <c:pt idx="20">
                  <c:v>377473185</c:v>
                </c:pt>
                <c:pt idx="21">
                  <c:v>382727572</c:v>
                </c:pt>
                <c:pt idx="22">
                  <c:v>387949091</c:v>
                </c:pt>
                <c:pt idx="23">
                  <c:v>393062657</c:v>
                </c:pt>
                <c:pt idx="24">
                  <c:v>398071532</c:v>
                </c:pt>
                <c:pt idx="25">
                  <c:v>403132630</c:v>
                </c:pt>
                <c:pt idx="26">
                  <c:v>408313738</c:v>
                </c:pt>
                <c:pt idx="27">
                  <c:v>413518755</c:v>
                </c:pt>
                <c:pt idx="28">
                  <c:v>418770083</c:v>
                </c:pt>
                <c:pt idx="29">
                  <c:v>424272831</c:v>
                </c:pt>
                <c:pt idx="30">
                  <c:v>430198572</c:v>
                </c:pt>
                <c:pt idx="31">
                  <c:v>436609841</c:v>
                </c:pt>
                <c:pt idx="32">
                  <c:v>443186119</c:v>
                </c:pt>
                <c:pt idx="33">
                  <c:v>449617715</c:v>
                </c:pt>
                <c:pt idx="34">
                  <c:v>455839537</c:v>
                </c:pt>
                <c:pt idx="35">
                  <c:v>461965272</c:v>
                </c:pt>
                <c:pt idx="36">
                  <c:v>468041453</c:v>
                </c:pt>
                <c:pt idx="37">
                  <c:v>474220916</c:v>
                </c:pt>
                <c:pt idx="38">
                  <c:v>480279303</c:v>
                </c:pt>
                <c:pt idx="39">
                  <c:v>486265096</c:v>
                </c:pt>
                <c:pt idx="40">
                  <c:v>492198264</c:v>
                </c:pt>
                <c:pt idx="41">
                  <c:v>497844214</c:v>
                </c:pt>
                <c:pt idx="42">
                  <c:v>503328730</c:v>
                </c:pt>
                <c:pt idx="43">
                  <c:v>508587980</c:v>
                </c:pt>
                <c:pt idx="44">
                  <c:v>514101917</c:v>
                </c:pt>
                <c:pt idx="45">
                  <c:v>519677435</c:v>
                </c:pt>
                <c:pt idx="46">
                  <c:v>525471912</c:v>
                </c:pt>
                <c:pt idx="47">
                  <c:v>531283904</c:v>
                </c:pt>
                <c:pt idx="48">
                  <c:v>537177993</c:v>
                </c:pt>
                <c:pt idx="49">
                  <c:v>542921055</c:v>
                </c:pt>
                <c:pt idx="50">
                  <c:v>548528997</c:v>
                </c:pt>
                <c:pt idx="51">
                  <c:v>553757037</c:v>
                </c:pt>
                <c:pt idx="52">
                  <c:v>559053023</c:v>
                </c:pt>
                <c:pt idx="53">
                  <c:v>564216113</c:v>
                </c:pt>
                <c:pt idx="54">
                  <c:v>569466474</c:v>
                </c:pt>
                <c:pt idx="55">
                  <c:v>574619781</c:v>
                </c:pt>
                <c:pt idx="56">
                  <c:v>579843739</c:v>
                </c:pt>
                <c:pt idx="57">
                  <c:v>584782446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7-4F6E-BE19-6B37C3ED3C5B}"/>
            </c:ext>
          </c:extLst>
        </c:ser>
        <c:ser>
          <c:idx val="2"/>
          <c:order val="2"/>
          <c:tx>
            <c:strRef>
              <c:f>area!$A$4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area!$B$4:$BG$4</c:f>
              <c:numCache>
                <c:formatCode>General</c:formatCode>
                <c:ptCount val="58"/>
                <c:pt idx="0">
                  <c:v>148651511</c:v>
                </c:pt>
                <c:pt idx="1">
                  <c:v>152700667</c:v>
                </c:pt>
                <c:pt idx="2">
                  <c:v>156862361</c:v>
                </c:pt>
                <c:pt idx="3">
                  <c:v>161115035</c:v>
                </c:pt>
                <c:pt idx="4">
                  <c:v>165429189</c:v>
                </c:pt>
                <c:pt idx="5">
                  <c:v>169782211</c:v>
                </c:pt>
                <c:pt idx="6">
                  <c:v>174169737</c:v>
                </c:pt>
                <c:pt idx="7">
                  <c:v>178594015</c:v>
                </c:pt>
                <c:pt idx="8">
                  <c:v>183048023</c:v>
                </c:pt>
                <c:pt idx="9">
                  <c:v>187525478</c:v>
                </c:pt>
                <c:pt idx="10">
                  <c:v>192024013</c:v>
                </c:pt>
                <c:pt idx="11">
                  <c:v>196537732</c:v>
                </c:pt>
                <c:pt idx="12">
                  <c:v>201072551</c:v>
                </c:pt>
                <c:pt idx="13">
                  <c:v>205653019</c:v>
                </c:pt>
                <c:pt idx="14">
                  <c:v>210312688</c:v>
                </c:pt>
                <c:pt idx="15">
                  <c:v>215076285</c:v>
                </c:pt>
                <c:pt idx="16">
                  <c:v>219947926</c:v>
                </c:pt>
                <c:pt idx="17">
                  <c:v>224921543</c:v>
                </c:pt>
                <c:pt idx="18">
                  <c:v>229997747</c:v>
                </c:pt>
                <c:pt idx="19">
                  <c:v>235174373</c:v>
                </c:pt>
                <c:pt idx="20">
                  <c:v>240446419</c:v>
                </c:pt>
                <c:pt idx="21">
                  <c:v>245814900</c:v>
                </c:pt>
                <c:pt idx="22">
                  <c:v>251271113</c:v>
                </c:pt>
                <c:pt idx="23">
                  <c:v>256787342</c:v>
                </c:pt>
                <c:pt idx="24">
                  <c:v>262327538</c:v>
                </c:pt>
                <c:pt idx="25">
                  <c:v>267863559</c:v>
                </c:pt>
                <c:pt idx="26">
                  <c:v>273382475</c:v>
                </c:pt>
                <c:pt idx="27">
                  <c:v>278883358</c:v>
                </c:pt>
                <c:pt idx="28">
                  <c:v>284364788</c:v>
                </c:pt>
                <c:pt idx="29">
                  <c:v>289829995</c:v>
                </c:pt>
                <c:pt idx="30">
                  <c:v>295280439</c:v>
                </c:pt>
                <c:pt idx="31">
                  <c:v>300706713</c:v>
                </c:pt>
                <c:pt idx="32">
                  <c:v>306101381</c:v>
                </c:pt>
                <c:pt idx="33">
                  <c:v>311470189</c:v>
                </c:pt>
                <c:pt idx="34">
                  <c:v>316822704</c:v>
                </c:pt>
                <c:pt idx="35">
                  <c:v>322162422</c:v>
                </c:pt>
                <c:pt idx="36">
                  <c:v>327490755</c:v>
                </c:pt>
                <c:pt idx="37">
                  <c:v>332794491</c:v>
                </c:pt>
                <c:pt idx="38">
                  <c:v>338045088</c:v>
                </c:pt>
                <c:pt idx="39">
                  <c:v>343204899</c:v>
                </c:pt>
                <c:pt idx="40">
                  <c:v>348245826</c:v>
                </c:pt>
                <c:pt idx="41">
                  <c:v>353160147</c:v>
                </c:pt>
                <c:pt idx="42">
                  <c:v>357951719</c:v>
                </c:pt>
                <c:pt idx="43">
                  <c:v>362619722</c:v>
                </c:pt>
                <c:pt idx="44">
                  <c:v>367167054</c:v>
                </c:pt>
                <c:pt idx="45">
                  <c:v>371598749</c:v>
                </c:pt>
                <c:pt idx="46">
                  <c:v>375909963</c:v>
                </c:pt>
                <c:pt idx="47">
                  <c:v>380105938</c:v>
                </c:pt>
                <c:pt idx="48">
                  <c:v>384214554</c:v>
                </c:pt>
                <c:pt idx="49">
                  <c:v>388272882</c:v>
                </c:pt>
                <c:pt idx="50">
                  <c:v>392200507</c:v>
                </c:pt>
                <c:pt idx="51">
                  <c:v>396272340</c:v>
                </c:pt>
                <c:pt idx="52">
                  <c:v>400315907</c:v>
                </c:pt>
                <c:pt idx="53">
                  <c:v>404321311</c:v>
                </c:pt>
                <c:pt idx="54">
                  <c:v>408271864</c:v>
                </c:pt>
                <c:pt idx="55">
                  <c:v>412155398</c:v>
                </c:pt>
                <c:pt idx="56">
                  <c:v>415967283</c:v>
                </c:pt>
                <c:pt idx="57">
                  <c:v>419712493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7-4F6E-BE19-6B37C3ED3C5B}"/>
            </c:ext>
          </c:extLst>
        </c:ser>
        <c:ser>
          <c:idx val="3"/>
          <c:order val="3"/>
          <c:tx>
            <c:strRef>
              <c:f>area!$A$5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area!$B$5:$BG$5</c:f>
              <c:numCache>
                <c:formatCode>General</c:formatCode>
                <c:ptCount val="58"/>
                <c:pt idx="0">
                  <c:v>282962801</c:v>
                </c:pt>
                <c:pt idx="1">
                  <c:v>289804906</c:v>
                </c:pt>
                <c:pt idx="2">
                  <c:v>296899168</c:v>
                </c:pt>
                <c:pt idx="3">
                  <c:v>304243902</c:v>
                </c:pt>
                <c:pt idx="4">
                  <c:v>311834464</c:v>
                </c:pt>
                <c:pt idx="5">
                  <c:v>319670091</c:v>
                </c:pt>
                <c:pt idx="6">
                  <c:v>327757548</c:v>
                </c:pt>
                <c:pt idx="7">
                  <c:v>336108576</c:v>
                </c:pt>
                <c:pt idx="8">
                  <c:v>344734523</c:v>
                </c:pt>
                <c:pt idx="9">
                  <c:v>353648883</c:v>
                </c:pt>
                <c:pt idx="10">
                  <c:v>362866749</c:v>
                </c:pt>
                <c:pt idx="11">
                  <c:v>372392922</c:v>
                </c:pt>
                <c:pt idx="12">
                  <c:v>382242866</c:v>
                </c:pt>
                <c:pt idx="13">
                  <c:v>392446730</c:v>
                </c:pt>
                <c:pt idx="14">
                  <c:v>403043547</c:v>
                </c:pt>
                <c:pt idx="15">
                  <c:v>414062735</c:v>
                </c:pt>
                <c:pt idx="16">
                  <c:v>425515936</c:v>
                </c:pt>
                <c:pt idx="17">
                  <c:v>437404337</c:v>
                </c:pt>
                <c:pt idx="18">
                  <c:v>449724385</c:v>
                </c:pt>
                <c:pt idx="19">
                  <c:v>462479947</c:v>
                </c:pt>
                <c:pt idx="20">
                  <c:v>475661437</c:v>
                </c:pt>
                <c:pt idx="21">
                  <c:v>489260034</c:v>
                </c:pt>
                <c:pt idx="22">
                  <c:v>503271364</c:v>
                </c:pt>
                <c:pt idx="23">
                  <c:v>517696750</c:v>
                </c:pt>
                <c:pt idx="24">
                  <c:v>532544800</c:v>
                </c:pt>
                <c:pt idx="25">
                  <c:v>547806342</c:v>
                </c:pt>
                <c:pt idx="26">
                  <c:v>563487523</c:v>
                </c:pt>
                <c:pt idx="27">
                  <c:v>579567195</c:v>
                </c:pt>
                <c:pt idx="28">
                  <c:v>595970378</c:v>
                </c:pt>
                <c:pt idx="29">
                  <c:v>612610898</c:v>
                </c:pt>
                <c:pt idx="30">
                  <c:v>629422212</c:v>
                </c:pt>
                <c:pt idx="31">
                  <c:v>646391288</c:v>
                </c:pt>
                <c:pt idx="32">
                  <c:v>663532815</c:v>
                </c:pt>
                <c:pt idx="33">
                  <c:v>680861298</c:v>
                </c:pt>
                <c:pt idx="34">
                  <c:v>698411221</c:v>
                </c:pt>
                <c:pt idx="35">
                  <c:v>716203914</c:v>
                </c:pt>
                <c:pt idx="36">
                  <c:v>734266451</c:v>
                </c:pt>
                <c:pt idx="37">
                  <c:v>752618184</c:v>
                </c:pt>
                <c:pt idx="38">
                  <c:v>771291222</c:v>
                </c:pt>
                <c:pt idx="39">
                  <c:v>790332311</c:v>
                </c:pt>
                <c:pt idx="40">
                  <c:v>809778881</c:v>
                </c:pt>
                <c:pt idx="41">
                  <c:v>829656741</c:v>
                </c:pt>
                <c:pt idx="42">
                  <c:v>850010369</c:v>
                </c:pt>
                <c:pt idx="43">
                  <c:v>870914812</c:v>
                </c:pt>
                <c:pt idx="44">
                  <c:v>892466739</c:v>
                </c:pt>
                <c:pt idx="45">
                  <c:v>914742174</c:v>
                </c:pt>
                <c:pt idx="46">
                  <c:v>937768817</c:v>
                </c:pt>
                <c:pt idx="47">
                  <c:v>961556269</c:v>
                </c:pt>
                <c:pt idx="48">
                  <c:v>986138494</c:v>
                </c:pt>
                <c:pt idx="49">
                  <c:v>1011540481</c:v>
                </c:pt>
                <c:pt idx="50">
                  <c:v>1037780290</c:v>
                </c:pt>
                <c:pt idx="51">
                  <c:v>1064861709</c:v>
                </c:pt>
                <c:pt idx="52">
                  <c:v>1089525787</c:v>
                </c:pt>
                <c:pt idx="53">
                  <c:v>1118176688</c:v>
                </c:pt>
                <c:pt idx="54">
                  <c:v>1147512960</c:v>
                </c:pt>
                <c:pt idx="55">
                  <c:v>1177462092</c:v>
                </c:pt>
                <c:pt idx="56">
                  <c:v>1207999977</c:v>
                </c:pt>
                <c:pt idx="57">
                  <c:v>1239112130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7-4F6E-BE19-6B37C3ED3C5B}"/>
            </c:ext>
          </c:extLst>
        </c:ser>
        <c:ser>
          <c:idx val="5"/>
          <c:order val="4"/>
          <c:tx>
            <c:strRef>
              <c:f>area!$A$6</c:f>
              <c:strCache>
                <c:ptCount val="1"/>
                <c:pt idx="0">
                  <c:v>Other Asia</c:v>
                </c:pt>
              </c:strCache>
            </c:strRef>
          </c:tx>
          <c:spPr>
            <a:solidFill>
              <a:srgbClr val="0D1A63"/>
            </a:solidFill>
            <a:ln w="25400"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area!$B$6:$BG$6</c:f>
              <c:numCache>
                <c:formatCode>General</c:formatCode>
                <c:ptCount val="58"/>
                <c:pt idx="0">
                  <c:v>593457984</c:v>
                </c:pt>
                <c:pt idx="1">
                  <c:v>609552107</c:v>
                </c:pt>
                <c:pt idx="2">
                  <c:v>624529588</c:v>
                </c:pt>
                <c:pt idx="3">
                  <c:v>639892199</c:v>
                </c:pt>
                <c:pt idx="4">
                  <c:v>655710649</c:v>
                </c:pt>
                <c:pt idx="5">
                  <c:v>671993411</c:v>
                </c:pt>
                <c:pt idx="6">
                  <c:v>688624729</c:v>
                </c:pt>
                <c:pt idx="7">
                  <c:v>705593099</c:v>
                </c:pt>
                <c:pt idx="8">
                  <c:v>722253660</c:v>
                </c:pt>
                <c:pt idx="9">
                  <c:v>740906594</c:v>
                </c:pt>
                <c:pt idx="10">
                  <c:v>758698351</c:v>
                </c:pt>
                <c:pt idx="11">
                  <c:v>776839675</c:v>
                </c:pt>
                <c:pt idx="12">
                  <c:v>794979486</c:v>
                </c:pt>
                <c:pt idx="13">
                  <c:v>812664212</c:v>
                </c:pt>
                <c:pt idx="14">
                  <c:v>831923987</c:v>
                </c:pt>
                <c:pt idx="15">
                  <c:v>851044275</c:v>
                </c:pt>
                <c:pt idx="16">
                  <c:v>869510285</c:v>
                </c:pt>
                <c:pt idx="17">
                  <c:v>888612457</c:v>
                </c:pt>
                <c:pt idx="18">
                  <c:v>908093123</c:v>
                </c:pt>
                <c:pt idx="19">
                  <c:v>928074533</c:v>
                </c:pt>
                <c:pt idx="20">
                  <c:v>948670183</c:v>
                </c:pt>
                <c:pt idx="21">
                  <c:v>970003231</c:v>
                </c:pt>
                <c:pt idx="22">
                  <c:v>991896708</c:v>
                </c:pt>
                <c:pt idx="23">
                  <c:v>1014157105</c:v>
                </c:pt>
                <c:pt idx="24">
                  <c:v>1036610770</c:v>
                </c:pt>
                <c:pt idx="25">
                  <c:v>1059207247</c:v>
                </c:pt>
                <c:pt idx="26">
                  <c:v>1082046798</c:v>
                </c:pt>
                <c:pt idx="27">
                  <c:v>1105001496</c:v>
                </c:pt>
                <c:pt idx="28">
                  <c:v>1128038835</c:v>
                </c:pt>
                <c:pt idx="29">
                  <c:v>1151042613</c:v>
                </c:pt>
                <c:pt idx="30">
                  <c:v>1176121556</c:v>
                </c:pt>
                <c:pt idx="31">
                  <c:v>1199463646</c:v>
                </c:pt>
                <c:pt idx="32">
                  <c:v>1220495550</c:v>
                </c:pt>
                <c:pt idx="33">
                  <c:v>1243250367</c:v>
                </c:pt>
                <c:pt idx="34">
                  <c:v>1265672585</c:v>
                </c:pt>
                <c:pt idx="35">
                  <c:v>1289392761</c:v>
                </c:pt>
                <c:pt idx="36">
                  <c:v>1311201714</c:v>
                </c:pt>
                <c:pt idx="37">
                  <c:v>1332719121</c:v>
                </c:pt>
                <c:pt idx="38">
                  <c:v>1353912687</c:v>
                </c:pt>
                <c:pt idx="39">
                  <c:v>1374880065</c:v>
                </c:pt>
                <c:pt idx="40">
                  <c:v>1396148605</c:v>
                </c:pt>
                <c:pt idx="41">
                  <c:v>1417600165</c:v>
                </c:pt>
                <c:pt idx="42">
                  <c:v>1438978911</c:v>
                </c:pt>
                <c:pt idx="43">
                  <c:v>1460308367</c:v>
                </c:pt>
                <c:pt idx="44">
                  <c:v>1481525275</c:v>
                </c:pt>
                <c:pt idx="45">
                  <c:v>1502742818</c:v>
                </c:pt>
                <c:pt idx="46">
                  <c:v>1524306416</c:v>
                </c:pt>
                <c:pt idx="47">
                  <c:v>1545884222</c:v>
                </c:pt>
                <c:pt idx="48">
                  <c:v>1568095453</c:v>
                </c:pt>
                <c:pt idx="49">
                  <c:v>1590474798</c:v>
                </c:pt>
                <c:pt idx="50">
                  <c:v>1612945414</c:v>
                </c:pt>
                <c:pt idx="51">
                  <c:v>1635473124</c:v>
                </c:pt>
                <c:pt idx="52">
                  <c:v>1657764920</c:v>
                </c:pt>
                <c:pt idx="53">
                  <c:v>1680308464</c:v>
                </c:pt>
                <c:pt idx="54">
                  <c:v>1702994985</c:v>
                </c:pt>
                <c:pt idx="55">
                  <c:v>1725579006</c:v>
                </c:pt>
                <c:pt idx="56">
                  <c:v>1748020029</c:v>
                </c:pt>
                <c:pt idx="57">
                  <c:v>1770146244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07-4F6E-BE19-6B37C3ED3C5B}"/>
            </c:ext>
          </c:extLst>
        </c:ser>
        <c:ser>
          <c:idx val="6"/>
          <c:order val="5"/>
          <c:tx>
            <c:strRef>
              <c:f>area!$A$7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5B73C4"/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area!$B$7:$BG$7</c:f>
              <c:numCache>
                <c:formatCode>General</c:formatCode>
                <c:ptCount val="58"/>
                <c:pt idx="0">
                  <c:v>670313396</c:v>
                </c:pt>
                <c:pt idx="1">
                  <c:v>663668562</c:v>
                </c:pt>
                <c:pt idx="2">
                  <c:v>669251383</c:v>
                </c:pt>
                <c:pt idx="3">
                  <c:v>685940145</c:v>
                </c:pt>
                <c:pt idx="4">
                  <c:v>702053161</c:v>
                </c:pt>
                <c:pt idx="5">
                  <c:v>718986128</c:v>
                </c:pt>
                <c:pt idx="6">
                  <c:v>739243092</c:v>
                </c:pt>
                <c:pt idx="7">
                  <c:v>758496218</c:v>
                </c:pt>
                <c:pt idx="8">
                  <c:v>778545700</c:v>
                </c:pt>
                <c:pt idx="9">
                  <c:v>800129739</c:v>
                </c:pt>
                <c:pt idx="10">
                  <c:v>822520194</c:v>
                </c:pt>
                <c:pt idx="11">
                  <c:v>845399038</c:v>
                </c:pt>
                <c:pt idx="12">
                  <c:v>866402367</c:v>
                </c:pt>
                <c:pt idx="13">
                  <c:v>886428547</c:v>
                </c:pt>
                <c:pt idx="14">
                  <c:v>904972085</c:v>
                </c:pt>
                <c:pt idx="15">
                  <c:v>921098228</c:v>
                </c:pt>
                <c:pt idx="16">
                  <c:v>935442075</c:v>
                </c:pt>
                <c:pt idx="17">
                  <c:v>948275378</c:v>
                </c:pt>
                <c:pt idx="18">
                  <c:v>961067671</c:v>
                </c:pt>
                <c:pt idx="19">
                  <c:v>974170140</c:v>
                </c:pt>
                <c:pt idx="20">
                  <c:v>986536171</c:v>
                </c:pt>
                <c:pt idx="21">
                  <c:v>999311773</c:v>
                </c:pt>
                <c:pt idx="22">
                  <c:v>1014145658</c:v>
                </c:pt>
                <c:pt idx="23">
                  <c:v>1028916031</c:v>
                </c:pt>
                <c:pt idx="24">
                  <c:v>1042494818</c:v>
                </c:pt>
                <c:pt idx="25">
                  <c:v>1056779703</c:v>
                </c:pt>
                <c:pt idx="26">
                  <c:v>1072610191</c:v>
                </c:pt>
                <c:pt idx="27">
                  <c:v>1089923680</c:v>
                </c:pt>
                <c:pt idx="28">
                  <c:v>1107578373</c:v>
                </c:pt>
                <c:pt idx="29">
                  <c:v>1124668983</c:v>
                </c:pt>
                <c:pt idx="30">
                  <c:v>1141233308</c:v>
                </c:pt>
                <c:pt idx="31">
                  <c:v>1156885626</c:v>
                </c:pt>
                <c:pt idx="32">
                  <c:v>1171132811</c:v>
                </c:pt>
                <c:pt idx="33">
                  <c:v>1184711199</c:v>
                </c:pt>
                <c:pt idx="34">
                  <c:v>1198248198</c:v>
                </c:pt>
                <c:pt idx="35">
                  <c:v>1211396613</c:v>
                </c:pt>
                <c:pt idx="36">
                  <c:v>1224378873</c:v>
                </c:pt>
                <c:pt idx="37">
                  <c:v>1236965652</c:v>
                </c:pt>
                <c:pt idx="38">
                  <c:v>1248888316</c:v>
                </c:pt>
                <c:pt idx="39">
                  <c:v>1259759883</c:v>
                </c:pt>
                <c:pt idx="40">
                  <c:v>1269737782</c:v>
                </c:pt>
                <c:pt idx="41">
                  <c:v>1279002238</c:v>
                </c:pt>
                <c:pt idx="42">
                  <c:v>1287592921</c:v>
                </c:pt>
                <c:pt idx="43">
                  <c:v>1295590965</c:v>
                </c:pt>
                <c:pt idx="44">
                  <c:v>1303330097</c:v>
                </c:pt>
                <c:pt idx="45">
                  <c:v>1311016058</c:v>
                </c:pt>
                <c:pt idx="46">
                  <c:v>1318370899</c:v>
                </c:pt>
                <c:pt idx="47">
                  <c:v>1325305811</c:v>
                </c:pt>
                <c:pt idx="48">
                  <c:v>1332128039</c:v>
                </c:pt>
                <c:pt idx="49">
                  <c:v>1338759200</c:v>
                </c:pt>
                <c:pt idx="50">
                  <c:v>1345267419</c:v>
                </c:pt>
                <c:pt idx="51">
                  <c:v>1351752432</c:v>
                </c:pt>
                <c:pt idx="52">
                  <c:v>1358409139</c:v>
                </c:pt>
                <c:pt idx="53">
                  <c:v>1365136272</c:v>
                </c:pt>
                <c:pt idx="54">
                  <c:v>1372089708</c:v>
                </c:pt>
                <c:pt idx="55">
                  <c:v>1379113385</c:v>
                </c:pt>
                <c:pt idx="56">
                  <c:v>1386614436</c:v>
                </c:pt>
                <c:pt idx="57">
                  <c:v>1394409285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07-4F6E-BE19-6B37C3ED3C5B}"/>
            </c:ext>
          </c:extLst>
        </c:ser>
        <c:ser>
          <c:idx val="7"/>
          <c:order val="6"/>
          <c:tx>
            <c:strRef>
              <c:f>area!$A$8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A8B4DE"/>
            </a:solidFill>
            <a:ln>
              <a:noFill/>
            </a:ln>
            <a:effectLst/>
          </c:spPr>
          <c:cat>
            <c:numRef>
              <c:f>area!$B$1:$BG$1</c:f>
              <c:numCache>
                <c:formatCode>General</c:formatCode>
                <c:ptCount val="5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</c:numCache>
            </c:numRef>
          </c:cat>
          <c:val>
            <c:numRef>
              <c:f>area!$B$8:$BG$8</c:f>
              <c:numCache>
                <c:formatCode>General</c:formatCode>
                <c:ptCount val="58"/>
                <c:pt idx="0">
                  <c:v>450547679</c:v>
                </c:pt>
                <c:pt idx="1">
                  <c:v>459642165</c:v>
                </c:pt>
                <c:pt idx="2">
                  <c:v>469077190</c:v>
                </c:pt>
                <c:pt idx="3">
                  <c:v>478825608</c:v>
                </c:pt>
                <c:pt idx="4">
                  <c:v>488848135</c:v>
                </c:pt>
                <c:pt idx="5">
                  <c:v>499123324</c:v>
                </c:pt>
                <c:pt idx="6">
                  <c:v>509631500</c:v>
                </c:pt>
                <c:pt idx="7">
                  <c:v>520400576</c:v>
                </c:pt>
                <c:pt idx="8">
                  <c:v>531513824</c:v>
                </c:pt>
                <c:pt idx="9">
                  <c:v>543084336</c:v>
                </c:pt>
                <c:pt idx="10">
                  <c:v>555189792</c:v>
                </c:pt>
                <c:pt idx="11">
                  <c:v>567868018</c:v>
                </c:pt>
                <c:pt idx="12">
                  <c:v>581087256</c:v>
                </c:pt>
                <c:pt idx="13">
                  <c:v>594770134</c:v>
                </c:pt>
                <c:pt idx="14">
                  <c:v>608802600</c:v>
                </c:pt>
                <c:pt idx="15">
                  <c:v>623102897</c:v>
                </c:pt>
                <c:pt idx="16">
                  <c:v>637630087</c:v>
                </c:pt>
                <c:pt idx="17">
                  <c:v>652408776</c:v>
                </c:pt>
                <c:pt idx="18">
                  <c:v>667499806</c:v>
                </c:pt>
                <c:pt idx="19">
                  <c:v>682995354</c:v>
                </c:pt>
                <c:pt idx="20">
                  <c:v>698952844</c:v>
                </c:pt>
                <c:pt idx="21">
                  <c:v>715384993</c:v>
                </c:pt>
                <c:pt idx="22">
                  <c:v>732239504</c:v>
                </c:pt>
                <c:pt idx="23">
                  <c:v>749428958</c:v>
                </c:pt>
                <c:pt idx="24">
                  <c:v>766833410</c:v>
                </c:pt>
                <c:pt idx="25">
                  <c:v>784360008</c:v>
                </c:pt>
                <c:pt idx="26">
                  <c:v>801975244</c:v>
                </c:pt>
                <c:pt idx="27">
                  <c:v>819682102</c:v>
                </c:pt>
                <c:pt idx="28">
                  <c:v>837468930</c:v>
                </c:pt>
                <c:pt idx="29">
                  <c:v>855334678</c:v>
                </c:pt>
                <c:pt idx="30">
                  <c:v>873277798</c:v>
                </c:pt>
                <c:pt idx="31">
                  <c:v>891273209</c:v>
                </c:pt>
                <c:pt idx="32">
                  <c:v>909307016</c:v>
                </c:pt>
                <c:pt idx="33">
                  <c:v>927403860</c:v>
                </c:pt>
                <c:pt idx="34">
                  <c:v>945601831</c:v>
                </c:pt>
                <c:pt idx="35">
                  <c:v>963922588</c:v>
                </c:pt>
                <c:pt idx="36">
                  <c:v>982365243</c:v>
                </c:pt>
                <c:pt idx="37">
                  <c:v>1000900030</c:v>
                </c:pt>
                <c:pt idx="38">
                  <c:v>1019483581</c:v>
                </c:pt>
                <c:pt idx="39">
                  <c:v>1038058156</c:v>
                </c:pt>
                <c:pt idx="40">
                  <c:v>1056575549</c:v>
                </c:pt>
                <c:pt idx="41">
                  <c:v>1075000085</c:v>
                </c:pt>
                <c:pt idx="42">
                  <c:v>1093317189</c:v>
                </c:pt>
                <c:pt idx="43">
                  <c:v>1111523144</c:v>
                </c:pt>
                <c:pt idx="44">
                  <c:v>1129623456</c:v>
                </c:pt>
                <c:pt idx="45">
                  <c:v>1147609927</c:v>
                </c:pt>
                <c:pt idx="46">
                  <c:v>1165486291</c:v>
                </c:pt>
                <c:pt idx="47">
                  <c:v>1183209472</c:v>
                </c:pt>
                <c:pt idx="48">
                  <c:v>1200669765</c:v>
                </c:pt>
                <c:pt idx="49">
                  <c:v>1217726215</c:v>
                </c:pt>
                <c:pt idx="50">
                  <c:v>1234281170</c:v>
                </c:pt>
                <c:pt idx="51">
                  <c:v>1250288729</c:v>
                </c:pt>
                <c:pt idx="52">
                  <c:v>1265782790</c:v>
                </c:pt>
                <c:pt idx="53">
                  <c:v>1280846129</c:v>
                </c:pt>
                <c:pt idx="54">
                  <c:v>1295604184</c:v>
                </c:pt>
                <c:pt idx="55">
                  <c:v>1310152403</c:v>
                </c:pt>
                <c:pt idx="56">
                  <c:v>1324509589</c:v>
                </c:pt>
                <c:pt idx="57">
                  <c:v>1338658835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07-4F6E-BE19-6B37C3ED3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315744"/>
        <c:axId val="1837309984"/>
      </c:areaChart>
      <c:catAx>
        <c:axId val="183731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37309984"/>
        <c:crosses val="autoZero"/>
        <c:auto val="1"/>
        <c:lblAlgn val="ctr"/>
        <c:lblOffset val="100"/>
        <c:noMultiLvlLbl val="0"/>
      </c:catAx>
      <c:valAx>
        <c:axId val="1837309984"/>
        <c:scaling>
          <c:orientation val="minMax"/>
        </c:scaling>
        <c:delete val="0"/>
        <c:axPos val="l"/>
        <c:numFmt formatCode="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83731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 vs. Weight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Male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scatter!$F$2:$F$16</c:f>
              <c:numCache>
                <c:formatCode>General</c:formatCode>
                <c:ptCount val="15"/>
                <c:pt idx="0">
                  <c:v>177.8</c:v>
                </c:pt>
                <c:pt idx="1">
                  <c:v>172.72</c:v>
                </c:pt>
                <c:pt idx="2">
                  <c:v>187.96</c:v>
                </c:pt>
                <c:pt idx="3">
                  <c:v>182.88</c:v>
                </c:pt>
                <c:pt idx="4">
                  <c:v>165.1</c:v>
                </c:pt>
                <c:pt idx="5">
                  <c:v>180.34</c:v>
                </c:pt>
                <c:pt idx="6">
                  <c:v>185.42000000000002</c:v>
                </c:pt>
                <c:pt idx="7">
                  <c:v>175.26</c:v>
                </c:pt>
                <c:pt idx="8">
                  <c:v>193.04</c:v>
                </c:pt>
                <c:pt idx="9">
                  <c:v>170.18</c:v>
                </c:pt>
                <c:pt idx="10">
                  <c:v>190.5</c:v>
                </c:pt>
                <c:pt idx="11">
                  <c:v>167.64000000000001</c:v>
                </c:pt>
                <c:pt idx="12">
                  <c:v>177.8</c:v>
                </c:pt>
                <c:pt idx="13">
                  <c:v>160.02000000000001</c:v>
                </c:pt>
                <c:pt idx="14">
                  <c:v>195.58</c:v>
                </c:pt>
              </c:numCache>
            </c:numRef>
          </c:xVal>
          <c:yVal>
            <c:numRef>
              <c:f>scatter!$G$2:$G$16</c:f>
              <c:numCache>
                <c:formatCode>General</c:formatCode>
                <c:ptCount val="15"/>
                <c:pt idx="0">
                  <c:v>78.017887639999998</c:v>
                </c:pt>
                <c:pt idx="1">
                  <c:v>71.667594460000004</c:v>
                </c:pt>
                <c:pt idx="2">
                  <c:v>95.254397699999998</c:v>
                </c:pt>
                <c:pt idx="3">
                  <c:v>88.450512150000009</c:v>
                </c:pt>
                <c:pt idx="4">
                  <c:v>65.770893650000005</c:v>
                </c:pt>
                <c:pt idx="5">
                  <c:v>81.646626600000005</c:v>
                </c:pt>
                <c:pt idx="6">
                  <c:v>92.986435850000007</c:v>
                </c:pt>
                <c:pt idx="7">
                  <c:v>73.93555631000001</c:v>
                </c:pt>
                <c:pt idx="8">
                  <c:v>102.05828325</c:v>
                </c:pt>
                <c:pt idx="9">
                  <c:v>68.946040240000002</c:v>
                </c:pt>
                <c:pt idx="10">
                  <c:v>97.522359550000004</c:v>
                </c:pt>
                <c:pt idx="11">
                  <c:v>67.131670760000006</c:v>
                </c:pt>
                <c:pt idx="12">
                  <c:v>80.739441859999999</c:v>
                </c:pt>
                <c:pt idx="13">
                  <c:v>62.595747060000001</c:v>
                </c:pt>
                <c:pt idx="14">
                  <c:v>104.32624510000001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5-4B00-85B0-D694F5301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35199"/>
        <c:axId val="1720036159"/>
      </c:scatterChart>
      <c:valAx>
        <c:axId val="172003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36159"/>
        <c:crosses val="autoZero"/>
        <c:crossBetween val="midCat"/>
      </c:valAx>
      <c:valAx>
        <c:axId val="172003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3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 vs. Weight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scatter!$B$2:$B$31</c:f>
              <c:numCache>
                <c:formatCode>General</c:formatCode>
                <c:ptCount val="30"/>
                <c:pt idx="0">
                  <c:v>177.8</c:v>
                </c:pt>
                <c:pt idx="1">
                  <c:v>172.72</c:v>
                </c:pt>
                <c:pt idx="2">
                  <c:v>187.96</c:v>
                </c:pt>
                <c:pt idx="3">
                  <c:v>182.88</c:v>
                </c:pt>
                <c:pt idx="4">
                  <c:v>165.1</c:v>
                </c:pt>
                <c:pt idx="5">
                  <c:v>180.34</c:v>
                </c:pt>
                <c:pt idx="6">
                  <c:v>185.42000000000002</c:v>
                </c:pt>
                <c:pt idx="7">
                  <c:v>175.26</c:v>
                </c:pt>
                <c:pt idx="8">
                  <c:v>193.04</c:v>
                </c:pt>
                <c:pt idx="9">
                  <c:v>170.18</c:v>
                </c:pt>
                <c:pt idx="10">
                  <c:v>190.5</c:v>
                </c:pt>
                <c:pt idx="11">
                  <c:v>167.64000000000001</c:v>
                </c:pt>
                <c:pt idx="12">
                  <c:v>177.8</c:v>
                </c:pt>
                <c:pt idx="13">
                  <c:v>160.02000000000001</c:v>
                </c:pt>
                <c:pt idx="14">
                  <c:v>195.58</c:v>
                </c:pt>
                <c:pt idx="15">
                  <c:v>162.56</c:v>
                </c:pt>
                <c:pt idx="16">
                  <c:v>157.47999999999999</c:v>
                </c:pt>
                <c:pt idx="17">
                  <c:v>167.64000000000001</c:v>
                </c:pt>
                <c:pt idx="18">
                  <c:v>172.72</c:v>
                </c:pt>
                <c:pt idx="19">
                  <c:v>152.4</c:v>
                </c:pt>
                <c:pt idx="20">
                  <c:v>165.1</c:v>
                </c:pt>
                <c:pt idx="21">
                  <c:v>160.02000000000001</c:v>
                </c:pt>
                <c:pt idx="22">
                  <c:v>170.18</c:v>
                </c:pt>
                <c:pt idx="23">
                  <c:v>154.94</c:v>
                </c:pt>
                <c:pt idx="24">
                  <c:v>175.26</c:v>
                </c:pt>
                <c:pt idx="25">
                  <c:v>162.56</c:v>
                </c:pt>
                <c:pt idx="26">
                  <c:v>157.47999999999999</c:v>
                </c:pt>
                <c:pt idx="27">
                  <c:v>177.8</c:v>
                </c:pt>
                <c:pt idx="28">
                  <c:v>149.86000000000001</c:v>
                </c:pt>
                <c:pt idx="29">
                  <c:v>167.64000000000001</c:v>
                </c:pt>
              </c:numCache>
            </c:numRef>
          </c:xVal>
          <c:yVal>
            <c:numRef>
              <c:f>scatter!$C$2:$C$31</c:f>
              <c:numCache>
                <c:formatCode>General</c:formatCode>
                <c:ptCount val="30"/>
                <c:pt idx="0">
                  <c:v>78.017887639999998</c:v>
                </c:pt>
                <c:pt idx="1">
                  <c:v>71.667594460000004</c:v>
                </c:pt>
                <c:pt idx="2">
                  <c:v>95.254397699999998</c:v>
                </c:pt>
                <c:pt idx="3">
                  <c:v>88.450512150000009</c:v>
                </c:pt>
                <c:pt idx="4">
                  <c:v>65.770893650000005</c:v>
                </c:pt>
                <c:pt idx="5">
                  <c:v>81.646626600000005</c:v>
                </c:pt>
                <c:pt idx="6">
                  <c:v>92.986435850000007</c:v>
                </c:pt>
                <c:pt idx="7">
                  <c:v>73.93555631000001</c:v>
                </c:pt>
                <c:pt idx="8">
                  <c:v>102.05828325</c:v>
                </c:pt>
                <c:pt idx="9">
                  <c:v>68.946040240000002</c:v>
                </c:pt>
                <c:pt idx="10">
                  <c:v>97.522359550000004</c:v>
                </c:pt>
                <c:pt idx="11">
                  <c:v>67.131670760000006</c:v>
                </c:pt>
                <c:pt idx="12">
                  <c:v>80.739441859999999</c:v>
                </c:pt>
                <c:pt idx="13">
                  <c:v>62.595747060000001</c:v>
                </c:pt>
                <c:pt idx="14">
                  <c:v>104.32624510000001</c:v>
                </c:pt>
                <c:pt idx="15">
                  <c:v>58.967008100000001</c:v>
                </c:pt>
                <c:pt idx="16">
                  <c:v>53.523899660000005</c:v>
                </c:pt>
                <c:pt idx="17">
                  <c:v>64.410116540000004</c:v>
                </c:pt>
                <c:pt idx="18">
                  <c:v>70.306817350000003</c:v>
                </c:pt>
                <c:pt idx="19">
                  <c:v>50.802345440000003</c:v>
                </c:pt>
                <c:pt idx="20">
                  <c:v>62.595747060000001</c:v>
                </c:pt>
                <c:pt idx="21">
                  <c:v>56.699046250000002</c:v>
                </c:pt>
                <c:pt idx="22">
                  <c:v>67.131670760000006</c:v>
                </c:pt>
                <c:pt idx="23">
                  <c:v>52.163122550000004</c:v>
                </c:pt>
                <c:pt idx="24">
                  <c:v>72.574779200000009</c:v>
                </c:pt>
                <c:pt idx="25">
                  <c:v>60.327785210000002</c:v>
                </c:pt>
                <c:pt idx="26">
                  <c:v>54.431084400000003</c:v>
                </c:pt>
                <c:pt idx="27">
                  <c:v>74.842741050000001</c:v>
                </c:pt>
                <c:pt idx="28">
                  <c:v>48.98797596</c:v>
                </c:pt>
                <c:pt idx="29">
                  <c:v>63.502931800000006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9-4328-96FB-932D623B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28479"/>
        <c:axId val="1720034239"/>
      </c:scatterChart>
      <c:valAx>
        <c:axId val="1720028479"/>
        <c:scaling>
          <c:orientation val="minMax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34239"/>
        <c:crosses val="autoZero"/>
        <c:crossBetween val="midCat"/>
      </c:valAx>
      <c:valAx>
        <c:axId val="1720034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2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plotSurface>
          <cx:spPr>
            <a:noFill/>
          </cx:spPr>
        </cx:plotSurface>
        <cx:series layoutId="waterfall" uniqueId="{00000000-2C05-4C97-AD5C-60117F7EEE6B}">
          <cx:tx>
            <cx:txData>
              <cx:f>_xlchart.v1.1</cx:f>
              <cx:v>Value</cx:v>
            </cx:txData>
          </cx:tx>
          <cx:dataPt idx="0">
            <cx:spPr>
              <a:solidFill>
                <a:srgbClr val="0D1A63"/>
              </a:solidFill>
            </cx:spPr>
          </cx:dataPt>
          <cx:dataPt idx="1">
            <cx:spPr>
              <a:solidFill>
                <a:srgbClr val="A8B4DE"/>
              </a:solidFill>
            </cx:spPr>
          </cx:dataPt>
          <cx:dataPt idx="2">
            <cx:spPr>
              <a:solidFill>
                <a:srgbClr val="0D1A63"/>
              </a:solidFill>
            </cx:spPr>
          </cx:dataPt>
          <cx:dataPt idx="3">
            <cx:spPr>
              <a:solidFill>
                <a:srgbClr val="A8B4DE"/>
              </a:solidFill>
            </cx:spPr>
          </cx:dataPt>
          <cx:dataId val="0"/>
          <cx:layoutPr>
            <cx:subtotals/>
          </cx:layoutPr>
        </cx:series>
      </cx:plotAreaRegion>
      <cx:axis id="0" hidden="1">
        <cx:catScaling gapWidth="0.150000006"/>
        <cx:tickLabels/>
      </cx:axis>
      <cx:axis id="1" hidden="1">
        <cx:valScaling/>
        <cx:tickLabels/>
      </cx:axis>
    </cx:plotArea>
  </cx:chart>
  <cx:spPr>
    <a:solidFill>
      <a:srgbClr val="F5F6FA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3F3011FD-4AD9-4D76-8538-5C5766646904}">
          <cx:tx>
            <cx:txData>
              <cx:f>_xlchart.v2.4</cx:f>
              <cx:v>Count</cx:v>
            </cx:txData>
          </cx:tx>
          <cx:spPr>
            <a:solidFill>
              <a:srgbClr val="0D1A63"/>
            </a:solidFill>
          </cx:spPr>
          <cx:dataPt idx="1">
            <cx:spPr>
              <a:solidFill>
                <a:srgbClr val="5B73C4"/>
              </a:solidFill>
            </cx:spPr>
          </cx:dataPt>
          <cx:dataPt idx="2">
            <cx:spPr>
              <a:solidFill>
                <a:srgbClr val="A8B4DE"/>
              </a:solidFill>
            </cx:spPr>
          </cx:dataPt>
          <cx:dataPt idx="3">
            <cx:spPr>
              <a:solidFill>
                <a:srgbClr val="5B73C4"/>
              </a:solidFill>
            </cx:spPr>
          </cx:dataPt>
          <cx:dataPt idx="4">
            <cx:spPr>
              <a:solidFill>
                <a:srgbClr val="A8B4DE"/>
              </a:solidFill>
            </cx:spPr>
          </cx:dataPt>
          <cx:dataId val="0"/>
        </cx:series>
      </cx:plotAreaRegion>
      <cx:axis id="0" hidden="1">
        <cx:catScaling gapWidth="0.0599999987"/>
        <cx:tickLabels/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Sales by Category</cx:v>
        </cx:txData>
      </cx:tx>
      <cx:txPr>
        <a:bodyPr vertOverflow="overflow" horzOverflow="overflow" wrap="square" lIns="0" tIns="0" rIns="0" bIns="0"/>
        <a:lstStyle/>
        <a:p>
          <a:pPr algn="ctr" rtl="0">
            <a:defRPr sz="1300" b="0" i="0">
              <a:solidFill>
                <a:srgbClr val="333333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300" b="0">
              <a:solidFill>
                <a:srgbClr val="333333"/>
              </a:solidFill>
            </a:rPr>
            <a:t>Sales by Category</a:t>
          </a:r>
        </a:p>
      </cx:txPr>
    </cx:title>
    <cx:plotArea>
      <cx:plotAreaRegion>
        <cx:series layoutId="treemap" uniqueId="{00000001-EE71-40D9-9EB3-BA14A4361BBC}">
          <cx:tx>
            <cx:txData>
              <cx:f>_xlchart.v1.10</cx:f>
              <cx:v>Value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900"/>
              </a:p>
            </cx:txPr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55555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900">
            <a:solidFill>
              <a:srgbClr val="555555"/>
            </a:solidFill>
          </a:endParaRPr>
        </a:p>
      </cx:txPr>
    </cx:legend>
  </cx:chart>
  <cx:spPr>
    <a:solidFill>
      <a:srgbClr val="FFFFFF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F5F6FA"/>
              </a:solidFill>
            </a:defRPr>
          </a:pPr>
          <a:r>
            <a:rPr lang="en-US" sz="1400" b="0" i="0" u="none" strike="noStrike" baseline="0">
              <a:solidFill>
                <a:srgbClr val="F5F6FA"/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series layoutId="treemap" uniqueId="{00000000-9DAB-4151-8EF1-48D2B12189FF}">
          <cx:tx>
            <cx:txData>
              <cx:f>_xlchart.v1.7</cx:f>
              <cx:v>Value</cx:v>
            </cx:txData>
          </cx:tx>
          <cx:dataPt idx="0">
            <cx:spPr>
              <a:solidFill>
                <a:srgbClr val="0D1A63"/>
              </a:solidFill>
            </cx:spPr>
          </cx:dataPt>
          <cx:dataPt idx="1">
            <cx:spPr>
              <a:solidFill>
                <a:srgbClr val="5B73C4"/>
              </a:solidFill>
            </cx:spPr>
          </cx:dataPt>
          <cx:dataPt idx="2">
            <cx:spPr>
              <a:solidFill>
                <a:srgbClr val="7E7E7E"/>
              </a:solidFill>
            </cx:spPr>
          </cx:dataPt>
          <cx:dataPt idx="3">
            <cx:spPr>
              <a:solidFill>
                <a:srgbClr val="A8B4DE">
                  <a:alpha val="80000"/>
                </a:srgbClr>
              </a:solidFill>
            </cx:spPr>
          </cx:dataPt>
          <cx:dataPt idx="4">
            <cx:spPr>
              <a:solidFill>
                <a:srgbClr val="A8B4DE"/>
              </a:solidFill>
            </cx:spPr>
          </cx:dataPt>
          <cx:dataId val="0"/>
          <cx:layoutPr>
            <cx:parentLabelLayout val="overlapping"/>
          </cx:layoutPr>
        </cx:series>
      </cx:plotAreaRegion>
    </cx:plotArea>
  </cx:chart>
  <cx:spPr>
    <a:solidFill>
      <a:srgbClr val="F5F6FA"/>
    </a:solidFill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waterfall" uniqueId="{00000000-9E38-47B0-B1EA-C51798F7C73D}">
          <cx:tx>
            <cx:txData>
              <cx:f>_xlchart.v1.13</cx:f>
              <cx:v>Amount ($000s)</cx:v>
            </cx:txData>
          </cx:tx>
          <cx:spPr>
            <a:solidFill>
              <a:srgbClr val="FAB69B"/>
            </a:solidFill>
          </cx:spPr>
          <cx:dataPt idx="0">
            <cx:spPr>
              <a:solidFill>
                <a:srgbClr val="5B73C4"/>
              </a:solidFill>
            </cx:spPr>
          </cx:dataPt>
          <cx:dataPt idx="6">
            <cx:spPr>
              <a:solidFill>
                <a:srgbClr val="5B73C4"/>
              </a:solidFill>
            </cx:spPr>
          </cx:dataPt>
          <cx:dataPt idx="9">
            <cx:spPr>
              <a:solidFill>
                <a:srgbClr val="0D1A63"/>
              </a:solidFill>
            </cx:spPr>
          </cx:dataPt>
          <cx:dataLabels pos="outEnd">
            <cx:numFmt formatCode="0.0,,&quot;M&quot;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>
                  <a:latin typeface="Roboto" panose="02000000000000000000" pitchFamily="2" charset="0"/>
                  <a:ea typeface="Roboto" panose="02000000000000000000" pitchFamily="2" charset="0"/>
                </a:endParaRPr>
              </a:p>
            </cx:txPr>
            <cx:visibility seriesName="0" categoryName="0" value="1"/>
            <cx:separator>, </cx:separator>
            <cx:dataLabel idx="9">
              <cx:numFmt formatCode="0.0,,&quot;M&quot;" sourceLinked="0"/>
              <cx:txPr>
                <a:bodyPr vertOverflow="overflow" horzOverflow="overflow" wrap="square" lIns="0" tIns="0" rIns="0" bIns="0"/>
                <a:lstStyle/>
                <a:p>
                  <a:pPr algn="ctr" rtl="0">
                    <a:defRPr b="1"/>
                  </a:pPr>
                  <a:r>
                    <a:rPr lang="en-US" b="1">
                      <a:latin typeface="Roboto" panose="02000000000000000000" pitchFamily="2" charset="0"/>
                      <a:ea typeface="Roboto" panose="02000000000000000000" pitchFamily="2" charset="0"/>
                    </a:rPr>
                    <a:t>2.9M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>
              <cx:idx val="9"/>
            </cx:subtotals>
          </cx:layoutPr>
        </cx:series>
      </cx:plotAreaRegion>
      <cx:axis id="0">
        <cx:catScaling gapWidth="0.349999994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 sz="105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Roboto" panose="02000000000000000000" pitchFamily="2" charset="0"/>
              <a:ea typeface="Roboto" panose="02000000000000000000" pitchFamily="2" charset="0"/>
            </a:endParaRPr>
          </a:p>
        </cx:txPr>
      </cx:axis>
      <cx:axis id="1">
        <cx:valScaling/>
        <cx:tickLabels/>
        <cx:numFmt formatCode="0,,&quot;M&quot;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>
              <a:latin typeface="Roboto" panose="02000000000000000000" pitchFamily="2" charset="0"/>
              <a:ea typeface="Roboto" panose="02000000000000000000" pitchFamily="2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microsoft.com/office/2014/relationships/chartEx" Target="../charts/chartEx2.xml"/><Relationship Id="rId18" Type="http://schemas.openxmlformats.org/officeDocument/2006/relationships/image" Target="../media/image3.png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microsoft.com/office/2014/relationships/chartEx" Target="../charts/chartEx1.xml"/><Relationship Id="rId17" Type="http://schemas.openxmlformats.org/officeDocument/2006/relationships/chart" Target="../charts/chart13.xml"/><Relationship Id="rId2" Type="http://schemas.openxmlformats.org/officeDocument/2006/relationships/chart" Target="../charts/chart4.xml"/><Relationship Id="rId16" Type="http://schemas.microsoft.com/office/2014/relationships/chartEx" Target="../charts/chartEx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image" Target="../media/image2.png"/><Relationship Id="rId5" Type="http://schemas.openxmlformats.org/officeDocument/2006/relationships/chart" Target="../charts/chart7.xml"/><Relationship Id="rId15" Type="http://schemas.microsoft.com/office/2014/relationships/chartEx" Target="../charts/chartEx3.xml"/><Relationship Id="rId10" Type="http://schemas.openxmlformats.org/officeDocument/2006/relationships/chart" Target="../charts/chart11.xml"/><Relationship Id="rId4" Type="http://schemas.openxmlformats.org/officeDocument/2006/relationships/chart" Target="../charts/chart6.xml"/><Relationship Id="rId9" Type="http://schemas.openxmlformats.org/officeDocument/2006/relationships/image" Target="../media/image1.png"/><Relationship Id="rId1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266059</xdr:colOff>
      <xdr:row>2</xdr:row>
      <xdr:rowOff>80241</xdr:rowOff>
    </xdr:from>
    <xdr:to>
      <xdr:col>18</xdr:col>
      <xdr:colOff>218438</xdr:colOff>
      <xdr:row>16</xdr:row>
      <xdr:rowOff>127209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377361D-4E97-962B-0AD6-BCD220A56E6A}"/>
            </a:ext>
          </a:extLst>
        </xdr:cNvPr>
        <xdr:cNvGrpSpPr/>
      </xdr:nvGrpSpPr>
      <xdr:grpSpPr>
        <a:xfrm>
          <a:off x="7104521" y="461241"/>
          <a:ext cx="4226417" cy="2674891"/>
          <a:chOff x="8018078" y="1146448"/>
          <a:chExt cx="4228772" cy="2740244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2165AA5-1B8D-53C6-C813-5F8CE4228D25}"/>
              </a:ext>
            </a:extLst>
          </xdr:cNvPr>
          <xdr:cNvGraphicFramePr/>
        </xdr:nvGraphicFramePr>
        <xdr:xfrm>
          <a:off x="8018078" y="1146448"/>
          <a:ext cx="4228772" cy="27402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FA548759-ACD2-A9C9-0275-B37A38790A70}"/>
              </a:ext>
            </a:extLst>
          </xdr:cNvPr>
          <xdr:cNvCxnSpPr/>
        </xdr:nvCxnSpPr>
        <xdr:spPr>
          <a:xfrm>
            <a:off x="11148848" y="1891205"/>
            <a:ext cx="371475" cy="0"/>
          </a:xfrm>
          <a:prstGeom prst="line">
            <a:avLst/>
          </a:prstGeom>
          <a:ln w="9525">
            <a:solidFill>
              <a:srgbClr val="7E7E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A218037F-1A04-4B13-BED7-29956574CAAC}"/>
              </a:ext>
            </a:extLst>
          </xdr:cNvPr>
          <xdr:cNvCxnSpPr/>
        </xdr:nvCxnSpPr>
        <xdr:spPr>
          <a:xfrm flipV="1">
            <a:off x="10490309" y="2226879"/>
            <a:ext cx="1018519" cy="7226"/>
          </a:xfrm>
          <a:prstGeom prst="line">
            <a:avLst/>
          </a:prstGeom>
          <a:ln w="9525">
            <a:solidFill>
              <a:srgbClr val="7E7E7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4F0C07C-A217-A9CD-8CDA-CD2C48EFB15F}"/>
              </a:ext>
            </a:extLst>
          </xdr:cNvPr>
          <xdr:cNvSpPr txBox="1"/>
        </xdr:nvSpPr>
        <xdr:spPr>
          <a:xfrm>
            <a:off x="11344604" y="1931276"/>
            <a:ext cx="343235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68048"/>
                </a:solidFill>
                <a:latin typeface="Roboto" panose="02000000000000000000" pitchFamily="2" charset="0"/>
                <a:ea typeface="Roboto" panose="02000000000000000000" pitchFamily="2" charset="0"/>
              </a:rPr>
              <a:t>16</a:t>
            </a:r>
          </a:p>
        </xdr:txBody>
      </xdr:sp>
    </xdr:grpSp>
    <xdr:clientData/>
  </xdr:twoCellAnchor>
  <xdr:twoCellAnchor>
    <xdr:from>
      <xdr:col>0</xdr:col>
      <xdr:colOff>414775</xdr:colOff>
      <xdr:row>11</xdr:row>
      <xdr:rowOff>164318</xdr:rowOff>
    </xdr:from>
    <xdr:to>
      <xdr:col>7</xdr:col>
      <xdr:colOff>281928</xdr:colOff>
      <xdr:row>26</xdr:row>
      <xdr:rowOff>47062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9C7103-32FB-7ACB-7DB9-162F0865C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52388</xdr:colOff>
      <xdr:row>1</xdr:row>
      <xdr:rowOff>4761</xdr:rowOff>
    </xdr:from>
    <xdr:to>
      <xdr:col>11</xdr:col>
      <xdr:colOff>447676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08145-48A4-A370-5783-1F831FB1C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514351</xdr:colOff>
      <xdr:row>1</xdr:row>
      <xdr:rowOff>14287</xdr:rowOff>
    </xdr:from>
    <xdr:to>
      <xdr:col>16</xdr:col>
      <xdr:colOff>209551</xdr:colOff>
      <xdr:row>15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D3045-F1FB-A7C4-E90E-EC585A307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276225</xdr:colOff>
      <xdr:row>0</xdr:row>
      <xdr:rowOff>190499</xdr:rowOff>
    </xdr:from>
    <xdr:to>
      <xdr:col>20</xdr:col>
      <xdr:colOff>566738</xdr:colOff>
      <xdr:row>16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E9AB43-A54E-41AF-95CF-BC4AC756E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90487</xdr:colOff>
      <xdr:row>1</xdr:row>
      <xdr:rowOff>4762</xdr:rowOff>
    </xdr:from>
    <xdr:to>
      <xdr:col>25</xdr:col>
      <xdr:colOff>323850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CE9AF5-FBB3-8636-66B4-3D77F5B58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</xdr:colOff>
      <xdr:row>16</xdr:row>
      <xdr:rowOff>85725</xdr:rowOff>
    </xdr:from>
    <xdr:to>
      <xdr:col>11</xdr:col>
      <xdr:colOff>452438</xdr:colOff>
      <xdr:row>31</xdr:row>
      <xdr:rowOff>80964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BC1BCB-3060-4E52-B764-CD3FD231B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76200</xdr:colOff>
      <xdr:row>33</xdr:row>
      <xdr:rowOff>104775</xdr:rowOff>
    </xdr:from>
    <xdr:to>
      <xdr:col>11</xdr:col>
      <xdr:colOff>419100</xdr:colOff>
      <xdr:row>48</xdr:row>
      <xdr:rowOff>100013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F8DF8E-95B7-4AB3-B429-823416EFB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33</xdr:row>
      <xdr:rowOff>95250</xdr:rowOff>
    </xdr:from>
    <xdr:to>
      <xdr:col>16</xdr:col>
      <xdr:colOff>342900</xdr:colOff>
      <xdr:row>48</xdr:row>
      <xdr:rowOff>90488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AD848E-1BA3-4DCA-BDE1-292AF3499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76200</xdr:colOff>
      <xdr:row>50</xdr:row>
      <xdr:rowOff>161925</xdr:rowOff>
    </xdr:from>
    <xdr:to>
      <xdr:col>11</xdr:col>
      <xdr:colOff>419100</xdr:colOff>
      <xdr:row>65</xdr:row>
      <xdr:rowOff>157163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90E9264-6759-DF8B-C5D6-3C9C85B5C435}"/>
            </a:ext>
          </a:extLst>
        </xdr:cNvPr>
        <xdr:cNvGrpSpPr/>
      </xdr:nvGrpSpPr>
      <xdr:grpSpPr>
        <a:xfrm>
          <a:off x="4214906" y="9500160"/>
          <a:ext cx="2793253" cy="2796709"/>
          <a:chOff x="8534400" y="10668000"/>
          <a:chExt cx="2781300" cy="2852738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6081BB0-4679-4D27-A0A6-02464469E521}"/>
              </a:ext>
            </a:extLst>
          </xdr:cNvPr>
          <xdr:cNvGraphicFramePr>
            <a:graphicFrameLocks/>
          </xdr:cNvGraphicFramePr>
        </xdr:nvGraphicFramePr>
        <xdr:xfrm>
          <a:off x="8534400" y="10668000"/>
          <a:ext cx="2781300" cy="2852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F509E5C4-517D-5B64-D294-1F4595DC75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62976" y="10877550"/>
            <a:ext cx="2705100" cy="25836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16</xdr:col>
      <xdr:colOff>590550</xdr:colOff>
      <xdr:row>33</xdr:row>
      <xdr:rowOff>114300</xdr:rowOff>
    </xdr:from>
    <xdr:to>
      <xdr:col>21</xdr:col>
      <xdr:colOff>323850</xdr:colOff>
      <xdr:row>48</xdr:row>
      <xdr:rowOff>109538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140ADE9-703A-6C89-4FC3-5AAAF6A73A8D}"/>
            </a:ext>
          </a:extLst>
        </xdr:cNvPr>
        <xdr:cNvGrpSpPr/>
      </xdr:nvGrpSpPr>
      <xdr:grpSpPr>
        <a:xfrm>
          <a:off x="10242550" y="6277535"/>
          <a:ext cx="2796241" cy="2796709"/>
          <a:chOff x="10868025" y="6400800"/>
          <a:chExt cx="2781300" cy="2852738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B2949B6F-3995-4E0E-9878-DE8E9A0EBEB1}"/>
              </a:ext>
            </a:extLst>
          </xdr:cNvPr>
          <xdr:cNvGraphicFramePr>
            <a:graphicFrameLocks/>
          </xdr:cNvGraphicFramePr>
        </xdr:nvGraphicFramePr>
        <xdr:xfrm>
          <a:off x="10868025" y="6400800"/>
          <a:ext cx="2781300" cy="2852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ABE4096-8496-77D3-B31A-FBE3AD00E09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982325" y="6829425"/>
            <a:ext cx="2663189" cy="22193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11</xdr:col>
      <xdr:colOff>504826</xdr:colOff>
      <xdr:row>16</xdr:row>
      <xdr:rowOff>104776</xdr:rowOff>
    </xdr:from>
    <xdr:to>
      <xdr:col>16</xdr:col>
      <xdr:colOff>200025</xdr:colOff>
      <xdr:row>31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437F533E-2FA2-D1DB-E632-F8EB8F8B7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0726" y="3051176"/>
              <a:ext cx="2743199" cy="275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393885</xdr:colOff>
      <xdr:row>74</xdr:row>
      <xdr:rowOff>141474</xdr:rowOff>
    </xdr:from>
    <xdr:to>
      <xdr:col>27</xdr:col>
      <xdr:colOff>212911</xdr:colOff>
      <xdr:row>89</xdr:row>
      <xdr:rowOff>174812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A641DC5D-D8A9-C5F3-2AF7-F917C9498E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6185" y="13768574"/>
              <a:ext cx="4086226" cy="27955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266699</xdr:colOff>
      <xdr:row>16</xdr:row>
      <xdr:rowOff>157162</xdr:rowOff>
    </xdr:from>
    <xdr:to>
      <xdr:col>20</xdr:col>
      <xdr:colOff>581024</xdr:colOff>
      <xdr:row>31</xdr:row>
      <xdr:rowOff>95250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EC01E9C-E73D-792B-F368-FF7841653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349250</xdr:colOff>
      <xdr:row>186</xdr:row>
      <xdr:rowOff>38100</xdr:rowOff>
    </xdr:from>
    <xdr:to>
      <xdr:col>16</xdr:col>
      <xdr:colOff>193675</xdr:colOff>
      <xdr:row>208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289A3C1A-CD66-31C6-5B73-51561D2E43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9950" y="35661600"/>
              <a:ext cx="6397625" cy="417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96270</xdr:colOff>
      <xdr:row>16</xdr:row>
      <xdr:rowOff>137347</xdr:rowOff>
    </xdr:from>
    <xdr:to>
      <xdr:col>25</xdr:col>
      <xdr:colOff>336176</xdr:colOff>
      <xdr:row>31</xdr:row>
      <xdr:rowOff>89647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E8160011-25D3-BFD2-BF47-955F5BDF2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58170" y="3083747"/>
              <a:ext cx="2678306" cy="27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515470</xdr:colOff>
      <xdr:row>50</xdr:row>
      <xdr:rowOff>156882</xdr:rowOff>
    </xdr:from>
    <xdr:to>
      <xdr:col>24</xdr:col>
      <xdr:colOff>560294</xdr:colOff>
      <xdr:row>65</xdr:row>
      <xdr:rowOff>152120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B928238C-7D83-79A5-4528-4B7448603808}"/>
            </a:ext>
          </a:extLst>
        </xdr:cNvPr>
        <xdr:cNvGrpSpPr/>
      </xdr:nvGrpSpPr>
      <xdr:grpSpPr>
        <a:xfrm>
          <a:off x="10167470" y="9495117"/>
          <a:ext cx="4945530" cy="2796709"/>
          <a:chOff x="9939617" y="9681882"/>
          <a:chExt cx="4885765" cy="2852738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31211B92-F467-4530-AE38-9EF3896EE868}"/>
              </a:ext>
            </a:extLst>
          </xdr:cNvPr>
          <xdr:cNvGraphicFramePr>
            <a:graphicFrameLocks/>
          </xdr:cNvGraphicFramePr>
        </xdr:nvGraphicFramePr>
        <xdr:xfrm>
          <a:off x="9939617" y="9681882"/>
          <a:ext cx="4885765" cy="28527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C0CA5BA9-4962-A3AE-D71A-C4CCAF3C34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051675" y="9863243"/>
            <a:ext cx="4661649" cy="260890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19</xdr:row>
      <xdr:rowOff>52387</xdr:rowOff>
    </xdr:from>
    <xdr:to>
      <xdr:col>20</xdr:col>
      <xdr:colOff>19050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BBDAE-8C7E-B938-47C5-33CF4133B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</xdr:row>
      <xdr:rowOff>4762</xdr:rowOff>
    </xdr:from>
    <xdr:to>
      <xdr:col>14</xdr:col>
      <xdr:colOff>400050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58216-8D12-7774-F607-E5CFF7942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361950</xdr:colOff>
      <xdr:row>2</xdr:row>
      <xdr:rowOff>0</xdr:rowOff>
    </xdr:from>
    <xdr:to>
      <xdr:col>19</xdr:col>
      <xdr:colOff>142875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D2DEA-409B-4B29-9032-0EA0FCDB6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542925</xdr:colOff>
      <xdr:row>2</xdr:row>
      <xdr:rowOff>9525</xdr:rowOff>
    </xdr:from>
    <xdr:to>
      <xdr:col>23</xdr:col>
      <xdr:colOff>323850</xdr:colOff>
      <xdr:row>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28FFE-5B1F-4597-A12E-B55809F56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9525</xdr:colOff>
      <xdr:row>0</xdr:row>
      <xdr:rowOff>114300</xdr:rowOff>
    </xdr:from>
    <xdr:ext cx="1065613" cy="2769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8CA8F0-C1F3-9EE8-3FC2-36BE9DC35933}"/>
            </a:ext>
          </a:extLst>
        </xdr:cNvPr>
        <xdr:cNvSpPr txBox="1"/>
      </xdr:nvSpPr>
      <xdr:spPr>
        <a:xfrm>
          <a:off x="6105525" y="114300"/>
          <a:ext cx="1065613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Single</a:t>
          </a:r>
          <a:r>
            <a:rPr lang="en-US" sz="1200" baseline="0">
              <a:latin typeface="Roboto" panose="02000000000000000000" pitchFamily="2" charset="0"/>
              <a:ea typeface="Roboto" panose="02000000000000000000" pitchFamily="2" charset="0"/>
            </a:rPr>
            <a:t> Series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542925</xdr:colOff>
      <xdr:row>2</xdr:row>
      <xdr:rowOff>9525</xdr:rowOff>
    </xdr:from>
    <xdr:to>
      <xdr:col>23</xdr:col>
      <xdr:colOff>323850</xdr:colOff>
      <xdr:row>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79AA7A-58A5-478D-B6BC-220E9974B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541611</xdr:colOff>
      <xdr:row>0</xdr:row>
      <xdr:rowOff>173421</xdr:rowOff>
    </xdr:from>
    <xdr:ext cx="1065613" cy="2769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18BCDC-BA2F-4A06-99CC-7DBF57220A8F}"/>
            </a:ext>
          </a:extLst>
        </xdr:cNvPr>
        <xdr:cNvSpPr txBox="1"/>
      </xdr:nvSpPr>
      <xdr:spPr>
        <a:xfrm>
          <a:off x="11538059" y="173421"/>
          <a:ext cx="1065613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Single</a:t>
          </a:r>
          <a:r>
            <a:rPr lang="en-US" sz="1200" baseline="0">
              <a:latin typeface="Roboto" panose="02000000000000000000" pitchFamily="2" charset="0"/>
              <a:ea typeface="Roboto" panose="02000000000000000000" pitchFamily="2" charset="0"/>
            </a:rPr>
            <a:t> Series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</xdr:row>
      <xdr:rowOff>4762</xdr:rowOff>
    </xdr:from>
    <xdr:to>
      <xdr:col>14</xdr:col>
      <xdr:colOff>400050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21443-9A69-49B8-ABB3-073F0F79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361950</xdr:colOff>
      <xdr:row>2</xdr:row>
      <xdr:rowOff>0</xdr:rowOff>
    </xdr:from>
    <xdr:to>
      <xdr:col>19</xdr:col>
      <xdr:colOff>142875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193B9-A46F-4A78-84AD-F8E084303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542925</xdr:colOff>
      <xdr:row>2</xdr:row>
      <xdr:rowOff>9525</xdr:rowOff>
    </xdr:from>
    <xdr:to>
      <xdr:col>23</xdr:col>
      <xdr:colOff>323850</xdr:colOff>
      <xdr:row>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C7F81-3298-4FA6-8522-8BB48FD6E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9525</xdr:colOff>
      <xdr:row>0</xdr:row>
      <xdr:rowOff>114300</xdr:rowOff>
    </xdr:from>
    <xdr:ext cx="1065613" cy="2769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96ABED-9C6C-454E-9AD6-0A522EDF148B}"/>
            </a:ext>
          </a:extLst>
        </xdr:cNvPr>
        <xdr:cNvSpPr txBox="1"/>
      </xdr:nvSpPr>
      <xdr:spPr>
        <a:xfrm>
          <a:off x="6105525" y="114300"/>
          <a:ext cx="1065613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latin typeface="Roboto" panose="02000000000000000000" pitchFamily="2" charset="0"/>
              <a:ea typeface="Roboto" panose="02000000000000000000" pitchFamily="2" charset="0"/>
            </a:rPr>
            <a:t>Single</a:t>
          </a:r>
          <a:r>
            <a:rPr lang="en-US" sz="1200" baseline="0">
              <a:latin typeface="Roboto" panose="02000000000000000000" pitchFamily="2" charset="0"/>
              <a:ea typeface="Roboto" panose="02000000000000000000" pitchFamily="2" charset="0"/>
            </a:rPr>
            <a:t> Series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223837</xdr:colOff>
      <xdr:row>19</xdr:row>
      <xdr:rowOff>52387</xdr:rowOff>
    </xdr:from>
    <xdr:to>
      <xdr:col>18</xdr:col>
      <xdr:colOff>528637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EA3B0-1C20-317F-8910-F7660EF2C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100012</xdr:colOff>
      <xdr:row>18</xdr:row>
      <xdr:rowOff>176212</xdr:rowOff>
    </xdr:from>
    <xdr:to>
      <xdr:col>16</xdr:col>
      <xdr:colOff>238125</xdr:colOff>
      <xdr:row>33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692BF-8A39-104D-3CF7-B05B0694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361950</xdr:colOff>
      <xdr:row>15</xdr:row>
      <xdr:rowOff>152400</xdr:rowOff>
    </xdr:from>
    <xdr:to>
      <xdr:col>16</xdr:col>
      <xdr:colOff>76200</xdr:colOff>
      <xdr:row>18</xdr:row>
      <xdr:rowOff>42565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71045123-A720-057E-CD38-3AF9104D08B6}"/>
            </a:ext>
          </a:extLst>
        </xdr:cNvPr>
        <xdr:cNvSpPr txBox="1"/>
      </xdr:nvSpPr>
      <xdr:spPr>
        <a:xfrm>
          <a:off x="8458200" y="3009900"/>
          <a:ext cx="2762250" cy="461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 baseline="0">
              <a:solidFill>
                <a:srgbClr val="F68048"/>
              </a:solidFill>
              <a:latin typeface="Roboto" panose="02000000000000000000" pitchFamily="2" charset="0"/>
              <a:ea typeface="Roboto" panose="02000000000000000000" pitchFamily="2" charset="0"/>
            </a:rPr>
            <a:t>86% </a:t>
          </a:r>
          <a:r>
            <a:rPr lang="en-US" sz="1200" b="0" baseline="0">
              <a:solidFill>
                <a:srgbClr val="0D1A63"/>
              </a:solidFill>
              <a:latin typeface="Roboto" panose="02000000000000000000" pitchFamily="2" charset="0"/>
              <a:ea typeface="Roboto" panose="02000000000000000000" pitchFamily="2" charset="0"/>
            </a:rPr>
            <a:t>OF OUR STUDENTS PASS THE DRIVING TEST IN </a:t>
          </a:r>
          <a:r>
            <a:rPr lang="en-US" sz="1200" b="1" baseline="0">
              <a:solidFill>
                <a:srgbClr val="F68048"/>
              </a:solidFill>
              <a:latin typeface="Roboto" panose="02000000000000000000" pitchFamily="2" charset="0"/>
              <a:ea typeface="Roboto" panose="02000000000000000000" pitchFamily="2" charset="0"/>
            </a:rPr>
            <a:t>ONE ATTEMPT</a:t>
          </a:r>
        </a:p>
      </xdr:txBody>
    </xdr:sp>
    <xdr:clientData/>
  </xdr:twoCellAnchor>
  <xdr:twoCellAnchor>
    <xdr:from>
      <xdr:col>11</xdr:col>
      <xdr:colOff>352425</xdr:colOff>
      <xdr:row>17</xdr:row>
      <xdr:rowOff>152400</xdr:rowOff>
    </xdr:from>
    <xdr:to>
      <xdr:col>16</xdr:col>
      <xdr:colOff>409575</xdr:colOff>
      <xdr:row>19</xdr:row>
      <xdr:rowOff>48399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216A4143-F1D4-4BE9-BA14-C99089E389CB}"/>
            </a:ext>
          </a:extLst>
        </xdr:cNvPr>
        <xdr:cNvSpPr txBox="1"/>
      </xdr:nvSpPr>
      <xdr:spPr>
        <a:xfrm>
          <a:off x="8448675" y="3390900"/>
          <a:ext cx="3105150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0" i="1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Driving test passed by number of attempts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449716</xdr:colOff>
      <xdr:row>4</xdr:row>
      <xdr:rowOff>16329</xdr:rowOff>
    </xdr:from>
    <xdr:to>
      <xdr:col>16</xdr:col>
      <xdr:colOff>263979</xdr:colOff>
      <xdr:row>16</xdr:row>
      <xdr:rowOff>101370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D32E7-9241-F445-C531-9C3386925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95250</xdr:colOff>
      <xdr:row>18</xdr:row>
      <xdr:rowOff>146539</xdr:rowOff>
    </xdr:from>
    <xdr:to>
      <xdr:col>33</xdr:col>
      <xdr:colOff>339236</xdr:colOff>
      <xdr:row>33</xdr:row>
      <xdr:rowOff>156064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6ABEE-2879-9612-3462-FB96D491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673" y="4623289"/>
          <a:ext cx="3409217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11</xdr:row>
      <xdr:rowOff>0</xdr:rowOff>
    </xdr:from>
    <xdr:to>
      <xdr:col>25</xdr:col>
      <xdr:colOff>504825</xdr:colOff>
      <xdr:row>25</xdr:row>
      <xdr:rowOff>28576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AE7F9A-39E5-4D76-8A98-C283CC307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10</xdr:row>
      <xdr:rowOff>76200</xdr:rowOff>
    </xdr:from>
    <xdr:to>
      <xdr:col>23</xdr:col>
      <xdr:colOff>66675</xdr:colOff>
      <xdr:row>36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E1978A-55ED-45A4-9257-9013A50D5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14</xdr:row>
      <xdr:rowOff>142875</xdr:rowOff>
    </xdr:from>
    <xdr:to>
      <xdr:col>16</xdr:col>
      <xdr:colOff>142875</xdr:colOff>
      <xdr:row>34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1CC90E-770C-1299-C4C6-6D3B5C49A8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1825" y="2771775"/>
              <a:ext cx="55753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1</xdr:row>
      <xdr:rowOff>69850</xdr:rowOff>
    </xdr:from>
    <xdr:to>
      <xdr:col>16</xdr:col>
      <xdr:colOff>292100</xdr:colOff>
      <xdr:row>23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14DE1-2E9C-CD2D-A4F4-06958BD38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520700</xdr:colOff>
      <xdr:row>1</xdr:row>
      <xdr:rowOff>69850</xdr:rowOff>
    </xdr:from>
    <xdr:to>
      <xdr:col>16</xdr:col>
      <xdr:colOff>292100</xdr:colOff>
      <xdr:row>23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E30B1-FBAE-250A-A713-2A231E023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2392C4-0480-4299-8F82-B62F68B4477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8476eb-d913-4a9a-8987-33260d2782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0927-2471-4F39-AB76-57E2EE959C0E}">
  <dimension ref="A1:M30"/>
  <sheetViews>
    <sheetView showGridLines="0" zoomScale="130" zoomScaleNormal="130" workbookViewId="0">
      <selection activeCell="E34" sqref="E34"/>
    </sheetView>
  </sheetViews>
  <sheetFormatPr defaultRowHeight="14.5" x14ac:dyDescent="0.35"/>
  <cols>
    <col min="2" max="2" width="10.453125" customWidth="1"/>
  </cols>
  <sheetData>
    <row r="1" spans="1:5" ht="15" thickBot="1" x14ac:dyDescent="0.4">
      <c r="A1" s="5" t="s">
        <v>0</v>
      </c>
      <c r="B1" s="5" t="s">
        <v>1</v>
      </c>
      <c r="C1" t="s">
        <v>8</v>
      </c>
    </row>
    <row r="2" spans="1:5" ht="15" thickBot="1" x14ac:dyDescent="0.4">
      <c r="A2" s="2" t="s">
        <v>2</v>
      </c>
      <c r="B2" s="2">
        <v>42</v>
      </c>
    </row>
    <row r="3" spans="1:5" ht="15" thickBot="1" x14ac:dyDescent="0.4">
      <c r="A3" s="3" t="s">
        <v>3</v>
      </c>
      <c r="B3" s="3">
        <v>55</v>
      </c>
    </row>
    <row r="4" spans="1:5" ht="15" thickBot="1" x14ac:dyDescent="0.4">
      <c r="A4" s="2" t="s">
        <v>4</v>
      </c>
      <c r="B4" s="2">
        <v>48</v>
      </c>
    </row>
    <row r="5" spans="1:5" ht="15" thickBot="1" x14ac:dyDescent="0.4">
      <c r="A5" s="3" t="s">
        <v>5</v>
      </c>
      <c r="B5" s="3">
        <v>62</v>
      </c>
      <c r="C5">
        <v>62</v>
      </c>
    </row>
    <row r="6" spans="1:5" ht="15" thickBot="1" x14ac:dyDescent="0.4">
      <c r="A6" s="2" t="s">
        <v>6</v>
      </c>
      <c r="B6" s="2">
        <v>78</v>
      </c>
      <c r="C6">
        <v>62</v>
      </c>
      <c r="D6" s="2">
        <v>78</v>
      </c>
    </row>
    <row r="7" spans="1:5" ht="15" thickBot="1" x14ac:dyDescent="0.4">
      <c r="A7" s="4" t="s">
        <v>7</v>
      </c>
      <c r="B7" s="4">
        <v>85</v>
      </c>
      <c r="C7">
        <v>62</v>
      </c>
      <c r="D7" s="2">
        <v>78</v>
      </c>
    </row>
    <row r="8" spans="1:5" ht="15" thickBot="1" x14ac:dyDescent="0.4">
      <c r="A8" s="1"/>
      <c r="C8">
        <v>62</v>
      </c>
      <c r="D8" s="2">
        <v>78</v>
      </c>
      <c r="E8">
        <f>D8-C8</f>
        <v>16</v>
      </c>
    </row>
    <row r="18" spans="2:13" x14ac:dyDescent="0.35">
      <c r="M18" t="s">
        <v>9</v>
      </c>
    </row>
    <row r="19" spans="2:13" x14ac:dyDescent="0.35">
      <c r="M19" t="s">
        <v>12</v>
      </c>
    </row>
    <row r="20" spans="2:13" x14ac:dyDescent="0.35">
      <c r="M20" t="s">
        <v>13</v>
      </c>
    </row>
    <row r="21" spans="2:13" x14ac:dyDescent="0.35">
      <c r="M21" t="s">
        <v>14</v>
      </c>
    </row>
    <row r="22" spans="2:13" x14ac:dyDescent="0.35">
      <c r="M22" t="s">
        <v>15</v>
      </c>
    </row>
    <row r="28" spans="2:13" x14ac:dyDescent="0.35">
      <c r="B28" t="s">
        <v>9</v>
      </c>
    </row>
    <row r="29" spans="2:13" x14ac:dyDescent="0.35">
      <c r="B29" t="s">
        <v>10</v>
      </c>
    </row>
    <row r="30" spans="2:13" x14ac:dyDescent="0.35">
      <c r="B30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4B01-D1AD-4B6C-B16F-8EF846431E20}">
  <dimension ref="B2:X121"/>
  <sheetViews>
    <sheetView showGridLines="0" topLeftCell="A49" zoomScale="85" zoomScaleNormal="85" workbookViewId="0">
      <selection activeCell="O90" sqref="O90"/>
    </sheetView>
  </sheetViews>
  <sheetFormatPr defaultRowHeight="14.5" x14ac:dyDescent="0.35"/>
  <cols>
    <col min="2" max="2" width="16" bestFit="1" customWidth="1"/>
    <col min="3" max="3" width="11.81640625" bestFit="1" customWidth="1"/>
    <col min="4" max="4" width="7.26953125" bestFit="1" customWidth="1"/>
    <col min="5" max="6" width="6" bestFit="1" customWidth="1"/>
    <col min="7" max="7" width="3.26953125" bestFit="1" customWidth="1"/>
  </cols>
  <sheetData>
    <row r="2" spans="2:3" x14ac:dyDescent="0.35">
      <c r="B2" t="s">
        <v>22</v>
      </c>
      <c r="C2" t="s">
        <v>21</v>
      </c>
    </row>
    <row r="3" spans="2:3" x14ac:dyDescent="0.35">
      <c r="B3" t="s">
        <v>16</v>
      </c>
      <c r="C3">
        <v>7</v>
      </c>
    </row>
    <row r="4" spans="2:3" x14ac:dyDescent="0.35">
      <c r="B4" t="s">
        <v>17</v>
      </c>
      <c r="C4">
        <v>8</v>
      </c>
    </row>
    <row r="5" spans="2:3" x14ac:dyDescent="0.35">
      <c r="B5" t="s">
        <v>18</v>
      </c>
      <c r="C5">
        <v>9</v>
      </c>
    </row>
    <row r="6" spans="2:3" x14ac:dyDescent="0.35">
      <c r="B6" t="s">
        <v>19</v>
      </c>
      <c r="C6">
        <v>3</v>
      </c>
    </row>
    <row r="7" spans="2:3" x14ac:dyDescent="0.35">
      <c r="B7" t="s">
        <v>20</v>
      </c>
      <c r="C7">
        <v>5</v>
      </c>
    </row>
    <row r="21" spans="2:4" x14ac:dyDescent="0.35">
      <c r="B21" t="s">
        <v>21</v>
      </c>
      <c r="C21" t="s">
        <v>23</v>
      </c>
      <c r="D21" t="s">
        <v>24</v>
      </c>
    </row>
    <row r="22" spans="2:4" x14ac:dyDescent="0.35">
      <c r="B22">
        <v>4.5</v>
      </c>
      <c r="C22">
        <v>1</v>
      </c>
      <c r="D22">
        <v>5</v>
      </c>
    </row>
    <row r="23" spans="2:4" x14ac:dyDescent="0.35">
      <c r="B23">
        <v>3</v>
      </c>
      <c r="C23">
        <v>1.5</v>
      </c>
      <c r="D23">
        <v>3</v>
      </c>
    </row>
    <row r="24" spans="2:4" x14ac:dyDescent="0.35">
      <c r="B24">
        <v>5</v>
      </c>
      <c r="C24">
        <v>4</v>
      </c>
      <c r="D24">
        <v>0.6</v>
      </c>
    </row>
    <row r="25" spans="2:4" x14ac:dyDescent="0.35">
      <c r="B25">
        <v>1</v>
      </c>
      <c r="C25">
        <v>1.75</v>
      </c>
      <c r="D25">
        <v>0.6</v>
      </c>
    </row>
    <row r="26" spans="2:4" x14ac:dyDescent="0.35">
      <c r="B26">
        <v>2.9</v>
      </c>
      <c r="C26">
        <v>3</v>
      </c>
      <c r="D26">
        <v>0.4</v>
      </c>
    </row>
    <row r="27" spans="2:4" x14ac:dyDescent="0.35">
      <c r="B27">
        <v>3</v>
      </c>
      <c r="C27">
        <v>2.5</v>
      </c>
      <c r="D27">
        <v>0.6</v>
      </c>
    </row>
    <row r="28" spans="2:4" x14ac:dyDescent="0.35">
      <c r="B28">
        <v>2</v>
      </c>
      <c r="C28">
        <v>3</v>
      </c>
      <c r="D28">
        <v>0.5</v>
      </c>
    </row>
    <row r="29" spans="2:4" x14ac:dyDescent="0.35">
      <c r="B29">
        <v>6</v>
      </c>
      <c r="C29">
        <v>4</v>
      </c>
      <c r="D29">
        <v>0.9</v>
      </c>
    </row>
    <row r="30" spans="2:4" x14ac:dyDescent="0.35">
      <c r="B30">
        <v>2</v>
      </c>
      <c r="C30">
        <v>3.25</v>
      </c>
      <c r="D30">
        <v>0.5</v>
      </c>
    </row>
    <row r="31" spans="2:4" x14ac:dyDescent="0.35">
      <c r="B31">
        <v>1</v>
      </c>
      <c r="C31">
        <v>1</v>
      </c>
      <c r="D31">
        <v>0.1</v>
      </c>
    </row>
    <row r="32" spans="2:4" x14ac:dyDescent="0.35">
      <c r="B32">
        <v>2</v>
      </c>
      <c r="C32">
        <v>2</v>
      </c>
      <c r="D32">
        <v>0.6</v>
      </c>
    </row>
    <row r="33" spans="24:24" x14ac:dyDescent="0.35">
      <c r="X33" s="6"/>
    </row>
    <row r="34" spans="24:24" x14ac:dyDescent="0.35">
      <c r="X34" s="6"/>
    </row>
    <row r="35" spans="24:24" x14ac:dyDescent="0.35">
      <c r="X35" s="6"/>
    </row>
    <row r="36" spans="24:24" x14ac:dyDescent="0.35">
      <c r="X36" s="6"/>
    </row>
    <row r="75" spans="2:3" x14ac:dyDescent="0.35">
      <c r="B75" s="7" t="s">
        <v>25</v>
      </c>
      <c r="C75" s="7" t="s">
        <v>26</v>
      </c>
    </row>
    <row r="76" spans="2:3" x14ac:dyDescent="0.35">
      <c r="B76" t="s">
        <v>27</v>
      </c>
      <c r="C76" s="8">
        <v>30000</v>
      </c>
    </row>
    <row r="77" spans="2:3" x14ac:dyDescent="0.35">
      <c r="B77" t="s">
        <v>28</v>
      </c>
      <c r="C77" s="8">
        <v>-12000</v>
      </c>
    </row>
    <row r="78" spans="2:3" x14ac:dyDescent="0.35">
      <c r="B78" t="s">
        <v>31</v>
      </c>
      <c r="C78" s="8">
        <v>3000</v>
      </c>
    </row>
    <row r="79" spans="2:3" x14ac:dyDescent="0.35">
      <c r="B79" t="s">
        <v>30</v>
      </c>
      <c r="C79" s="8">
        <v>-7000</v>
      </c>
    </row>
    <row r="80" spans="2:3" x14ac:dyDescent="0.35">
      <c r="B80" t="s">
        <v>29</v>
      </c>
      <c r="C80" s="8">
        <f>-SUM(C76:C79)</f>
        <v>-14000</v>
      </c>
    </row>
    <row r="84" spans="2:6" x14ac:dyDescent="0.35">
      <c r="B84" s="7" t="s">
        <v>32</v>
      </c>
      <c r="C84" s="7" t="s">
        <v>33</v>
      </c>
    </row>
    <row r="85" spans="2:6" x14ac:dyDescent="0.35">
      <c r="B85" t="s">
        <v>34</v>
      </c>
      <c r="C85" s="8">
        <v>10000</v>
      </c>
    </row>
    <row r="86" spans="2:6" x14ac:dyDescent="0.35">
      <c r="B86" t="s">
        <v>35</v>
      </c>
      <c r="C86" s="8">
        <v>6200</v>
      </c>
    </row>
    <row r="87" spans="2:6" x14ac:dyDescent="0.35">
      <c r="B87" t="s">
        <v>36</v>
      </c>
      <c r="C87" s="8">
        <v>3800</v>
      </c>
    </row>
    <row r="88" spans="2:6" x14ac:dyDescent="0.35">
      <c r="B88" t="s">
        <v>37</v>
      </c>
      <c r="C88" s="8">
        <v>1900</v>
      </c>
    </row>
    <row r="89" spans="2:6" x14ac:dyDescent="0.35">
      <c r="B89" t="s">
        <v>38</v>
      </c>
      <c r="C89" s="8">
        <v>850</v>
      </c>
    </row>
    <row r="90" spans="2:6" x14ac:dyDescent="0.35">
      <c r="B90" t="s">
        <v>39</v>
      </c>
      <c r="C90" s="8">
        <v>340</v>
      </c>
    </row>
    <row r="93" spans="2:6" x14ac:dyDescent="0.35">
      <c r="B93" s="7" t="s">
        <v>40</v>
      </c>
      <c r="C93" s="7" t="s">
        <v>41</v>
      </c>
      <c r="D93" s="7" t="s">
        <v>42</v>
      </c>
      <c r="E93" s="7" t="s">
        <v>43</v>
      </c>
      <c r="F93" s="7" t="s">
        <v>44</v>
      </c>
    </row>
    <row r="94" spans="2:6" x14ac:dyDescent="0.35">
      <c r="B94" s="9">
        <v>46023</v>
      </c>
      <c r="C94">
        <v>142.5</v>
      </c>
      <c r="D94">
        <v>148.19999999999999</v>
      </c>
      <c r="E94">
        <v>140.1</v>
      </c>
      <c r="F94">
        <v>146.80000000000001</v>
      </c>
    </row>
    <row r="95" spans="2:6" x14ac:dyDescent="0.35">
      <c r="B95" s="9">
        <v>46024</v>
      </c>
      <c r="C95">
        <v>146.80000000000001</v>
      </c>
      <c r="D95">
        <v>150.30000000000001</v>
      </c>
      <c r="E95">
        <v>144.5</v>
      </c>
      <c r="F95">
        <v>145.19999999999999</v>
      </c>
    </row>
    <row r="96" spans="2:6" x14ac:dyDescent="0.35">
      <c r="B96" s="9">
        <v>46025</v>
      </c>
      <c r="C96">
        <v>145.19999999999999</v>
      </c>
      <c r="D96">
        <v>147.9</v>
      </c>
      <c r="E96">
        <v>141.80000000000001</v>
      </c>
      <c r="F96">
        <v>143</v>
      </c>
    </row>
    <row r="97" spans="2:7" x14ac:dyDescent="0.35">
      <c r="B97" s="9">
        <v>46026</v>
      </c>
      <c r="C97">
        <v>143</v>
      </c>
      <c r="D97">
        <v>149.5</v>
      </c>
      <c r="E97">
        <v>142.30000000000001</v>
      </c>
      <c r="F97">
        <v>148.69999999999999</v>
      </c>
    </row>
    <row r="98" spans="2:7" x14ac:dyDescent="0.35">
      <c r="B98" s="9">
        <v>46027</v>
      </c>
      <c r="C98">
        <v>148.69999999999999</v>
      </c>
      <c r="D98">
        <v>153.1</v>
      </c>
      <c r="E98">
        <v>147</v>
      </c>
      <c r="F98">
        <v>151.4</v>
      </c>
    </row>
    <row r="99" spans="2:7" x14ac:dyDescent="0.35">
      <c r="B99" s="9">
        <v>46028</v>
      </c>
      <c r="C99">
        <v>151.4</v>
      </c>
      <c r="D99">
        <v>154.80000000000001</v>
      </c>
      <c r="E99">
        <v>148.9</v>
      </c>
      <c r="F99">
        <v>149.5</v>
      </c>
    </row>
    <row r="100" spans="2:7" x14ac:dyDescent="0.35">
      <c r="B100" s="9">
        <v>46029</v>
      </c>
      <c r="C100">
        <v>149.5</v>
      </c>
      <c r="D100">
        <v>152</v>
      </c>
      <c r="E100">
        <v>146.30000000000001</v>
      </c>
      <c r="F100">
        <v>150.80000000000001</v>
      </c>
    </row>
    <row r="101" spans="2:7" x14ac:dyDescent="0.35">
      <c r="B101" s="9">
        <v>46030</v>
      </c>
      <c r="C101">
        <v>150.80000000000001</v>
      </c>
      <c r="D101">
        <v>156.19999999999999</v>
      </c>
      <c r="E101">
        <v>149.69999999999999</v>
      </c>
      <c r="F101">
        <v>155</v>
      </c>
    </row>
    <row r="102" spans="2:7" x14ac:dyDescent="0.35">
      <c r="B102" s="9">
        <v>46031</v>
      </c>
      <c r="C102">
        <v>155</v>
      </c>
      <c r="D102">
        <v>157.5</v>
      </c>
      <c r="E102">
        <v>152.1</v>
      </c>
      <c r="F102">
        <v>153.30000000000001</v>
      </c>
    </row>
    <row r="103" spans="2:7" x14ac:dyDescent="0.35">
      <c r="B103" s="9">
        <v>46032</v>
      </c>
      <c r="C103">
        <v>153.30000000000001</v>
      </c>
      <c r="D103">
        <v>158.9</v>
      </c>
      <c r="E103">
        <v>151.5</v>
      </c>
      <c r="F103">
        <v>157.6</v>
      </c>
    </row>
    <row r="106" spans="2:7" ht="28" customHeight="1" x14ac:dyDescent="0.35">
      <c r="B106" s="10"/>
      <c r="C106" s="11" t="s">
        <v>45</v>
      </c>
      <c r="D106" s="11" t="s">
        <v>46</v>
      </c>
      <c r="E106" s="11" t="s">
        <v>47</v>
      </c>
      <c r="F106" s="11" t="s">
        <v>48</v>
      </c>
      <c r="G106" s="11" t="s">
        <v>49</v>
      </c>
    </row>
    <row r="107" spans="2:7" ht="28" customHeight="1" x14ac:dyDescent="0.35">
      <c r="B107" s="10" t="s">
        <v>50</v>
      </c>
      <c r="C107" s="12">
        <v>12</v>
      </c>
      <c r="D107" s="12">
        <v>18</v>
      </c>
      <c r="E107" s="12">
        <v>25</v>
      </c>
      <c r="F107" s="12">
        <v>14</v>
      </c>
      <c r="G107" s="12">
        <v>9</v>
      </c>
    </row>
    <row r="108" spans="2:7" ht="28" customHeight="1" x14ac:dyDescent="0.35">
      <c r="B108" s="10" t="s">
        <v>51</v>
      </c>
      <c r="C108" s="12">
        <v>34</v>
      </c>
      <c r="D108" s="12">
        <v>42</v>
      </c>
      <c r="E108" s="12">
        <v>38</v>
      </c>
      <c r="F108" s="12">
        <v>29</v>
      </c>
      <c r="G108" s="12">
        <v>21</v>
      </c>
    </row>
    <row r="109" spans="2:7" ht="28" customHeight="1" x14ac:dyDescent="0.35">
      <c r="B109" s="10" t="s">
        <v>52</v>
      </c>
      <c r="C109" s="12">
        <v>55</v>
      </c>
      <c r="D109" s="12">
        <v>63</v>
      </c>
      <c r="E109" s="12">
        <v>71</v>
      </c>
      <c r="F109" s="12">
        <v>58</v>
      </c>
      <c r="G109" s="12">
        <v>44</v>
      </c>
    </row>
    <row r="110" spans="2:7" ht="28" customHeight="1" x14ac:dyDescent="0.35">
      <c r="B110" s="10" t="s">
        <v>53</v>
      </c>
      <c r="C110" s="12">
        <v>78</v>
      </c>
      <c r="D110" s="12">
        <v>85</v>
      </c>
      <c r="E110" s="12">
        <v>92</v>
      </c>
      <c r="F110" s="12">
        <v>80</v>
      </c>
      <c r="G110" s="12">
        <v>67</v>
      </c>
    </row>
    <row r="111" spans="2:7" ht="28" customHeight="1" x14ac:dyDescent="0.35">
      <c r="B111" s="10" t="s">
        <v>54</v>
      </c>
      <c r="C111" s="12">
        <v>65</v>
      </c>
      <c r="D111" s="12">
        <v>70</v>
      </c>
      <c r="E111" s="12">
        <v>68</v>
      </c>
      <c r="F111" s="12">
        <v>74</v>
      </c>
      <c r="G111" s="12">
        <v>58</v>
      </c>
    </row>
    <row r="112" spans="2:7" ht="28" customHeight="1" x14ac:dyDescent="0.35">
      <c r="B112" s="10" t="s">
        <v>55</v>
      </c>
      <c r="C112" s="12">
        <v>45</v>
      </c>
      <c r="D112" s="12">
        <v>52</v>
      </c>
      <c r="E112" s="12">
        <v>49</v>
      </c>
      <c r="F112" s="12">
        <v>61</v>
      </c>
      <c r="G112" s="12">
        <v>38</v>
      </c>
    </row>
    <row r="113" spans="2:7" ht="28" customHeight="1" x14ac:dyDescent="0.35">
      <c r="B113" s="10" t="s">
        <v>56</v>
      </c>
      <c r="C113" s="12">
        <v>22</v>
      </c>
      <c r="D113" s="12">
        <v>28</v>
      </c>
      <c r="E113" s="12">
        <v>31</v>
      </c>
      <c r="F113" s="12">
        <v>24</v>
      </c>
      <c r="G113" s="12">
        <v>15</v>
      </c>
    </row>
    <row r="116" spans="2:7" x14ac:dyDescent="0.35">
      <c r="B116" s="7" t="s">
        <v>25</v>
      </c>
      <c r="C116" s="7" t="s">
        <v>57</v>
      </c>
      <c r="D116" s="7" t="s">
        <v>26</v>
      </c>
    </row>
    <row r="117" spans="2:7" x14ac:dyDescent="0.35">
      <c r="B117" s="7" t="s">
        <v>58</v>
      </c>
      <c r="C117" t="s">
        <v>59</v>
      </c>
      <c r="D117">
        <v>420</v>
      </c>
    </row>
    <row r="118" spans="2:7" x14ac:dyDescent="0.35">
      <c r="B118" s="7" t="s">
        <v>58</v>
      </c>
      <c r="C118" t="s">
        <v>60</v>
      </c>
      <c r="D118">
        <v>310</v>
      </c>
    </row>
    <row r="119" spans="2:7" x14ac:dyDescent="0.35">
      <c r="B119" s="7" t="s">
        <v>58</v>
      </c>
      <c r="C119" t="s">
        <v>61</v>
      </c>
      <c r="D119">
        <v>180</v>
      </c>
    </row>
    <row r="120" spans="2:7" x14ac:dyDescent="0.35">
      <c r="B120" s="7" t="s">
        <v>62</v>
      </c>
      <c r="C120" t="s">
        <v>63</v>
      </c>
      <c r="D120">
        <v>250</v>
      </c>
    </row>
    <row r="121" spans="2:7" x14ac:dyDescent="0.35">
      <c r="B121" s="7" t="s">
        <v>62</v>
      </c>
      <c r="C121" t="s">
        <v>64</v>
      </c>
      <c r="D121">
        <v>340</v>
      </c>
    </row>
  </sheetData>
  <conditionalFormatting sqref="C107:G113">
    <cfRule type="colorScale" priority="1">
      <colorScale>
        <cfvo type="min"/>
        <cfvo type="num" val="50"/>
        <cfvo type="max"/>
        <color rgb="FFF7FBFF"/>
        <color rgb="FFFDD835"/>
        <color rgb="FF1A6B1A"/>
      </colorScale>
    </cfRule>
    <cfRule type="colorScale" priority="2">
      <colorScale>
        <cfvo type="min"/>
        <cfvo type="num" val="50"/>
        <cfvo type="max"/>
        <color rgb="FFF7FBFF"/>
        <color rgb="FFFDD835"/>
        <color rgb="FF1A6B1A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BFA2-F9BD-49D7-9D2F-0C5A72378C94}">
  <dimension ref="A1:C37"/>
  <sheetViews>
    <sheetView workbookViewId="0">
      <selection activeCell="H16" sqref="H16"/>
    </sheetView>
  </sheetViews>
  <sheetFormatPr defaultRowHeight="14.5" x14ac:dyDescent="0.35"/>
  <cols>
    <col min="1" max="1" width="22.1796875" bestFit="1" customWidth="1"/>
    <col min="2" max="2" width="12.7265625" bestFit="1" customWidth="1"/>
    <col min="3" max="3" width="23.1796875" bestFit="1" customWidth="1"/>
  </cols>
  <sheetData>
    <row r="1" spans="1:3" x14ac:dyDescent="0.35">
      <c r="A1" t="s">
        <v>65</v>
      </c>
      <c r="B1" t="s">
        <v>66</v>
      </c>
      <c r="C1" t="s">
        <v>25</v>
      </c>
    </row>
    <row r="2" spans="1:3" x14ac:dyDescent="0.35">
      <c r="A2">
        <v>1100</v>
      </c>
      <c r="B2">
        <v>2.4</v>
      </c>
      <c r="C2" t="s">
        <v>67</v>
      </c>
    </row>
    <row r="3" spans="1:3" x14ac:dyDescent="0.35">
      <c r="A3">
        <v>1150</v>
      </c>
      <c r="B3">
        <v>2.8</v>
      </c>
      <c r="C3" t="s">
        <v>67</v>
      </c>
    </row>
    <row r="4" spans="1:3" x14ac:dyDescent="0.35">
      <c r="A4">
        <v>1250</v>
      </c>
      <c r="B4">
        <v>2.2000000000000002</v>
      </c>
      <c r="C4" t="s">
        <v>67</v>
      </c>
    </row>
    <row r="5" spans="1:3" x14ac:dyDescent="0.35">
      <c r="A5">
        <v>1300</v>
      </c>
      <c r="B5">
        <v>2.5</v>
      </c>
      <c r="C5" t="s">
        <v>67</v>
      </c>
    </row>
    <row r="6" spans="1:3" x14ac:dyDescent="0.35">
      <c r="A6">
        <v>1350</v>
      </c>
      <c r="B6">
        <v>1.9</v>
      </c>
      <c r="C6" t="s">
        <v>67</v>
      </c>
    </row>
    <row r="7" spans="1:3" x14ac:dyDescent="0.35">
      <c r="A7">
        <v>1450</v>
      </c>
      <c r="B7">
        <v>2</v>
      </c>
      <c r="C7" t="s">
        <v>67</v>
      </c>
    </row>
    <row r="8" spans="1:3" x14ac:dyDescent="0.35">
      <c r="A8">
        <v>1550</v>
      </c>
      <c r="B8">
        <v>2.2000000000000002</v>
      </c>
      <c r="C8" t="s">
        <v>67</v>
      </c>
    </row>
    <row r="9" spans="1:3" x14ac:dyDescent="0.35">
      <c r="A9">
        <v>1650</v>
      </c>
      <c r="B9">
        <v>2</v>
      </c>
      <c r="C9" t="s">
        <v>67</v>
      </c>
    </row>
    <row r="10" spans="1:3" x14ac:dyDescent="0.35">
      <c r="A10">
        <v>1700</v>
      </c>
      <c r="B10">
        <v>1.35</v>
      </c>
      <c r="C10" t="s">
        <v>68</v>
      </c>
    </row>
    <row r="11" spans="1:3" x14ac:dyDescent="0.35">
      <c r="A11">
        <v>1800</v>
      </c>
      <c r="B11">
        <v>1.3</v>
      </c>
      <c r="C11" t="s">
        <v>68</v>
      </c>
    </row>
    <row r="12" spans="1:3" x14ac:dyDescent="0.35">
      <c r="A12">
        <v>1850</v>
      </c>
      <c r="B12">
        <v>1.2</v>
      </c>
      <c r="C12" t="s">
        <v>68</v>
      </c>
    </row>
    <row r="13" spans="1:3" x14ac:dyDescent="0.35">
      <c r="A13">
        <v>1950</v>
      </c>
      <c r="B13">
        <v>1.2</v>
      </c>
      <c r="C13" t="s">
        <v>68</v>
      </c>
    </row>
    <row r="14" spans="1:3" x14ac:dyDescent="0.35">
      <c r="A14">
        <v>2000</v>
      </c>
      <c r="B14">
        <v>1.1000000000000001</v>
      </c>
      <c r="C14" t="s">
        <v>68</v>
      </c>
    </row>
    <row r="15" spans="1:3" x14ac:dyDescent="0.35">
      <c r="A15">
        <v>2150</v>
      </c>
      <c r="B15">
        <v>1.35</v>
      </c>
      <c r="C15" t="s">
        <v>68</v>
      </c>
    </row>
    <row r="16" spans="1:3" x14ac:dyDescent="0.35">
      <c r="A16">
        <v>2200</v>
      </c>
      <c r="B16">
        <v>1.2</v>
      </c>
      <c r="C16" t="s">
        <v>68</v>
      </c>
    </row>
    <row r="17" spans="1:3" x14ac:dyDescent="0.35">
      <c r="A17">
        <v>2250</v>
      </c>
      <c r="B17">
        <v>1.3</v>
      </c>
      <c r="C17" t="s">
        <v>68</v>
      </c>
    </row>
    <row r="18" spans="1:3" x14ac:dyDescent="0.35">
      <c r="A18">
        <v>2300</v>
      </c>
      <c r="B18">
        <v>1.1000000000000001</v>
      </c>
      <c r="C18" t="s">
        <v>68</v>
      </c>
    </row>
    <row r="19" spans="1:3" x14ac:dyDescent="0.35">
      <c r="A19">
        <v>2350</v>
      </c>
      <c r="B19">
        <v>1.2</v>
      </c>
      <c r="C19" t="s">
        <v>68</v>
      </c>
    </row>
    <row r="20" spans="1:3" x14ac:dyDescent="0.35">
      <c r="A20">
        <v>2400</v>
      </c>
      <c r="B20">
        <v>1.5</v>
      </c>
      <c r="C20" t="s">
        <v>69</v>
      </c>
    </row>
    <row r="21" spans="1:3" x14ac:dyDescent="0.35">
      <c r="A21">
        <v>2500</v>
      </c>
      <c r="B21">
        <v>1.4</v>
      </c>
      <c r="C21" t="s">
        <v>68</v>
      </c>
    </row>
    <row r="22" spans="1:3" x14ac:dyDescent="0.35">
      <c r="A22">
        <v>2550</v>
      </c>
      <c r="B22">
        <v>1.2</v>
      </c>
      <c r="C22" t="s">
        <v>68</v>
      </c>
    </row>
    <row r="23" spans="1:3" x14ac:dyDescent="0.35">
      <c r="A23">
        <v>2600</v>
      </c>
      <c r="B23">
        <v>1.1000000000000001</v>
      </c>
      <c r="C23" t="s">
        <v>68</v>
      </c>
    </row>
    <row r="24" spans="1:3" x14ac:dyDescent="0.35">
      <c r="A24">
        <v>2650</v>
      </c>
      <c r="B24">
        <v>1.1000000000000001</v>
      </c>
      <c r="C24" t="s">
        <v>68</v>
      </c>
    </row>
    <row r="25" spans="1:3" x14ac:dyDescent="0.35">
      <c r="A25">
        <v>2700</v>
      </c>
      <c r="B25">
        <v>0.8</v>
      </c>
      <c r="C25" t="s">
        <v>68</v>
      </c>
    </row>
    <row r="26" spans="1:3" x14ac:dyDescent="0.35">
      <c r="A26">
        <v>2800</v>
      </c>
      <c r="B26">
        <v>1.05</v>
      </c>
      <c r="C26" t="s">
        <v>68</v>
      </c>
    </row>
    <row r="27" spans="1:3" x14ac:dyDescent="0.35">
      <c r="A27">
        <v>2900</v>
      </c>
      <c r="B27">
        <v>1</v>
      </c>
      <c r="C27" t="s">
        <v>68</v>
      </c>
    </row>
    <row r="28" spans="1:3" x14ac:dyDescent="0.35">
      <c r="A28">
        <v>3050</v>
      </c>
      <c r="B28">
        <v>1.3</v>
      </c>
      <c r="C28" t="s">
        <v>68</v>
      </c>
    </row>
    <row r="29" spans="1:3" x14ac:dyDescent="0.35">
      <c r="A29">
        <v>3100</v>
      </c>
      <c r="B29">
        <v>1</v>
      </c>
      <c r="C29" t="s">
        <v>68</v>
      </c>
    </row>
    <row r="30" spans="1:3" x14ac:dyDescent="0.35">
      <c r="A30">
        <v>3200</v>
      </c>
      <c r="B30">
        <v>1.25</v>
      </c>
      <c r="C30" t="s">
        <v>68</v>
      </c>
    </row>
    <row r="31" spans="1:3" x14ac:dyDescent="0.35">
      <c r="A31">
        <v>3250</v>
      </c>
      <c r="B31">
        <v>1.1000000000000001</v>
      </c>
      <c r="C31" t="s">
        <v>68</v>
      </c>
    </row>
    <row r="32" spans="1:3" x14ac:dyDescent="0.35">
      <c r="A32">
        <v>3350</v>
      </c>
      <c r="B32">
        <v>1.35</v>
      </c>
      <c r="C32" t="s">
        <v>68</v>
      </c>
    </row>
    <row r="33" spans="1:3" x14ac:dyDescent="0.35">
      <c r="A33">
        <v>3450</v>
      </c>
      <c r="B33">
        <v>1.65</v>
      </c>
      <c r="C33" t="s">
        <v>67</v>
      </c>
    </row>
    <row r="34" spans="1:3" x14ac:dyDescent="0.35">
      <c r="A34">
        <v>3500</v>
      </c>
      <c r="B34">
        <v>2.2000000000000002</v>
      </c>
      <c r="C34" t="s">
        <v>67</v>
      </c>
    </row>
    <row r="35" spans="1:3" x14ac:dyDescent="0.35">
      <c r="A35">
        <v>3550</v>
      </c>
      <c r="B35">
        <v>1.8</v>
      </c>
      <c r="C35" t="s">
        <v>67</v>
      </c>
    </row>
    <row r="36" spans="1:3" x14ac:dyDescent="0.35">
      <c r="A36">
        <v>3600</v>
      </c>
      <c r="B36">
        <v>1.9</v>
      </c>
      <c r="C36" t="s">
        <v>67</v>
      </c>
    </row>
    <row r="37" spans="1:3" x14ac:dyDescent="0.35">
      <c r="A37">
        <v>3800</v>
      </c>
      <c r="B37">
        <v>1.7</v>
      </c>
      <c r="C37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075-B71C-410B-982F-9F7C1ED5BAF2}">
  <dimension ref="B2:E7"/>
  <sheetViews>
    <sheetView workbookViewId="0">
      <selection activeCell="G44" sqref="G44"/>
    </sheetView>
  </sheetViews>
  <sheetFormatPr defaultRowHeight="14.5" x14ac:dyDescent="0.35"/>
  <sheetData>
    <row r="2" spans="2:5" x14ac:dyDescent="0.35">
      <c r="C2" t="s">
        <v>16</v>
      </c>
      <c r="D2" t="s">
        <v>17</v>
      </c>
      <c r="E2" t="s">
        <v>18</v>
      </c>
    </row>
    <row r="3" spans="2:5" x14ac:dyDescent="0.35">
      <c r="B3" t="s">
        <v>70</v>
      </c>
      <c r="C3">
        <v>1</v>
      </c>
      <c r="D3">
        <v>1</v>
      </c>
      <c r="E3">
        <v>2</v>
      </c>
    </row>
    <row r="4" spans="2:5" x14ac:dyDescent="0.35">
      <c r="B4" t="s">
        <v>71</v>
      </c>
      <c r="C4">
        <v>5</v>
      </c>
      <c r="D4">
        <v>2</v>
      </c>
      <c r="E4">
        <v>7</v>
      </c>
    </row>
    <row r="5" spans="2:5" x14ac:dyDescent="0.35">
      <c r="B5" t="s">
        <v>72</v>
      </c>
      <c r="C5">
        <v>7</v>
      </c>
      <c r="D5">
        <v>3</v>
      </c>
      <c r="E5">
        <v>1</v>
      </c>
    </row>
    <row r="6" spans="2:5" x14ac:dyDescent="0.35">
      <c r="B6" t="s">
        <v>73</v>
      </c>
      <c r="C6">
        <v>8</v>
      </c>
      <c r="D6">
        <v>5</v>
      </c>
      <c r="E6">
        <v>1</v>
      </c>
    </row>
    <row r="7" spans="2:5" x14ac:dyDescent="0.35">
      <c r="B7" t="s">
        <v>74</v>
      </c>
      <c r="C7">
        <v>7</v>
      </c>
      <c r="D7">
        <v>6</v>
      </c>
      <c r="E7">
        <v>3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DCB7-7650-4386-B451-37675C347DC6}">
  <dimension ref="B2:E7"/>
  <sheetViews>
    <sheetView topLeftCell="C1" zoomScale="145" zoomScaleNormal="145" workbookViewId="0">
      <selection activeCell="V3" sqref="V3"/>
    </sheetView>
  </sheetViews>
  <sheetFormatPr defaultRowHeight="14.5" x14ac:dyDescent="0.35"/>
  <sheetData>
    <row r="2" spans="2:5" x14ac:dyDescent="0.35">
      <c r="C2" t="s">
        <v>16</v>
      </c>
      <c r="D2" t="s">
        <v>17</v>
      </c>
      <c r="E2" t="s">
        <v>18</v>
      </c>
    </row>
    <row r="3" spans="2:5" x14ac:dyDescent="0.35">
      <c r="B3" t="s">
        <v>70</v>
      </c>
      <c r="C3">
        <v>3</v>
      </c>
      <c r="D3">
        <v>4</v>
      </c>
      <c r="E3">
        <v>2</v>
      </c>
    </row>
    <row r="4" spans="2:5" x14ac:dyDescent="0.35">
      <c r="B4" t="s">
        <v>71</v>
      </c>
      <c r="C4">
        <v>5</v>
      </c>
      <c r="D4">
        <v>3</v>
      </c>
      <c r="E4">
        <v>3</v>
      </c>
    </row>
    <row r="5" spans="2:5" x14ac:dyDescent="0.35">
      <c r="B5" t="s">
        <v>72</v>
      </c>
      <c r="C5">
        <v>7</v>
      </c>
      <c r="D5">
        <v>3.5</v>
      </c>
      <c r="E5">
        <v>1.5</v>
      </c>
    </row>
    <row r="6" spans="2:5" x14ac:dyDescent="0.35">
      <c r="B6" t="s">
        <v>73</v>
      </c>
      <c r="C6">
        <v>8</v>
      </c>
      <c r="D6">
        <v>4.5</v>
      </c>
      <c r="E6">
        <v>2</v>
      </c>
    </row>
    <row r="7" spans="2:5" x14ac:dyDescent="0.35">
      <c r="B7" t="s">
        <v>74</v>
      </c>
      <c r="C7">
        <v>7</v>
      </c>
      <c r="D7">
        <v>5</v>
      </c>
      <c r="E7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B324-E057-4C88-984B-47AEF6180CFF}">
  <dimension ref="B2:E7"/>
  <sheetViews>
    <sheetView workbookViewId="0">
      <selection activeCell="R16" activeCellId="1" sqref="O28 R16"/>
    </sheetView>
  </sheetViews>
  <sheetFormatPr defaultRowHeight="14.5" x14ac:dyDescent="0.35"/>
  <sheetData>
    <row r="2" spans="2:5" x14ac:dyDescent="0.35">
      <c r="C2" t="s">
        <v>16</v>
      </c>
      <c r="D2" t="s">
        <v>17</v>
      </c>
      <c r="E2" t="s">
        <v>18</v>
      </c>
    </row>
    <row r="3" spans="2:5" x14ac:dyDescent="0.35">
      <c r="B3" t="s">
        <v>70</v>
      </c>
      <c r="C3">
        <v>1</v>
      </c>
      <c r="D3">
        <v>1</v>
      </c>
      <c r="E3">
        <v>2</v>
      </c>
    </row>
    <row r="4" spans="2:5" x14ac:dyDescent="0.35">
      <c r="B4" t="s">
        <v>71</v>
      </c>
      <c r="C4">
        <v>5</v>
      </c>
      <c r="D4">
        <v>2</v>
      </c>
      <c r="E4">
        <v>7</v>
      </c>
    </row>
    <row r="5" spans="2:5" x14ac:dyDescent="0.35">
      <c r="B5" t="s">
        <v>72</v>
      </c>
      <c r="C5">
        <v>6</v>
      </c>
      <c r="D5">
        <v>3</v>
      </c>
      <c r="E5">
        <v>1</v>
      </c>
    </row>
    <row r="6" spans="2:5" x14ac:dyDescent="0.35">
      <c r="B6" t="s">
        <v>73</v>
      </c>
      <c r="C6">
        <v>7</v>
      </c>
      <c r="D6">
        <v>5</v>
      </c>
      <c r="E6">
        <v>1</v>
      </c>
    </row>
    <row r="7" spans="2:5" x14ac:dyDescent="0.35">
      <c r="B7" t="s">
        <v>74</v>
      </c>
      <c r="C7">
        <v>8</v>
      </c>
      <c r="D7">
        <v>6</v>
      </c>
      <c r="E7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780A-5AA0-42EA-A3AD-701BD722B1AA}">
  <dimension ref="B2:G7"/>
  <sheetViews>
    <sheetView showGridLines="0" workbookViewId="0">
      <selection activeCell="G15" sqref="G15"/>
    </sheetView>
  </sheetViews>
  <sheetFormatPr defaultRowHeight="14.5" x14ac:dyDescent="0.35"/>
  <cols>
    <col min="3" max="3" width="13.453125" bestFit="1" customWidth="1"/>
    <col min="4" max="5" width="13.26953125" bestFit="1" customWidth="1"/>
    <col min="6" max="6" width="13.453125" bestFit="1" customWidth="1"/>
    <col min="7" max="7" width="13.1796875" bestFit="1" customWidth="1"/>
  </cols>
  <sheetData>
    <row r="2" spans="2:7" x14ac:dyDescent="0.35">
      <c r="C2" t="s">
        <v>76</v>
      </c>
      <c r="D2" t="s">
        <v>77</v>
      </c>
      <c r="E2" t="s">
        <v>78</v>
      </c>
      <c r="F2" t="s">
        <v>79</v>
      </c>
      <c r="G2" t="s">
        <v>80</v>
      </c>
    </row>
    <row r="3" spans="2:7" x14ac:dyDescent="0.35">
      <c r="B3" t="s">
        <v>16</v>
      </c>
      <c r="C3">
        <v>5</v>
      </c>
      <c r="D3">
        <v>5</v>
      </c>
      <c r="E3">
        <v>18</v>
      </c>
      <c r="F3">
        <v>25</v>
      </c>
      <c r="G3">
        <v>11</v>
      </c>
    </row>
    <row r="4" spans="2:7" x14ac:dyDescent="0.35">
      <c r="B4" t="s">
        <v>17</v>
      </c>
      <c r="C4">
        <v>5</v>
      </c>
      <c r="D4">
        <v>27</v>
      </c>
      <c r="E4">
        <v>17</v>
      </c>
      <c r="F4">
        <v>19</v>
      </c>
      <c r="G4">
        <v>18</v>
      </c>
    </row>
    <row r="5" spans="2:7" x14ac:dyDescent="0.35">
      <c r="B5" t="s">
        <v>18</v>
      </c>
      <c r="C5">
        <v>25</v>
      </c>
      <c r="D5">
        <v>24</v>
      </c>
      <c r="E5">
        <v>15</v>
      </c>
      <c r="F5">
        <v>20</v>
      </c>
      <c r="G5">
        <v>10</v>
      </c>
    </row>
    <row r="6" spans="2:7" x14ac:dyDescent="0.35">
      <c r="B6" t="s">
        <v>19</v>
      </c>
      <c r="C6">
        <v>35</v>
      </c>
      <c r="D6">
        <v>20</v>
      </c>
      <c r="E6">
        <v>27</v>
      </c>
      <c r="F6">
        <v>19</v>
      </c>
      <c r="G6">
        <v>20</v>
      </c>
    </row>
    <row r="7" spans="2:7" x14ac:dyDescent="0.35">
      <c r="B7" t="s">
        <v>75</v>
      </c>
      <c r="C7">
        <f>100-SUM(C3:C6)</f>
        <v>30</v>
      </c>
      <c r="D7">
        <f t="shared" ref="D7:G7" si="0">100-SUM(D3:D6)</f>
        <v>24</v>
      </c>
      <c r="E7">
        <f t="shared" si="0"/>
        <v>23</v>
      </c>
      <c r="F7">
        <f t="shared" si="0"/>
        <v>17</v>
      </c>
      <c r="G7">
        <f t="shared" si="0"/>
        <v>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7F57-6CE1-496A-AF72-AA94B3433DEE}">
  <dimension ref="A2:U23"/>
  <sheetViews>
    <sheetView showGridLines="0" workbookViewId="0">
      <selection activeCell="P44" sqref="P44"/>
    </sheetView>
  </sheetViews>
  <sheetFormatPr defaultRowHeight="14.5" x14ac:dyDescent="0.35"/>
  <cols>
    <col min="3" max="3" width="13.453125" bestFit="1" customWidth="1"/>
    <col min="4" max="5" width="13.26953125" bestFit="1" customWidth="1"/>
    <col min="6" max="6" width="13.453125" bestFit="1" customWidth="1"/>
    <col min="7" max="7" width="13.1796875" bestFit="1" customWidth="1"/>
  </cols>
  <sheetData>
    <row r="2" spans="1:7" x14ac:dyDescent="0.35">
      <c r="C2" t="s">
        <v>76</v>
      </c>
      <c r="D2" t="s">
        <v>77</v>
      </c>
      <c r="E2" t="s">
        <v>78</v>
      </c>
      <c r="F2" t="s">
        <v>79</v>
      </c>
      <c r="G2" t="s">
        <v>80</v>
      </c>
    </row>
    <row r="3" spans="1:7" x14ac:dyDescent="0.35">
      <c r="B3" t="s">
        <v>16</v>
      </c>
      <c r="C3">
        <v>5</v>
      </c>
      <c r="D3">
        <v>5</v>
      </c>
      <c r="E3">
        <v>18</v>
      </c>
      <c r="F3">
        <v>25</v>
      </c>
      <c r="G3">
        <v>11</v>
      </c>
    </row>
    <row r="4" spans="1:7" x14ac:dyDescent="0.35">
      <c r="B4" t="s">
        <v>17</v>
      </c>
      <c r="C4">
        <v>10</v>
      </c>
      <c r="D4">
        <v>27</v>
      </c>
      <c r="E4">
        <v>17</v>
      </c>
      <c r="F4">
        <v>19</v>
      </c>
      <c r="G4">
        <v>18</v>
      </c>
    </row>
    <row r="5" spans="1:7" x14ac:dyDescent="0.35">
      <c r="A5">
        <f>C5/SUM(C3:C5)</f>
        <v>0.8571428571428571</v>
      </c>
      <c r="B5" t="s">
        <v>18</v>
      </c>
      <c r="C5">
        <v>90</v>
      </c>
      <c r="D5">
        <v>24</v>
      </c>
      <c r="E5">
        <v>15</v>
      </c>
      <c r="F5">
        <v>20</v>
      </c>
      <c r="G5">
        <v>10</v>
      </c>
    </row>
    <row r="6" spans="1:7" x14ac:dyDescent="0.35">
      <c r="B6" t="s">
        <v>19</v>
      </c>
      <c r="C6">
        <v>35</v>
      </c>
      <c r="D6">
        <v>20</v>
      </c>
      <c r="E6">
        <v>27</v>
      </c>
      <c r="F6">
        <v>19</v>
      </c>
      <c r="G6">
        <v>20</v>
      </c>
    </row>
    <row r="7" spans="1:7" x14ac:dyDescent="0.35">
      <c r="B7" t="s">
        <v>75</v>
      </c>
      <c r="C7">
        <f>100-SUM(C3:C6)</f>
        <v>-40</v>
      </c>
      <c r="D7">
        <f t="shared" ref="D7:G7" si="0">100-SUM(D3:D6)</f>
        <v>24</v>
      </c>
      <c r="E7">
        <f t="shared" si="0"/>
        <v>23</v>
      </c>
      <c r="F7">
        <f t="shared" si="0"/>
        <v>17</v>
      </c>
      <c r="G7">
        <f t="shared" si="0"/>
        <v>41</v>
      </c>
    </row>
    <row r="23" spans="21:21" ht="15.5" x14ac:dyDescent="0.35">
      <c r="U23" s="13">
        <v>0.86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2E2-49F0-4D8F-9916-6F5729B6E7A5}">
  <dimension ref="C1:AF103"/>
  <sheetViews>
    <sheetView showGridLines="0" topLeftCell="J4" zoomScale="130" zoomScaleNormal="130" workbookViewId="0">
      <selection activeCell="AH14" sqref="V5:AH14"/>
    </sheetView>
  </sheetViews>
  <sheetFormatPr defaultRowHeight="14.5" x14ac:dyDescent="0.35"/>
  <cols>
    <col min="22" max="22" width="4.26953125" customWidth="1"/>
    <col min="23" max="31" width="4.1796875" customWidth="1"/>
  </cols>
  <sheetData>
    <row r="1" spans="3:32" ht="22.5" customHeight="1" x14ac:dyDescent="0.35"/>
    <row r="3" spans="3:32" x14ac:dyDescent="0.35">
      <c r="C3" t="s">
        <v>81</v>
      </c>
      <c r="D3" t="s">
        <v>82</v>
      </c>
      <c r="E3" t="s">
        <v>83</v>
      </c>
    </row>
    <row r="4" spans="3:32" x14ac:dyDescent="0.35">
      <c r="C4">
        <v>1</v>
      </c>
      <c r="D4">
        <v>1</v>
      </c>
    </row>
    <row r="5" spans="3:32" ht="22.5" customHeight="1" x14ac:dyDescent="0.35">
      <c r="C5">
        <f>C4</f>
        <v>1</v>
      </c>
      <c r="D5">
        <f>D4+1</f>
        <v>2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8" t="s">
        <v>84</v>
      </c>
    </row>
    <row r="6" spans="3:32" ht="22.5" customHeight="1" x14ac:dyDescent="0.35">
      <c r="C6">
        <f t="shared" ref="C6:C23" si="0">C5</f>
        <v>1</v>
      </c>
      <c r="D6">
        <f t="shared" ref="D6:D11" si="1">D5+1</f>
        <v>3</v>
      </c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3:32" ht="22.5" customHeight="1" x14ac:dyDescent="0.35">
      <c r="C7">
        <f t="shared" si="0"/>
        <v>1</v>
      </c>
      <c r="D7">
        <f t="shared" si="1"/>
        <v>4</v>
      </c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3:32" ht="22.5" customHeight="1" x14ac:dyDescent="0.35">
      <c r="C8">
        <f t="shared" si="0"/>
        <v>1</v>
      </c>
      <c r="D8">
        <f t="shared" si="1"/>
        <v>5</v>
      </c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3:32" ht="22.5" customHeight="1" x14ac:dyDescent="0.35">
      <c r="C9">
        <f t="shared" si="0"/>
        <v>1</v>
      </c>
      <c r="D9">
        <f t="shared" si="1"/>
        <v>6</v>
      </c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3:32" ht="22.5" customHeight="1" x14ac:dyDescent="0.35">
      <c r="C10">
        <f t="shared" si="0"/>
        <v>1</v>
      </c>
      <c r="D10">
        <f t="shared" si="1"/>
        <v>7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3:32" ht="22.5" customHeight="1" x14ac:dyDescent="0.35">
      <c r="C11">
        <f t="shared" si="0"/>
        <v>1</v>
      </c>
      <c r="D11">
        <f t="shared" si="1"/>
        <v>8</v>
      </c>
      <c r="V11" s="15"/>
      <c r="W11" s="15"/>
      <c r="X11" s="15"/>
      <c r="Y11" s="15"/>
      <c r="Z11" s="15"/>
      <c r="AA11" s="15"/>
      <c r="AB11" s="14"/>
      <c r="AC11" s="14"/>
      <c r="AD11" s="14"/>
      <c r="AE11" s="14"/>
      <c r="AF11" s="19" t="s">
        <v>85</v>
      </c>
    </row>
    <row r="12" spans="3:32" ht="22.5" customHeight="1" x14ac:dyDescent="0.35">
      <c r="C12">
        <f>C11</f>
        <v>1</v>
      </c>
      <c r="D12">
        <f>D11+1</f>
        <v>9</v>
      </c>
      <c r="V12" s="15"/>
      <c r="W12" s="15"/>
      <c r="X12" s="15"/>
      <c r="Y12" s="15"/>
      <c r="Z12" s="15"/>
      <c r="AA12" s="15"/>
      <c r="AB12" s="14"/>
      <c r="AC12" s="14"/>
      <c r="AD12" s="14"/>
      <c r="AE12" s="14"/>
      <c r="AF12" s="17"/>
    </row>
    <row r="13" spans="3:32" ht="22.5" customHeight="1" x14ac:dyDescent="0.35">
      <c r="C13">
        <f>C12</f>
        <v>1</v>
      </c>
      <c r="D13">
        <v>10</v>
      </c>
      <c r="V13" s="15"/>
      <c r="W13" s="15"/>
      <c r="X13" s="15"/>
      <c r="Y13" s="15"/>
      <c r="Z13" s="15"/>
      <c r="AA13" s="15"/>
      <c r="AB13" s="14"/>
      <c r="AC13" s="16"/>
      <c r="AD13" s="16"/>
      <c r="AE13" s="16"/>
      <c r="AF13" s="20" t="s">
        <v>86</v>
      </c>
    </row>
    <row r="14" spans="3:32" ht="22.5" customHeight="1" x14ac:dyDescent="0.35">
      <c r="C14">
        <f>C4+1</f>
        <v>2</v>
      </c>
      <c r="D14">
        <v>1</v>
      </c>
      <c r="V14" s="15"/>
      <c r="W14" s="15"/>
      <c r="X14" s="15"/>
      <c r="Y14" s="15"/>
      <c r="Z14" s="15"/>
      <c r="AA14" s="15"/>
      <c r="AB14" s="14"/>
      <c r="AC14" s="16"/>
      <c r="AD14" s="16"/>
      <c r="AE14" s="16"/>
    </row>
    <row r="15" spans="3:32" x14ac:dyDescent="0.35">
      <c r="C15">
        <f>C14</f>
        <v>2</v>
      </c>
      <c r="D15">
        <f>D14+1</f>
        <v>2</v>
      </c>
    </row>
    <row r="16" spans="3:32" x14ac:dyDescent="0.35">
      <c r="C16">
        <f t="shared" si="0"/>
        <v>2</v>
      </c>
      <c r="D16">
        <f t="shared" ref="D16:D22" si="2">D15+1</f>
        <v>3</v>
      </c>
    </row>
    <row r="17" spans="3:4" x14ac:dyDescent="0.35">
      <c r="C17">
        <f t="shared" si="0"/>
        <v>2</v>
      </c>
      <c r="D17">
        <f t="shared" si="2"/>
        <v>4</v>
      </c>
    </row>
    <row r="18" spans="3:4" x14ac:dyDescent="0.35">
      <c r="C18">
        <f t="shared" si="0"/>
        <v>2</v>
      </c>
      <c r="D18">
        <f t="shared" si="2"/>
        <v>5</v>
      </c>
    </row>
    <row r="19" spans="3:4" x14ac:dyDescent="0.35">
      <c r="C19">
        <f t="shared" si="0"/>
        <v>2</v>
      </c>
      <c r="D19">
        <f t="shared" si="2"/>
        <v>6</v>
      </c>
    </row>
    <row r="20" spans="3:4" x14ac:dyDescent="0.35">
      <c r="C20">
        <f t="shared" si="0"/>
        <v>2</v>
      </c>
      <c r="D20">
        <f t="shared" si="2"/>
        <v>7</v>
      </c>
    </row>
    <row r="21" spans="3:4" x14ac:dyDescent="0.35">
      <c r="C21">
        <f t="shared" si="0"/>
        <v>2</v>
      </c>
      <c r="D21">
        <f t="shared" si="2"/>
        <v>8</v>
      </c>
    </row>
    <row r="22" spans="3:4" x14ac:dyDescent="0.35">
      <c r="C22">
        <f t="shared" si="0"/>
        <v>2</v>
      </c>
      <c r="D22">
        <f t="shared" si="2"/>
        <v>9</v>
      </c>
    </row>
    <row r="23" spans="3:4" x14ac:dyDescent="0.35">
      <c r="C23">
        <f t="shared" si="0"/>
        <v>2</v>
      </c>
      <c r="D23">
        <v>10</v>
      </c>
    </row>
    <row r="24" spans="3:4" x14ac:dyDescent="0.35">
      <c r="C24">
        <f>C14+1</f>
        <v>3</v>
      </c>
      <c r="D24">
        <v>1</v>
      </c>
    </row>
    <row r="25" spans="3:4" x14ac:dyDescent="0.35">
      <c r="C25">
        <f>C24</f>
        <v>3</v>
      </c>
      <c r="D25">
        <f t="shared" ref="D25:D82" si="3">D24+1</f>
        <v>2</v>
      </c>
    </row>
    <row r="26" spans="3:4" x14ac:dyDescent="0.35">
      <c r="C26">
        <f t="shared" ref="C26:C33" si="4">C25</f>
        <v>3</v>
      </c>
      <c r="D26">
        <f t="shared" si="3"/>
        <v>3</v>
      </c>
    </row>
    <row r="27" spans="3:4" x14ac:dyDescent="0.35">
      <c r="C27">
        <f t="shared" si="4"/>
        <v>3</v>
      </c>
      <c r="D27">
        <f t="shared" si="3"/>
        <v>4</v>
      </c>
    </row>
    <row r="28" spans="3:4" x14ac:dyDescent="0.35">
      <c r="C28">
        <f t="shared" si="4"/>
        <v>3</v>
      </c>
      <c r="D28">
        <f t="shared" si="3"/>
        <v>5</v>
      </c>
    </row>
    <row r="29" spans="3:4" x14ac:dyDescent="0.35">
      <c r="C29">
        <f t="shared" si="4"/>
        <v>3</v>
      </c>
      <c r="D29">
        <f t="shared" si="3"/>
        <v>6</v>
      </c>
    </row>
    <row r="30" spans="3:4" x14ac:dyDescent="0.35">
      <c r="C30">
        <f t="shared" si="4"/>
        <v>3</v>
      </c>
      <c r="D30">
        <f t="shared" si="3"/>
        <v>7</v>
      </c>
    </row>
    <row r="31" spans="3:4" x14ac:dyDescent="0.35">
      <c r="C31">
        <f t="shared" si="4"/>
        <v>3</v>
      </c>
      <c r="D31">
        <f t="shared" si="3"/>
        <v>8</v>
      </c>
    </row>
    <row r="32" spans="3:4" x14ac:dyDescent="0.35">
      <c r="C32">
        <f t="shared" si="4"/>
        <v>3</v>
      </c>
      <c r="D32">
        <f t="shared" si="3"/>
        <v>9</v>
      </c>
    </row>
    <row r="33" spans="3:4" x14ac:dyDescent="0.35">
      <c r="C33">
        <f t="shared" si="4"/>
        <v>3</v>
      </c>
      <c r="D33">
        <v>10</v>
      </c>
    </row>
    <row r="34" spans="3:4" x14ac:dyDescent="0.35">
      <c r="C34">
        <f>C24+1</f>
        <v>4</v>
      </c>
      <c r="D34">
        <v>1</v>
      </c>
    </row>
    <row r="35" spans="3:4" x14ac:dyDescent="0.35">
      <c r="C35">
        <f>C34</f>
        <v>4</v>
      </c>
      <c r="D35">
        <f t="shared" ref="D35" si="5">D34+1</f>
        <v>2</v>
      </c>
    </row>
    <row r="36" spans="3:4" x14ac:dyDescent="0.35">
      <c r="C36">
        <f t="shared" ref="C36:C43" si="6">C35</f>
        <v>4</v>
      </c>
      <c r="D36">
        <f t="shared" si="3"/>
        <v>3</v>
      </c>
    </row>
    <row r="37" spans="3:4" x14ac:dyDescent="0.35">
      <c r="C37">
        <f t="shared" si="6"/>
        <v>4</v>
      </c>
      <c r="D37">
        <f t="shared" si="3"/>
        <v>4</v>
      </c>
    </row>
    <row r="38" spans="3:4" x14ac:dyDescent="0.35">
      <c r="C38">
        <f t="shared" si="6"/>
        <v>4</v>
      </c>
      <c r="D38">
        <f t="shared" si="3"/>
        <v>5</v>
      </c>
    </row>
    <row r="39" spans="3:4" x14ac:dyDescent="0.35">
      <c r="C39">
        <f t="shared" si="6"/>
        <v>4</v>
      </c>
      <c r="D39">
        <f t="shared" si="3"/>
        <v>6</v>
      </c>
    </row>
    <row r="40" spans="3:4" x14ac:dyDescent="0.35">
      <c r="C40">
        <f t="shared" si="6"/>
        <v>4</v>
      </c>
      <c r="D40">
        <f t="shared" si="3"/>
        <v>7</v>
      </c>
    </row>
    <row r="41" spans="3:4" x14ac:dyDescent="0.35">
      <c r="C41">
        <f t="shared" si="6"/>
        <v>4</v>
      </c>
      <c r="D41">
        <f t="shared" si="3"/>
        <v>8</v>
      </c>
    </row>
    <row r="42" spans="3:4" x14ac:dyDescent="0.35">
      <c r="C42">
        <f t="shared" si="6"/>
        <v>4</v>
      </c>
      <c r="D42">
        <f t="shared" si="3"/>
        <v>9</v>
      </c>
    </row>
    <row r="43" spans="3:4" x14ac:dyDescent="0.35">
      <c r="C43">
        <f t="shared" si="6"/>
        <v>4</v>
      </c>
      <c r="D43">
        <v>10</v>
      </c>
    </row>
    <row r="44" spans="3:4" x14ac:dyDescent="0.35">
      <c r="C44">
        <f>C34+1</f>
        <v>5</v>
      </c>
      <c r="D44">
        <v>1</v>
      </c>
    </row>
    <row r="45" spans="3:4" x14ac:dyDescent="0.35">
      <c r="C45">
        <f>C44</f>
        <v>5</v>
      </c>
      <c r="D45">
        <f t="shared" ref="D45" si="7">D44+1</f>
        <v>2</v>
      </c>
    </row>
    <row r="46" spans="3:4" x14ac:dyDescent="0.35">
      <c r="C46">
        <f t="shared" ref="C46:C53" si="8">C45</f>
        <v>5</v>
      </c>
      <c r="D46">
        <f t="shared" si="3"/>
        <v>3</v>
      </c>
    </row>
    <row r="47" spans="3:4" x14ac:dyDescent="0.35">
      <c r="C47">
        <f t="shared" si="8"/>
        <v>5</v>
      </c>
      <c r="D47">
        <f t="shared" si="3"/>
        <v>4</v>
      </c>
    </row>
    <row r="48" spans="3:4" x14ac:dyDescent="0.35">
      <c r="C48">
        <f t="shared" si="8"/>
        <v>5</v>
      </c>
      <c r="D48">
        <f t="shared" si="3"/>
        <v>5</v>
      </c>
    </row>
    <row r="49" spans="3:5" x14ac:dyDescent="0.35">
      <c r="C49">
        <f t="shared" si="8"/>
        <v>5</v>
      </c>
      <c r="D49">
        <f t="shared" si="3"/>
        <v>6</v>
      </c>
    </row>
    <row r="50" spans="3:5" x14ac:dyDescent="0.35">
      <c r="C50">
        <f t="shared" si="8"/>
        <v>5</v>
      </c>
      <c r="D50">
        <f t="shared" si="3"/>
        <v>7</v>
      </c>
    </row>
    <row r="51" spans="3:5" x14ac:dyDescent="0.35">
      <c r="C51">
        <f t="shared" si="8"/>
        <v>5</v>
      </c>
      <c r="D51">
        <f t="shared" si="3"/>
        <v>8</v>
      </c>
    </row>
    <row r="52" spans="3:5" x14ac:dyDescent="0.35">
      <c r="C52">
        <f t="shared" si="8"/>
        <v>5</v>
      </c>
      <c r="D52">
        <f t="shared" si="3"/>
        <v>9</v>
      </c>
    </row>
    <row r="53" spans="3:5" x14ac:dyDescent="0.35">
      <c r="C53">
        <f t="shared" si="8"/>
        <v>5</v>
      </c>
      <c r="D53">
        <v>10</v>
      </c>
    </row>
    <row r="54" spans="3:5" x14ac:dyDescent="0.35">
      <c r="C54">
        <f>C44+1</f>
        <v>6</v>
      </c>
      <c r="D54">
        <v>1</v>
      </c>
    </row>
    <row r="55" spans="3:5" x14ac:dyDescent="0.35">
      <c r="C55">
        <f>C54</f>
        <v>6</v>
      </c>
      <c r="D55">
        <f t="shared" ref="D55" si="9">D54+1</f>
        <v>2</v>
      </c>
    </row>
    <row r="56" spans="3:5" x14ac:dyDescent="0.35">
      <c r="C56">
        <f t="shared" ref="C56:C63" si="10">C55</f>
        <v>6</v>
      </c>
      <c r="D56">
        <f t="shared" si="3"/>
        <v>3</v>
      </c>
    </row>
    <row r="57" spans="3:5" x14ac:dyDescent="0.35">
      <c r="C57">
        <f t="shared" si="10"/>
        <v>6</v>
      </c>
      <c r="D57">
        <f t="shared" si="3"/>
        <v>4</v>
      </c>
    </row>
    <row r="58" spans="3:5" x14ac:dyDescent="0.35">
      <c r="C58">
        <f t="shared" si="10"/>
        <v>6</v>
      </c>
      <c r="D58">
        <f t="shared" si="3"/>
        <v>5</v>
      </c>
    </row>
    <row r="59" spans="3:5" x14ac:dyDescent="0.35">
      <c r="C59">
        <f t="shared" si="10"/>
        <v>6</v>
      </c>
      <c r="D59">
        <f t="shared" si="3"/>
        <v>6</v>
      </c>
    </row>
    <row r="60" spans="3:5" x14ac:dyDescent="0.35">
      <c r="C60">
        <f t="shared" si="10"/>
        <v>6</v>
      </c>
      <c r="D60">
        <f t="shared" si="3"/>
        <v>7</v>
      </c>
    </row>
    <row r="61" spans="3:5" x14ac:dyDescent="0.35">
      <c r="C61">
        <f t="shared" si="10"/>
        <v>6</v>
      </c>
      <c r="D61">
        <f t="shared" si="3"/>
        <v>8</v>
      </c>
    </row>
    <row r="62" spans="3:5" x14ac:dyDescent="0.35">
      <c r="C62">
        <f t="shared" si="10"/>
        <v>6</v>
      </c>
      <c r="D62">
        <f t="shared" si="3"/>
        <v>9</v>
      </c>
    </row>
    <row r="63" spans="3:5" x14ac:dyDescent="0.35">
      <c r="C63">
        <f t="shared" si="10"/>
        <v>6</v>
      </c>
      <c r="D63">
        <v>10</v>
      </c>
    </row>
    <row r="64" spans="3:5" x14ac:dyDescent="0.35">
      <c r="C64">
        <f>C54+1</f>
        <v>7</v>
      </c>
      <c r="E64">
        <v>1</v>
      </c>
    </row>
    <row r="65" spans="3:5" x14ac:dyDescent="0.35">
      <c r="C65">
        <f>C64</f>
        <v>7</v>
      </c>
      <c r="E65">
        <f>E64+1</f>
        <v>2</v>
      </c>
    </row>
    <row r="66" spans="3:5" x14ac:dyDescent="0.35">
      <c r="C66">
        <f t="shared" ref="C66:C73" si="11">C65</f>
        <v>7</v>
      </c>
      <c r="D66">
        <f>E65+1</f>
        <v>3</v>
      </c>
    </row>
    <row r="67" spans="3:5" x14ac:dyDescent="0.35">
      <c r="C67">
        <f t="shared" si="11"/>
        <v>7</v>
      </c>
      <c r="D67">
        <f>D66+1</f>
        <v>4</v>
      </c>
    </row>
    <row r="68" spans="3:5" x14ac:dyDescent="0.35">
      <c r="C68">
        <f t="shared" si="11"/>
        <v>7</v>
      </c>
      <c r="D68">
        <f>D67+1</f>
        <v>5</v>
      </c>
    </row>
    <row r="69" spans="3:5" x14ac:dyDescent="0.35">
      <c r="C69">
        <f t="shared" si="11"/>
        <v>7</v>
      </c>
      <c r="D69">
        <f t="shared" si="3"/>
        <v>6</v>
      </c>
    </row>
    <row r="70" spans="3:5" x14ac:dyDescent="0.35">
      <c r="C70">
        <f t="shared" si="11"/>
        <v>7</v>
      </c>
      <c r="D70">
        <f t="shared" si="3"/>
        <v>7</v>
      </c>
    </row>
    <row r="71" spans="3:5" x14ac:dyDescent="0.35">
      <c r="C71">
        <f t="shared" si="11"/>
        <v>7</v>
      </c>
      <c r="D71">
        <f t="shared" si="3"/>
        <v>8</v>
      </c>
    </row>
    <row r="72" spans="3:5" x14ac:dyDescent="0.35">
      <c r="C72">
        <f t="shared" si="11"/>
        <v>7</v>
      </c>
      <c r="D72">
        <f t="shared" si="3"/>
        <v>9</v>
      </c>
    </row>
    <row r="73" spans="3:5" x14ac:dyDescent="0.35">
      <c r="C73">
        <f t="shared" si="11"/>
        <v>7</v>
      </c>
      <c r="D73">
        <v>10</v>
      </c>
    </row>
    <row r="74" spans="3:5" x14ac:dyDescent="0.35">
      <c r="C74">
        <f>C64+1</f>
        <v>8</v>
      </c>
      <c r="E74">
        <v>1</v>
      </c>
    </row>
    <row r="75" spans="3:5" x14ac:dyDescent="0.35">
      <c r="C75">
        <f>C74</f>
        <v>8</v>
      </c>
      <c r="E75">
        <f>E74+1</f>
        <v>2</v>
      </c>
    </row>
    <row r="76" spans="3:5" x14ac:dyDescent="0.35">
      <c r="C76">
        <f t="shared" ref="C76:C83" si="12">C75</f>
        <v>8</v>
      </c>
      <c r="E76">
        <f>E75+1</f>
        <v>3</v>
      </c>
    </row>
    <row r="77" spans="3:5" x14ac:dyDescent="0.35">
      <c r="C77">
        <f t="shared" si="12"/>
        <v>8</v>
      </c>
      <c r="E77">
        <f>E76+1</f>
        <v>4</v>
      </c>
    </row>
    <row r="78" spans="3:5" x14ac:dyDescent="0.35">
      <c r="C78">
        <f t="shared" si="12"/>
        <v>8</v>
      </c>
      <c r="D78">
        <f>E77+1</f>
        <v>5</v>
      </c>
    </row>
    <row r="79" spans="3:5" x14ac:dyDescent="0.35">
      <c r="C79">
        <f t="shared" si="12"/>
        <v>8</v>
      </c>
      <c r="D79">
        <f t="shared" si="3"/>
        <v>6</v>
      </c>
    </row>
    <row r="80" spans="3:5" x14ac:dyDescent="0.35">
      <c r="C80">
        <f t="shared" si="12"/>
        <v>8</v>
      </c>
      <c r="D80">
        <f t="shared" si="3"/>
        <v>7</v>
      </c>
    </row>
    <row r="81" spans="3:5" x14ac:dyDescent="0.35">
      <c r="C81">
        <f t="shared" si="12"/>
        <v>8</v>
      </c>
      <c r="D81">
        <f t="shared" si="3"/>
        <v>8</v>
      </c>
    </row>
    <row r="82" spans="3:5" x14ac:dyDescent="0.35">
      <c r="C82">
        <f t="shared" si="12"/>
        <v>8</v>
      </c>
      <c r="D82">
        <f t="shared" si="3"/>
        <v>9</v>
      </c>
    </row>
    <row r="83" spans="3:5" x14ac:dyDescent="0.35">
      <c r="C83">
        <f t="shared" si="12"/>
        <v>8</v>
      </c>
      <c r="D83">
        <v>10</v>
      </c>
    </row>
    <row r="84" spans="3:5" x14ac:dyDescent="0.35">
      <c r="C84">
        <f>C74+1</f>
        <v>9</v>
      </c>
      <c r="E84">
        <v>1</v>
      </c>
    </row>
    <row r="85" spans="3:5" x14ac:dyDescent="0.35">
      <c r="C85">
        <f>C84</f>
        <v>9</v>
      </c>
      <c r="E85">
        <f>E84+1</f>
        <v>2</v>
      </c>
    </row>
    <row r="86" spans="3:5" x14ac:dyDescent="0.35">
      <c r="C86">
        <f t="shared" ref="C86:C93" si="13">C85</f>
        <v>9</v>
      </c>
      <c r="E86">
        <f>E85+1</f>
        <v>3</v>
      </c>
    </row>
    <row r="87" spans="3:5" x14ac:dyDescent="0.35">
      <c r="C87">
        <f t="shared" si="13"/>
        <v>9</v>
      </c>
      <c r="E87">
        <f>E86+1</f>
        <v>4</v>
      </c>
    </row>
    <row r="88" spans="3:5" x14ac:dyDescent="0.35">
      <c r="C88">
        <f t="shared" si="13"/>
        <v>9</v>
      </c>
      <c r="D88">
        <f>E87+1</f>
        <v>5</v>
      </c>
    </row>
    <row r="89" spans="3:5" x14ac:dyDescent="0.35">
      <c r="C89">
        <f t="shared" si="13"/>
        <v>9</v>
      </c>
      <c r="D89">
        <f t="shared" ref="D89:D90" si="14">D88+1</f>
        <v>6</v>
      </c>
    </row>
    <row r="90" spans="3:5" x14ac:dyDescent="0.35">
      <c r="C90">
        <f t="shared" si="13"/>
        <v>9</v>
      </c>
      <c r="D90">
        <f t="shared" si="14"/>
        <v>7</v>
      </c>
    </row>
    <row r="91" spans="3:5" x14ac:dyDescent="0.35">
      <c r="C91">
        <f t="shared" si="13"/>
        <v>9</v>
      </c>
      <c r="D91">
        <f>D90+1</f>
        <v>8</v>
      </c>
    </row>
    <row r="92" spans="3:5" x14ac:dyDescent="0.35">
      <c r="C92">
        <f t="shared" si="13"/>
        <v>9</v>
      </c>
      <c r="D92">
        <f>D91+1</f>
        <v>9</v>
      </c>
    </row>
    <row r="93" spans="3:5" x14ac:dyDescent="0.35">
      <c r="C93">
        <f t="shared" si="13"/>
        <v>9</v>
      </c>
      <c r="D93">
        <v>10</v>
      </c>
    </row>
    <row r="94" spans="3:5" x14ac:dyDescent="0.35">
      <c r="C94">
        <f>C84+1</f>
        <v>10</v>
      </c>
      <c r="E94">
        <v>1</v>
      </c>
    </row>
    <row r="95" spans="3:5" x14ac:dyDescent="0.35">
      <c r="C95">
        <f>C94</f>
        <v>10</v>
      </c>
      <c r="E95">
        <f>E94+1</f>
        <v>2</v>
      </c>
    </row>
    <row r="96" spans="3:5" x14ac:dyDescent="0.35">
      <c r="C96">
        <f t="shared" ref="C96:C98" si="15">C95</f>
        <v>10</v>
      </c>
      <c r="E96">
        <f>E95+1</f>
        <v>3</v>
      </c>
    </row>
    <row r="97" spans="3:5" x14ac:dyDescent="0.35">
      <c r="C97">
        <f t="shared" si="15"/>
        <v>10</v>
      </c>
      <c r="E97">
        <f>E96+1</f>
        <v>4</v>
      </c>
    </row>
    <row r="98" spans="3:5" x14ac:dyDescent="0.35">
      <c r="C98">
        <f t="shared" si="15"/>
        <v>10</v>
      </c>
      <c r="D98">
        <f>E97+1</f>
        <v>5</v>
      </c>
    </row>
    <row r="99" spans="3:5" x14ac:dyDescent="0.35">
      <c r="C99">
        <f>C98</f>
        <v>10</v>
      </c>
      <c r="D99">
        <f>D98+1</f>
        <v>6</v>
      </c>
    </row>
    <row r="100" spans="3:5" x14ac:dyDescent="0.35">
      <c r="C100">
        <f>C99</f>
        <v>10</v>
      </c>
      <c r="D100">
        <f>D99+1</f>
        <v>7</v>
      </c>
    </row>
    <row r="101" spans="3:5" x14ac:dyDescent="0.35">
      <c r="C101">
        <f>C100</f>
        <v>10</v>
      </c>
      <c r="D101">
        <f>D100+1</f>
        <v>8</v>
      </c>
    </row>
    <row r="102" spans="3:5" x14ac:dyDescent="0.35">
      <c r="C102">
        <f>C101</f>
        <v>10</v>
      </c>
      <c r="D102">
        <f>D101+1</f>
        <v>9</v>
      </c>
    </row>
    <row r="103" spans="3:5" x14ac:dyDescent="0.35">
      <c r="C103">
        <f>C102</f>
        <v>10</v>
      </c>
      <c r="D103">
        <v>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D46-5AA3-47C8-BC56-6015193B551C}">
  <dimension ref="A4:G866"/>
  <sheetViews>
    <sheetView topLeftCell="A4" workbookViewId="0">
      <selection activeCell="X36" sqref="X36"/>
    </sheetView>
  </sheetViews>
  <sheetFormatPr defaultRowHeight="14.5" x14ac:dyDescent="0.35"/>
  <cols>
    <col min="1" max="2" width="16.7265625" bestFit="1" customWidth="1"/>
    <col min="3" max="3" width="10.453125" bestFit="1" customWidth="1"/>
    <col min="6" max="6" width="16.81640625" bestFit="1" customWidth="1"/>
    <col min="7" max="7" width="14.26953125" bestFit="1" customWidth="1"/>
  </cols>
  <sheetData>
    <row r="4" spans="1:7" x14ac:dyDescent="0.35">
      <c r="A4" s="22" t="s">
        <v>87</v>
      </c>
      <c r="B4" s="22" t="s">
        <v>87</v>
      </c>
      <c r="C4" s="22" t="s">
        <v>88</v>
      </c>
    </row>
    <row r="5" spans="1:7" x14ac:dyDescent="0.35">
      <c r="A5" s="24">
        <v>19906</v>
      </c>
      <c r="B5" s="24">
        <v>19906</v>
      </c>
      <c r="C5" s="23">
        <v>0.8</v>
      </c>
      <c r="D5">
        <v>1</v>
      </c>
      <c r="E5">
        <f t="shared" ref="E5:E68" si="0">E6+1</f>
        <v>861</v>
      </c>
      <c r="F5" s="21"/>
    </row>
    <row r="6" spans="1:7" x14ac:dyDescent="0.35">
      <c r="A6" s="24">
        <v>19937</v>
      </c>
      <c r="B6" s="24">
        <v>19937</v>
      </c>
      <c r="C6" s="23">
        <v>1.22</v>
      </c>
      <c r="D6">
        <v>0</v>
      </c>
      <c r="E6">
        <f t="shared" si="0"/>
        <v>860</v>
      </c>
      <c r="F6" s="21"/>
      <c r="G6" s="21"/>
    </row>
    <row r="7" spans="1:7" x14ac:dyDescent="0.35">
      <c r="A7" s="24">
        <v>19968</v>
      </c>
      <c r="B7" s="24">
        <v>19968</v>
      </c>
      <c r="C7" s="23">
        <v>1.07</v>
      </c>
      <c r="D7">
        <v>0</v>
      </c>
      <c r="E7">
        <f t="shared" si="0"/>
        <v>859</v>
      </c>
      <c r="F7" s="21"/>
      <c r="G7" s="21"/>
    </row>
    <row r="8" spans="1:7" x14ac:dyDescent="0.35">
      <c r="A8" s="24">
        <v>19998</v>
      </c>
      <c r="B8" s="24">
        <v>19998</v>
      </c>
      <c r="C8" s="23">
        <v>0.85</v>
      </c>
      <c r="D8">
        <v>0</v>
      </c>
      <c r="E8">
        <f t="shared" si="0"/>
        <v>858</v>
      </c>
      <c r="F8" s="21"/>
      <c r="G8" s="21"/>
    </row>
    <row r="9" spans="1:7" x14ac:dyDescent="0.35">
      <c r="A9" s="24">
        <v>20029</v>
      </c>
      <c r="B9" s="24">
        <v>20029</v>
      </c>
      <c r="C9" s="23">
        <v>0.83</v>
      </c>
      <c r="D9">
        <v>1</v>
      </c>
      <c r="E9">
        <f t="shared" si="0"/>
        <v>857</v>
      </c>
      <c r="F9" s="21"/>
      <c r="G9" s="21"/>
    </row>
    <row r="10" spans="1:7" x14ac:dyDescent="0.35">
      <c r="A10" s="24">
        <v>20059</v>
      </c>
      <c r="B10" s="24">
        <v>20059</v>
      </c>
      <c r="C10" s="23">
        <v>1.28</v>
      </c>
      <c r="D10">
        <v>0</v>
      </c>
      <c r="E10">
        <f t="shared" si="0"/>
        <v>856</v>
      </c>
      <c r="F10" s="21"/>
      <c r="G10" s="21"/>
    </row>
    <row r="11" spans="1:7" x14ac:dyDescent="0.35">
      <c r="A11" s="24">
        <v>20090</v>
      </c>
      <c r="B11" s="24">
        <v>20090</v>
      </c>
      <c r="C11" s="23">
        <v>1.39</v>
      </c>
      <c r="D11">
        <v>0</v>
      </c>
      <c r="E11">
        <f t="shared" si="0"/>
        <v>855</v>
      </c>
      <c r="F11" s="21"/>
      <c r="G11" s="21"/>
    </row>
    <row r="12" spans="1:7" x14ac:dyDescent="0.35">
      <c r="A12" s="24">
        <v>20121</v>
      </c>
      <c r="B12" s="24">
        <v>20121</v>
      </c>
      <c r="C12" s="23">
        <v>1.29</v>
      </c>
      <c r="D12">
        <v>0</v>
      </c>
      <c r="E12">
        <f t="shared" si="0"/>
        <v>854</v>
      </c>
      <c r="F12" s="21"/>
      <c r="G12" s="21"/>
    </row>
    <row r="13" spans="1:7" x14ac:dyDescent="0.35">
      <c r="A13" s="24">
        <v>20149</v>
      </c>
      <c r="B13" s="24">
        <v>20149</v>
      </c>
      <c r="C13" s="23">
        <v>1.35</v>
      </c>
      <c r="D13">
        <v>1</v>
      </c>
      <c r="E13">
        <f t="shared" si="0"/>
        <v>853</v>
      </c>
      <c r="F13" s="21"/>
      <c r="G13" s="21"/>
    </row>
    <row r="14" spans="1:7" x14ac:dyDescent="0.35">
      <c r="A14" s="24">
        <v>20180</v>
      </c>
      <c r="B14" s="24">
        <v>20180</v>
      </c>
      <c r="C14" s="23">
        <v>1.43</v>
      </c>
      <c r="D14">
        <v>0</v>
      </c>
      <c r="E14">
        <f t="shared" si="0"/>
        <v>852</v>
      </c>
      <c r="F14" s="21"/>
      <c r="G14" s="21"/>
    </row>
    <row r="15" spans="1:7" x14ac:dyDescent="0.35">
      <c r="A15" s="24">
        <v>20210</v>
      </c>
      <c r="B15" s="24">
        <v>20210</v>
      </c>
      <c r="C15" s="23">
        <v>1.43</v>
      </c>
      <c r="D15">
        <v>0</v>
      </c>
      <c r="E15">
        <f t="shared" si="0"/>
        <v>851</v>
      </c>
      <c r="F15" s="21"/>
      <c r="G15" s="21"/>
    </row>
    <row r="16" spans="1:7" x14ac:dyDescent="0.35">
      <c r="A16" s="24">
        <v>20241</v>
      </c>
      <c r="B16" s="24">
        <v>20241</v>
      </c>
      <c r="C16" s="23">
        <v>1.64</v>
      </c>
      <c r="D16">
        <v>0</v>
      </c>
      <c r="E16">
        <f t="shared" si="0"/>
        <v>850</v>
      </c>
      <c r="F16" s="21"/>
      <c r="G16" s="21"/>
    </row>
    <row r="17" spans="1:7" x14ac:dyDescent="0.35">
      <c r="A17" s="24">
        <v>20271</v>
      </c>
      <c r="B17" s="24">
        <v>20271</v>
      </c>
      <c r="C17" s="23">
        <v>1.68</v>
      </c>
      <c r="D17">
        <v>1</v>
      </c>
      <c r="E17">
        <f t="shared" si="0"/>
        <v>849</v>
      </c>
      <c r="F17" s="21"/>
      <c r="G17" s="21"/>
    </row>
    <row r="18" spans="1:7" x14ac:dyDescent="0.35">
      <c r="A18" s="24">
        <v>20302</v>
      </c>
      <c r="B18" s="24">
        <v>20302</v>
      </c>
      <c r="C18" s="23">
        <v>1.96</v>
      </c>
      <c r="D18">
        <v>0</v>
      </c>
      <c r="E18">
        <f t="shared" si="0"/>
        <v>848</v>
      </c>
      <c r="F18" s="21"/>
      <c r="G18" s="21"/>
    </row>
    <row r="19" spans="1:7" x14ac:dyDescent="0.35">
      <c r="A19" s="24">
        <v>20333</v>
      </c>
      <c r="B19" s="24">
        <v>20333</v>
      </c>
      <c r="C19" s="23">
        <v>2.1800000000000002</v>
      </c>
      <c r="D19">
        <v>0</v>
      </c>
      <c r="E19">
        <f t="shared" si="0"/>
        <v>847</v>
      </c>
      <c r="F19" s="21"/>
      <c r="G19" s="21"/>
    </row>
    <row r="20" spans="1:7" x14ac:dyDescent="0.35">
      <c r="A20" s="24">
        <v>20363</v>
      </c>
      <c r="B20" s="24">
        <v>20363</v>
      </c>
      <c r="C20" s="23">
        <v>2.2400000000000002</v>
      </c>
      <c r="D20">
        <v>0</v>
      </c>
      <c r="E20">
        <f t="shared" si="0"/>
        <v>846</v>
      </c>
      <c r="F20" s="21"/>
      <c r="G20" s="21"/>
    </row>
    <row r="21" spans="1:7" x14ac:dyDescent="0.35">
      <c r="A21" s="24">
        <v>20394</v>
      </c>
      <c r="B21" s="24">
        <v>20394</v>
      </c>
      <c r="C21" s="23">
        <v>2.35</v>
      </c>
      <c r="D21">
        <v>1</v>
      </c>
      <c r="E21">
        <f t="shared" si="0"/>
        <v>845</v>
      </c>
      <c r="F21" s="21"/>
      <c r="G21" s="21"/>
    </row>
    <row r="22" spans="1:7" x14ac:dyDescent="0.35">
      <c r="A22" s="24">
        <v>20424</v>
      </c>
      <c r="B22" s="24">
        <v>20424</v>
      </c>
      <c r="C22" s="23">
        <v>2.48</v>
      </c>
      <c r="D22">
        <v>0</v>
      </c>
      <c r="E22">
        <f t="shared" si="0"/>
        <v>844</v>
      </c>
      <c r="F22" s="21"/>
      <c r="G22" s="21"/>
    </row>
    <row r="23" spans="1:7" x14ac:dyDescent="0.35">
      <c r="A23" s="24">
        <v>20455</v>
      </c>
      <c r="B23" s="24">
        <v>20455</v>
      </c>
      <c r="C23" s="23">
        <v>2.4500000000000002</v>
      </c>
      <c r="D23">
        <v>0</v>
      </c>
      <c r="E23">
        <f t="shared" si="0"/>
        <v>843</v>
      </c>
      <c r="F23" s="21"/>
      <c r="G23" s="21"/>
    </row>
    <row r="24" spans="1:7" x14ac:dyDescent="0.35">
      <c r="A24" s="24">
        <v>20486</v>
      </c>
      <c r="B24" s="24">
        <v>20486</v>
      </c>
      <c r="C24" s="23">
        <v>2.5</v>
      </c>
      <c r="D24">
        <v>0</v>
      </c>
      <c r="E24">
        <f t="shared" si="0"/>
        <v>842</v>
      </c>
      <c r="F24" s="21"/>
      <c r="G24" s="21"/>
    </row>
    <row r="25" spans="1:7" x14ac:dyDescent="0.35">
      <c r="A25" s="24">
        <v>20515</v>
      </c>
      <c r="B25" s="24">
        <v>20515</v>
      </c>
      <c r="C25" s="23">
        <v>2.5</v>
      </c>
      <c r="D25">
        <v>1</v>
      </c>
      <c r="E25">
        <f t="shared" si="0"/>
        <v>841</v>
      </c>
      <c r="F25" s="21"/>
      <c r="G25" s="21"/>
    </row>
    <row r="26" spans="1:7" x14ac:dyDescent="0.35">
      <c r="A26" s="24">
        <v>20546</v>
      </c>
      <c r="B26" s="24">
        <v>20546</v>
      </c>
      <c r="C26" s="23">
        <v>2.62</v>
      </c>
      <c r="D26">
        <v>0</v>
      </c>
      <c r="E26">
        <f t="shared" si="0"/>
        <v>840</v>
      </c>
      <c r="F26" s="21"/>
      <c r="G26" s="21"/>
    </row>
    <row r="27" spans="1:7" x14ac:dyDescent="0.35">
      <c r="A27" s="24">
        <v>20576</v>
      </c>
      <c r="B27" s="24">
        <v>20576</v>
      </c>
      <c r="C27" s="23">
        <v>2.75</v>
      </c>
      <c r="D27">
        <v>0</v>
      </c>
      <c r="E27">
        <f t="shared" si="0"/>
        <v>839</v>
      </c>
      <c r="F27" s="21"/>
      <c r="G27" s="21"/>
    </row>
    <row r="28" spans="1:7" x14ac:dyDescent="0.35">
      <c r="A28" s="24">
        <v>20607</v>
      </c>
      <c r="B28" s="24">
        <v>20607</v>
      </c>
      <c r="C28" s="23">
        <v>2.71</v>
      </c>
      <c r="D28">
        <v>0</v>
      </c>
      <c r="E28">
        <f t="shared" si="0"/>
        <v>838</v>
      </c>
      <c r="F28" s="21"/>
      <c r="G28" s="21"/>
    </row>
    <row r="29" spans="1:7" x14ac:dyDescent="0.35">
      <c r="A29" s="24">
        <v>20637</v>
      </c>
      <c r="B29" s="24">
        <v>20637</v>
      </c>
      <c r="C29" s="23">
        <v>2.75</v>
      </c>
      <c r="D29">
        <v>1</v>
      </c>
      <c r="E29">
        <f t="shared" si="0"/>
        <v>837</v>
      </c>
      <c r="F29" s="21"/>
      <c r="G29" s="21"/>
    </row>
    <row r="30" spans="1:7" x14ac:dyDescent="0.35">
      <c r="A30" s="24">
        <v>20668</v>
      </c>
      <c r="B30" s="24">
        <v>20668</v>
      </c>
      <c r="C30" s="23">
        <v>2.73</v>
      </c>
      <c r="D30">
        <v>0</v>
      </c>
      <c r="E30">
        <f t="shared" si="0"/>
        <v>836</v>
      </c>
      <c r="F30" s="21"/>
      <c r="G30" s="21"/>
    </row>
    <row r="31" spans="1:7" x14ac:dyDescent="0.35">
      <c r="A31" s="24">
        <v>20699</v>
      </c>
      <c r="B31" s="24">
        <v>20699</v>
      </c>
      <c r="C31" s="23">
        <v>2.95</v>
      </c>
      <c r="D31">
        <v>0</v>
      </c>
      <c r="E31">
        <f t="shared" si="0"/>
        <v>835</v>
      </c>
      <c r="F31" s="21"/>
      <c r="G31" s="21"/>
    </row>
    <row r="32" spans="1:7" x14ac:dyDescent="0.35">
      <c r="A32" s="24">
        <v>20729</v>
      </c>
      <c r="B32" s="24">
        <v>20729</v>
      </c>
      <c r="C32" s="23">
        <v>2.96</v>
      </c>
      <c r="D32">
        <v>0</v>
      </c>
      <c r="E32">
        <f t="shared" si="0"/>
        <v>834</v>
      </c>
      <c r="F32" s="21"/>
      <c r="G32" s="21"/>
    </row>
    <row r="33" spans="1:7" x14ac:dyDescent="0.35">
      <c r="A33" s="24">
        <v>20760</v>
      </c>
      <c r="B33" s="24">
        <v>20760</v>
      </c>
      <c r="C33" s="23">
        <v>2.88</v>
      </c>
      <c r="D33">
        <v>1</v>
      </c>
      <c r="E33">
        <f t="shared" si="0"/>
        <v>833</v>
      </c>
      <c r="F33" s="21"/>
      <c r="G33" s="21"/>
    </row>
    <row r="34" spans="1:7" x14ac:dyDescent="0.35">
      <c r="A34" s="24">
        <v>20790</v>
      </c>
      <c r="B34" s="24">
        <v>20790</v>
      </c>
      <c r="C34" s="23">
        <v>2.94</v>
      </c>
      <c r="D34">
        <v>0</v>
      </c>
      <c r="E34">
        <f t="shared" si="0"/>
        <v>832</v>
      </c>
      <c r="F34" s="21"/>
      <c r="G34" s="21"/>
    </row>
    <row r="35" spans="1:7" x14ac:dyDescent="0.35">
      <c r="A35" s="24">
        <v>20821</v>
      </c>
      <c r="B35" s="24">
        <v>20821</v>
      </c>
      <c r="C35" s="23">
        <v>2.84</v>
      </c>
      <c r="D35">
        <v>0</v>
      </c>
      <c r="E35">
        <f t="shared" si="0"/>
        <v>831</v>
      </c>
      <c r="F35" s="21"/>
      <c r="G35" s="21"/>
    </row>
    <row r="36" spans="1:7" x14ac:dyDescent="0.35">
      <c r="A36" s="24">
        <v>20852</v>
      </c>
      <c r="B36" s="24">
        <v>20852</v>
      </c>
      <c r="C36" s="23">
        <v>3</v>
      </c>
      <c r="D36">
        <v>0</v>
      </c>
      <c r="E36">
        <f t="shared" si="0"/>
        <v>830</v>
      </c>
      <c r="F36" s="21"/>
      <c r="G36" s="21"/>
    </row>
    <row r="37" spans="1:7" x14ac:dyDescent="0.35">
      <c r="A37" s="24">
        <v>20880</v>
      </c>
      <c r="B37" s="24">
        <v>20880</v>
      </c>
      <c r="C37" s="23">
        <v>2.96</v>
      </c>
      <c r="D37">
        <v>1</v>
      </c>
      <c r="E37">
        <f t="shared" si="0"/>
        <v>829</v>
      </c>
      <c r="F37" s="21"/>
      <c r="G37" s="21"/>
    </row>
    <row r="38" spans="1:7" x14ac:dyDescent="0.35">
      <c r="A38" s="24">
        <v>20911</v>
      </c>
      <c r="B38" s="24">
        <v>20911</v>
      </c>
      <c r="C38" s="23">
        <v>3</v>
      </c>
      <c r="D38">
        <v>0</v>
      </c>
      <c r="E38">
        <f t="shared" si="0"/>
        <v>828</v>
      </c>
      <c r="F38" s="21"/>
      <c r="G38" s="21"/>
    </row>
    <row r="39" spans="1:7" x14ac:dyDescent="0.35">
      <c r="A39" s="24">
        <v>20941</v>
      </c>
      <c r="B39" s="24">
        <v>20941</v>
      </c>
      <c r="C39" s="23">
        <v>3</v>
      </c>
      <c r="D39">
        <v>0</v>
      </c>
      <c r="E39">
        <f t="shared" si="0"/>
        <v>827</v>
      </c>
      <c r="F39" s="21"/>
      <c r="G39" s="21"/>
    </row>
    <row r="40" spans="1:7" x14ac:dyDescent="0.35">
      <c r="A40" s="24">
        <v>20972</v>
      </c>
      <c r="B40" s="24">
        <v>20972</v>
      </c>
      <c r="C40" s="23">
        <v>3</v>
      </c>
      <c r="D40">
        <v>0</v>
      </c>
      <c r="E40">
        <f t="shared" si="0"/>
        <v>826</v>
      </c>
      <c r="F40" s="21"/>
      <c r="G40" s="21"/>
    </row>
    <row r="41" spans="1:7" x14ac:dyDescent="0.35">
      <c r="A41" s="24">
        <v>21002</v>
      </c>
      <c r="B41" s="24">
        <v>21002</v>
      </c>
      <c r="C41" s="23">
        <v>2.99</v>
      </c>
      <c r="D41">
        <v>1</v>
      </c>
      <c r="E41">
        <f t="shared" si="0"/>
        <v>825</v>
      </c>
      <c r="F41" s="21"/>
      <c r="G41" s="21"/>
    </row>
    <row r="42" spans="1:7" x14ac:dyDescent="0.35">
      <c r="A42" s="24">
        <v>21033</v>
      </c>
      <c r="B42" s="24">
        <v>21033</v>
      </c>
      <c r="C42" s="23">
        <v>3.24</v>
      </c>
      <c r="D42">
        <v>0</v>
      </c>
      <c r="E42">
        <f t="shared" si="0"/>
        <v>824</v>
      </c>
      <c r="F42" s="21"/>
      <c r="G42" s="21"/>
    </row>
    <row r="43" spans="1:7" x14ac:dyDescent="0.35">
      <c r="A43" s="24">
        <v>21064</v>
      </c>
      <c r="B43" s="24">
        <v>21064</v>
      </c>
      <c r="C43" s="23">
        <v>3.47</v>
      </c>
      <c r="D43">
        <v>0</v>
      </c>
      <c r="E43">
        <f t="shared" si="0"/>
        <v>823</v>
      </c>
      <c r="F43" s="21"/>
      <c r="G43" s="21"/>
    </row>
    <row r="44" spans="1:7" x14ac:dyDescent="0.35">
      <c r="A44" s="24">
        <v>21094</v>
      </c>
      <c r="B44" s="24">
        <v>21094</v>
      </c>
      <c r="C44" s="23">
        <v>3.5</v>
      </c>
      <c r="D44">
        <v>0</v>
      </c>
      <c r="E44">
        <f t="shared" si="0"/>
        <v>822</v>
      </c>
      <c r="F44" s="21"/>
      <c r="G44" s="21"/>
    </row>
    <row r="45" spans="1:7" x14ac:dyDescent="0.35">
      <c r="A45" s="24">
        <v>21125</v>
      </c>
      <c r="B45" s="24">
        <v>21125</v>
      </c>
      <c r="C45" s="23">
        <v>3.28</v>
      </c>
      <c r="D45">
        <v>1</v>
      </c>
      <c r="E45">
        <f t="shared" si="0"/>
        <v>821</v>
      </c>
      <c r="F45" s="21"/>
      <c r="G45" s="21"/>
    </row>
    <row r="46" spans="1:7" x14ac:dyDescent="0.35">
      <c r="A46" s="24">
        <v>21155</v>
      </c>
      <c r="B46" s="24">
        <v>21155</v>
      </c>
      <c r="C46" s="23">
        <v>2.98</v>
      </c>
      <c r="D46">
        <v>0</v>
      </c>
      <c r="E46">
        <f t="shared" si="0"/>
        <v>820</v>
      </c>
      <c r="F46" s="21"/>
      <c r="G46" s="21"/>
    </row>
    <row r="47" spans="1:7" x14ac:dyDescent="0.35">
      <c r="A47" s="24">
        <v>21186</v>
      </c>
      <c r="B47" s="24">
        <v>21186</v>
      </c>
      <c r="C47" s="23">
        <v>2.72</v>
      </c>
      <c r="D47">
        <v>0</v>
      </c>
      <c r="E47">
        <f t="shared" si="0"/>
        <v>819</v>
      </c>
      <c r="F47" s="21"/>
      <c r="G47" s="21"/>
    </row>
    <row r="48" spans="1:7" x14ac:dyDescent="0.35">
      <c r="A48" s="24">
        <v>21217</v>
      </c>
      <c r="B48" s="24">
        <v>21217</v>
      </c>
      <c r="C48" s="23">
        <v>1.67</v>
      </c>
      <c r="D48">
        <v>0</v>
      </c>
      <c r="E48">
        <f t="shared" si="0"/>
        <v>818</v>
      </c>
      <c r="F48" s="21"/>
      <c r="G48" s="21"/>
    </row>
    <row r="49" spans="1:7" x14ac:dyDescent="0.35">
      <c r="A49" s="24">
        <v>21245</v>
      </c>
      <c r="B49" s="24">
        <v>21245</v>
      </c>
      <c r="C49" s="23">
        <v>1.2</v>
      </c>
      <c r="D49">
        <v>1</v>
      </c>
      <c r="E49">
        <f t="shared" si="0"/>
        <v>817</v>
      </c>
      <c r="F49" s="21"/>
      <c r="G49" s="21"/>
    </row>
    <row r="50" spans="1:7" x14ac:dyDescent="0.35">
      <c r="A50" s="24">
        <v>21276</v>
      </c>
      <c r="B50" s="24">
        <v>21276</v>
      </c>
      <c r="C50" s="23">
        <v>1.26</v>
      </c>
      <c r="D50">
        <v>0</v>
      </c>
      <c r="E50">
        <f t="shared" si="0"/>
        <v>816</v>
      </c>
      <c r="F50" s="21"/>
      <c r="G50" s="21"/>
    </row>
    <row r="51" spans="1:7" x14ac:dyDescent="0.35">
      <c r="A51" s="24">
        <v>21306</v>
      </c>
      <c r="B51" s="24">
        <v>21306</v>
      </c>
      <c r="C51" s="23">
        <v>0.63</v>
      </c>
      <c r="D51">
        <v>0</v>
      </c>
      <c r="E51">
        <f t="shared" si="0"/>
        <v>815</v>
      </c>
      <c r="F51" s="21"/>
      <c r="G51" s="21"/>
    </row>
    <row r="52" spans="1:7" x14ac:dyDescent="0.35">
      <c r="A52" s="24">
        <v>21337</v>
      </c>
      <c r="B52" s="24">
        <v>21337</v>
      </c>
      <c r="C52" s="23">
        <v>0.93</v>
      </c>
      <c r="D52">
        <v>0</v>
      </c>
      <c r="E52">
        <f t="shared" si="0"/>
        <v>814</v>
      </c>
      <c r="F52" s="21"/>
      <c r="G52" s="21"/>
    </row>
    <row r="53" spans="1:7" x14ac:dyDescent="0.35">
      <c r="A53" s="24">
        <v>21367</v>
      </c>
      <c r="B53" s="24">
        <v>21367</v>
      </c>
      <c r="C53" s="23">
        <v>0.68</v>
      </c>
      <c r="D53">
        <v>1</v>
      </c>
      <c r="E53">
        <f t="shared" si="0"/>
        <v>813</v>
      </c>
      <c r="F53" s="21"/>
      <c r="G53" s="21"/>
    </row>
    <row r="54" spans="1:7" x14ac:dyDescent="0.35">
      <c r="A54" s="24">
        <v>21398</v>
      </c>
      <c r="B54" s="24">
        <v>21398</v>
      </c>
      <c r="C54" s="23">
        <v>1.53</v>
      </c>
      <c r="D54">
        <v>0</v>
      </c>
      <c r="E54">
        <f t="shared" si="0"/>
        <v>812</v>
      </c>
      <c r="F54" s="21"/>
      <c r="G54" s="21"/>
    </row>
    <row r="55" spans="1:7" x14ac:dyDescent="0.35">
      <c r="A55" s="24">
        <v>21429</v>
      </c>
      <c r="B55" s="24">
        <v>21429</v>
      </c>
      <c r="C55" s="23">
        <v>1.76</v>
      </c>
      <c r="D55">
        <v>0</v>
      </c>
      <c r="E55">
        <f t="shared" si="0"/>
        <v>811</v>
      </c>
      <c r="F55" s="21"/>
      <c r="G55" s="21"/>
    </row>
    <row r="56" spans="1:7" x14ac:dyDescent="0.35">
      <c r="A56" s="24">
        <v>21459</v>
      </c>
      <c r="B56" s="24">
        <v>21459</v>
      </c>
      <c r="C56" s="23">
        <v>1.8</v>
      </c>
      <c r="D56">
        <v>0</v>
      </c>
      <c r="E56">
        <f t="shared" si="0"/>
        <v>810</v>
      </c>
      <c r="F56" s="21"/>
      <c r="G56" s="21"/>
    </row>
    <row r="57" spans="1:7" x14ac:dyDescent="0.35">
      <c r="A57" s="24">
        <v>21490</v>
      </c>
      <c r="B57" s="24">
        <v>21490</v>
      </c>
      <c r="C57" s="23">
        <v>2.27</v>
      </c>
      <c r="D57">
        <v>1</v>
      </c>
      <c r="E57">
        <f t="shared" si="0"/>
        <v>809</v>
      </c>
      <c r="F57" s="21"/>
      <c r="G57" s="21"/>
    </row>
    <row r="58" spans="1:7" x14ac:dyDescent="0.35">
      <c r="A58" s="24">
        <v>21520</v>
      </c>
      <c r="B58" s="24">
        <v>21520</v>
      </c>
      <c r="C58" s="23">
        <v>2.42</v>
      </c>
      <c r="D58">
        <v>0</v>
      </c>
      <c r="E58">
        <f t="shared" si="0"/>
        <v>808</v>
      </c>
      <c r="F58" s="21"/>
      <c r="G58" s="21"/>
    </row>
    <row r="59" spans="1:7" x14ac:dyDescent="0.35">
      <c r="A59" s="24">
        <v>21551</v>
      </c>
      <c r="B59" s="24">
        <v>21551</v>
      </c>
      <c r="C59" s="23">
        <v>2.48</v>
      </c>
      <c r="D59">
        <v>0</v>
      </c>
      <c r="E59">
        <f t="shared" si="0"/>
        <v>807</v>
      </c>
      <c r="F59" s="21"/>
      <c r="G59" s="21"/>
    </row>
    <row r="60" spans="1:7" x14ac:dyDescent="0.35">
      <c r="A60" s="24">
        <v>21582</v>
      </c>
      <c r="B60" s="24">
        <v>21582</v>
      </c>
      <c r="C60" s="23">
        <v>2.4300000000000002</v>
      </c>
      <c r="D60">
        <v>0</v>
      </c>
      <c r="E60">
        <f t="shared" si="0"/>
        <v>806</v>
      </c>
      <c r="F60" s="21"/>
      <c r="G60" s="21"/>
    </row>
    <row r="61" spans="1:7" x14ac:dyDescent="0.35">
      <c r="A61" s="24">
        <v>21610</v>
      </c>
      <c r="B61" s="24">
        <v>21610</v>
      </c>
      <c r="C61" s="23">
        <v>2.8</v>
      </c>
      <c r="D61">
        <v>1</v>
      </c>
      <c r="E61">
        <f t="shared" si="0"/>
        <v>805</v>
      </c>
      <c r="F61" s="21"/>
      <c r="G61" s="21"/>
    </row>
    <row r="62" spans="1:7" x14ac:dyDescent="0.35">
      <c r="A62" s="24">
        <v>21641</v>
      </c>
      <c r="B62" s="24">
        <v>21641</v>
      </c>
      <c r="C62" s="23">
        <v>2.96</v>
      </c>
      <c r="D62">
        <v>0</v>
      </c>
      <c r="E62">
        <f t="shared" si="0"/>
        <v>804</v>
      </c>
      <c r="F62" s="21"/>
      <c r="G62" s="21"/>
    </row>
    <row r="63" spans="1:7" x14ac:dyDescent="0.35">
      <c r="A63" s="24">
        <v>21671</v>
      </c>
      <c r="B63" s="24">
        <v>21671</v>
      </c>
      <c r="C63" s="23">
        <v>2.9</v>
      </c>
      <c r="D63">
        <v>0</v>
      </c>
      <c r="E63">
        <f t="shared" si="0"/>
        <v>803</v>
      </c>
    </row>
    <row r="64" spans="1:7" x14ac:dyDescent="0.35">
      <c r="A64" s="24">
        <v>21702</v>
      </c>
      <c r="B64" s="24">
        <v>21702</v>
      </c>
      <c r="C64" s="23">
        <v>3.39</v>
      </c>
      <c r="D64">
        <v>0</v>
      </c>
      <c r="E64">
        <f t="shared" si="0"/>
        <v>802</v>
      </c>
    </row>
    <row r="65" spans="1:5" x14ac:dyDescent="0.35">
      <c r="A65" s="24">
        <v>21732</v>
      </c>
      <c r="B65" s="24">
        <v>21732</v>
      </c>
      <c r="C65" s="23">
        <v>3.47</v>
      </c>
      <c r="D65">
        <v>1</v>
      </c>
      <c r="E65">
        <f t="shared" si="0"/>
        <v>801</v>
      </c>
    </row>
    <row r="66" spans="1:5" x14ac:dyDescent="0.35">
      <c r="A66" s="24">
        <v>21763</v>
      </c>
      <c r="B66" s="24">
        <v>21763</v>
      </c>
      <c r="C66" s="23">
        <v>3.5</v>
      </c>
      <c r="D66">
        <v>0</v>
      </c>
      <c r="E66">
        <f t="shared" si="0"/>
        <v>800</v>
      </c>
    </row>
    <row r="67" spans="1:5" x14ac:dyDescent="0.35">
      <c r="A67" s="24">
        <v>21794</v>
      </c>
      <c r="B67" s="24">
        <v>21794</v>
      </c>
      <c r="C67" s="23">
        <v>3.76</v>
      </c>
      <c r="D67">
        <v>0</v>
      </c>
      <c r="E67">
        <f t="shared" si="0"/>
        <v>799</v>
      </c>
    </row>
    <row r="68" spans="1:5" x14ac:dyDescent="0.35">
      <c r="A68" s="24">
        <v>21824</v>
      </c>
      <c r="B68" s="24">
        <v>21824</v>
      </c>
      <c r="C68" s="23">
        <v>3.98</v>
      </c>
      <c r="D68">
        <v>0</v>
      </c>
      <c r="E68">
        <f t="shared" si="0"/>
        <v>798</v>
      </c>
    </row>
    <row r="69" spans="1:5" x14ac:dyDescent="0.35">
      <c r="A69" s="24">
        <v>21855</v>
      </c>
      <c r="B69" s="24">
        <v>21855</v>
      </c>
      <c r="C69" s="23">
        <v>4</v>
      </c>
      <c r="D69">
        <v>1</v>
      </c>
      <c r="E69">
        <f t="shared" ref="E69:E132" si="1">E70+1</f>
        <v>797</v>
      </c>
    </row>
    <row r="70" spans="1:5" x14ac:dyDescent="0.35">
      <c r="A70" s="24">
        <v>21885</v>
      </c>
      <c r="B70" s="24">
        <v>21885</v>
      </c>
      <c r="C70" s="23">
        <v>3.99</v>
      </c>
      <c r="D70">
        <v>0</v>
      </c>
      <c r="E70">
        <f t="shared" si="1"/>
        <v>796</v>
      </c>
    </row>
    <row r="71" spans="1:5" x14ac:dyDescent="0.35">
      <c r="A71" s="24">
        <v>21916</v>
      </c>
      <c r="B71" s="24">
        <v>21916</v>
      </c>
      <c r="C71" s="23">
        <v>3.99</v>
      </c>
      <c r="D71">
        <v>0</v>
      </c>
      <c r="E71">
        <f t="shared" si="1"/>
        <v>795</v>
      </c>
    </row>
    <row r="72" spans="1:5" x14ac:dyDescent="0.35">
      <c r="A72" s="24">
        <v>21947</v>
      </c>
      <c r="B72" s="24">
        <v>21947</v>
      </c>
      <c r="C72" s="23">
        <v>3.97</v>
      </c>
      <c r="D72">
        <v>0</v>
      </c>
      <c r="E72">
        <f t="shared" si="1"/>
        <v>794</v>
      </c>
    </row>
    <row r="73" spans="1:5" x14ac:dyDescent="0.35">
      <c r="A73" s="24">
        <v>21976</v>
      </c>
      <c r="B73" s="24">
        <v>21976</v>
      </c>
      <c r="C73" s="23">
        <v>3.84</v>
      </c>
      <c r="D73">
        <v>1</v>
      </c>
      <c r="E73">
        <f t="shared" si="1"/>
        <v>793</v>
      </c>
    </row>
    <row r="74" spans="1:5" x14ac:dyDescent="0.35">
      <c r="A74" s="24">
        <v>22007</v>
      </c>
      <c r="B74" s="24">
        <v>22007</v>
      </c>
      <c r="C74" s="23">
        <v>3.92</v>
      </c>
      <c r="D74">
        <v>0</v>
      </c>
      <c r="E74">
        <f t="shared" si="1"/>
        <v>792</v>
      </c>
    </row>
    <row r="75" spans="1:5" x14ac:dyDescent="0.35">
      <c r="A75" s="24">
        <v>22037</v>
      </c>
      <c r="B75" s="24">
        <v>22037</v>
      </c>
      <c r="C75" s="23">
        <v>3.85</v>
      </c>
      <c r="D75">
        <v>0</v>
      </c>
      <c r="E75">
        <f t="shared" si="1"/>
        <v>791</v>
      </c>
    </row>
    <row r="76" spans="1:5" x14ac:dyDescent="0.35">
      <c r="A76" s="24">
        <v>22068</v>
      </c>
      <c r="B76" s="24">
        <v>22068</v>
      </c>
      <c r="C76" s="23">
        <v>3.32</v>
      </c>
      <c r="D76">
        <v>0</v>
      </c>
      <c r="E76">
        <f t="shared" si="1"/>
        <v>790</v>
      </c>
    </row>
    <row r="77" spans="1:5" x14ac:dyDescent="0.35">
      <c r="A77" s="24">
        <v>22098</v>
      </c>
      <c r="B77" s="24">
        <v>22098</v>
      </c>
      <c r="C77" s="23">
        <v>3.23</v>
      </c>
      <c r="D77">
        <v>1</v>
      </c>
      <c r="E77">
        <f t="shared" si="1"/>
        <v>789</v>
      </c>
    </row>
    <row r="78" spans="1:5" x14ac:dyDescent="0.35">
      <c r="A78" s="24">
        <v>22129</v>
      </c>
      <c r="B78" s="24">
        <v>22129</v>
      </c>
      <c r="C78" s="23">
        <v>2.98</v>
      </c>
      <c r="D78">
        <v>0</v>
      </c>
      <c r="E78">
        <f t="shared" si="1"/>
        <v>788</v>
      </c>
    </row>
    <row r="79" spans="1:5" x14ac:dyDescent="0.35">
      <c r="A79" s="24">
        <v>22160</v>
      </c>
      <c r="B79" s="24">
        <v>22160</v>
      </c>
      <c r="C79" s="23">
        <v>2.6</v>
      </c>
      <c r="D79">
        <v>0</v>
      </c>
      <c r="E79">
        <f t="shared" si="1"/>
        <v>787</v>
      </c>
    </row>
    <row r="80" spans="1:5" x14ac:dyDescent="0.35">
      <c r="A80" s="24">
        <v>22190</v>
      </c>
      <c r="B80" s="24">
        <v>22190</v>
      </c>
      <c r="C80" s="23">
        <v>2.4700000000000002</v>
      </c>
      <c r="D80">
        <v>0</v>
      </c>
      <c r="E80">
        <f t="shared" si="1"/>
        <v>786</v>
      </c>
    </row>
    <row r="81" spans="1:5" x14ac:dyDescent="0.35">
      <c r="A81" s="24">
        <v>22221</v>
      </c>
      <c r="B81" s="24">
        <v>22221</v>
      </c>
      <c r="C81" s="23">
        <v>2.44</v>
      </c>
      <c r="D81">
        <v>1</v>
      </c>
      <c r="E81">
        <f t="shared" si="1"/>
        <v>785</v>
      </c>
    </row>
    <row r="82" spans="1:5" x14ac:dyDescent="0.35">
      <c r="A82" s="24">
        <v>22251</v>
      </c>
      <c r="B82" s="24">
        <v>22251</v>
      </c>
      <c r="C82" s="23">
        <v>1.98</v>
      </c>
      <c r="D82">
        <v>0</v>
      </c>
      <c r="E82">
        <f t="shared" si="1"/>
        <v>784</v>
      </c>
    </row>
    <row r="83" spans="1:5" x14ac:dyDescent="0.35">
      <c r="A83" s="24">
        <v>22282</v>
      </c>
      <c r="B83" s="24">
        <v>22282</v>
      </c>
      <c r="C83" s="23">
        <v>1.45</v>
      </c>
      <c r="D83">
        <v>0</v>
      </c>
      <c r="E83">
        <f t="shared" si="1"/>
        <v>783</v>
      </c>
    </row>
    <row r="84" spans="1:5" x14ac:dyDescent="0.35">
      <c r="A84" s="24">
        <v>22313</v>
      </c>
      <c r="B84" s="24">
        <v>22313</v>
      </c>
      <c r="C84" s="23">
        <v>2.54</v>
      </c>
      <c r="D84">
        <v>0</v>
      </c>
      <c r="E84">
        <f t="shared" si="1"/>
        <v>782</v>
      </c>
    </row>
    <row r="85" spans="1:5" x14ac:dyDescent="0.35">
      <c r="A85" s="24">
        <v>22341</v>
      </c>
      <c r="B85" s="24">
        <v>22341</v>
      </c>
      <c r="C85" s="23">
        <v>2.02</v>
      </c>
      <c r="D85">
        <v>1</v>
      </c>
      <c r="E85">
        <f t="shared" si="1"/>
        <v>781</v>
      </c>
    </row>
    <row r="86" spans="1:5" x14ac:dyDescent="0.35">
      <c r="A86" s="24">
        <v>22372</v>
      </c>
      <c r="B86" s="24">
        <v>22372</v>
      </c>
      <c r="C86" s="23">
        <v>1.49</v>
      </c>
      <c r="D86">
        <v>0</v>
      </c>
      <c r="E86">
        <f t="shared" si="1"/>
        <v>780</v>
      </c>
    </row>
    <row r="87" spans="1:5" x14ac:dyDescent="0.35">
      <c r="A87" s="24">
        <v>22402</v>
      </c>
      <c r="B87" s="24">
        <v>22402</v>
      </c>
      <c r="C87" s="23">
        <v>1.98</v>
      </c>
      <c r="D87">
        <v>0</v>
      </c>
      <c r="E87">
        <f t="shared" si="1"/>
        <v>779</v>
      </c>
    </row>
    <row r="88" spans="1:5" x14ac:dyDescent="0.35">
      <c r="A88" s="24">
        <v>22433</v>
      </c>
      <c r="B88" s="24">
        <v>22433</v>
      </c>
      <c r="C88" s="23">
        <v>1.73</v>
      </c>
      <c r="D88">
        <v>0</v>
      </c>
      <c r="E88">
        <f t="shared" si="1"/>
        <v>778</v>
      </c>
    </row>
    <row r="89" spans="1:5" x14ac:dyDescent="0.35">
      <c r="A89" s="24">
        <v>22463</v>
      </c>
      <c r="B89" s="24">
        <v>22463</v>
      </c>
      <c r="C89" s="23">
        <v>1.17</v>
      </c>
      <c r="D89">
        <v>1</v>
      </c>
      <c r="E89">
        <f t="shared" si="1"/>
        <v>777</v>
      </c>
    </row>
    <row r="90" spans="1:5" x14ac:dyDescent="0.35">
      <c r="A90" s="24">
        <v>22494</v>
      </c>
      <c r="B90" s="24">
        <v>22494</v>
      </c>
      <c r="C90" s="23">
        <v>2</v>
      </c>
      <c r="D90">
        <v>0</v>
      </c>
      <c r="E90">
        <f t="shared" si="1"/>
        <v>776</v>
      </c>
    </row>
    <row r="91" spans="1:5" x14ac:dyDescent="0.35">
      <c r="A91" s="24">
        <v>22525</v>
      </c>
      <c r="B91" s="24">
        <v>22525</v>
      </c>
      <c r="C91" s="23">
        <v>1.88</v>
      </c>
      <c r="D91">
        <v>0</v>
      </c>
      <c r="E91">
        <f t="shared" si="1"/>
        <v>775</v>
      </c>
    </row>
    <row r="92" spans="1:5" x14ac:dyDescent="0.35">
      <c r="A92" s="24">
        <v>22555</v>
      </c>
      <c r="B92" s="24">
        <v>22555</v>
      </c>
      <c r="C92" s="23">
        <v>2.2599999999999998</v>
      </c>
      <c r="D92">
        <v>0</v>
      </c>
      <c r="E92">
        <f t="shared" si="1"/>
        <v>774</v>
      </c>
    </row>
    <row r="93" spans="1:5" x14ac:dyDescent="0.35">
      <c r="A93" s="24">
        <v>22586</v>
      </c>
      <c r="B93" s="24">
        <v>22586</v>
      </c>
      <c r="C93" s="23">
        <v>2.61</v>
      </c>
      <c r="D93">
        <v>1</v>
      </c>
      <c r="E93">
        <f t="shared" si="1"/>
        <v>773</v>
      </c>
    </row>
    <row r="94" spans="1:5" x14ac:dyDescent="0.35">
      <c r="A94" s="24">
        <v>22616</v>
      </c>
      <c r="B94" s="24">
        <v>22616</v>
      </c>
      <c r="C94" s="23">
        <v>2.33</v>
      </c>
      <c r="D94">
        <v>0</v>
      </c>
      <c r="E94">
        <f t="shared" si="1"/>
        <v>772</v>
      </c>
    </row>
    <row r="95" spans="1:5" x14ac:dyDescent="0.35">
      <c r="A95" s="24">
        <v>22647</v>
      </c>
      <c r="B95" s="24">
        <v>22647</v>
      </c>
      <c r="C95" s="23">
        <v>2.15</v>
      </c>
      <c r="D95">
        <v>0</v>
      </c>
      <c r="E95">
        <f t="shared" si="1"/>
        <v>771</v>
      </c>
    </row>
    <row r="96" spans="1:5" x14ac:dyDescent="0.35">
      <c r="A96" s="24">
        <v>22678</v>
      </c>
      <c r="B96" s="24">
        <v>22678</v>
      </c>
      <c r="C96" s="23">
        <v>2.37</v>
      </c>
      <c r="D96">
        <v>0</v>
      </c>
      <c r="E96">
        <f t="shared" si="1"/>
        <v>770</v>
      </c>
    </row>
    <row r="97" spans="1:5" x14ac:dyDescent="0.35">
      <c r="A97" s="24">
        <v>22706</v>
      </c>
      <c r="B97" s="24">
        <v>22706</v>
      </c>
      <c r="C97" s="23">
        <v>2.85</v>
      </c>
      <c r="D97">
        <v>1</v>
      </c>
      <c r="E97">
        <f t="shared" si="1"/>
        <v>769</v>
      </c>
    </row>
    <row r="98" spans="1:5" x14ac:dyDescent="0.35">
      <c r="A98" s="24">
        <v>22737</v>
      </c>
      <c r="B98" s="24">
        <v>22737</v>
      </c>
      <c r="C98" s="23">
        <v>2.78</v>
      </c>
      <c r="D98">
        <v>0</v>
      </c>
      <c r="E98">
        <f t="shared" si="1"/>
        <v>768</v>
      </c>
    </row>
    <row r="99" spans="1:5" x14ac:dyDescent="0.35">
      <c r="A99" s="24">
        <v>22767</v>
      </c>
      <c r="B99" s="24">
        <v>22767</v>
      </c>
      <c r="C99" s="23">
        <v>2.36</v>
      </c>
      <c r="D99">
        <v>0</v>
      </c>
      <c r="E99">
        <f t="shared" si="1"/>
        <v>767</v>
      </c>
    </row>
    <row r="100" spans="1:5" x14ac:dyDescent="0.35">
      <c r="A100" s="24">
        <v>22798</v>
      </c>
      <c r="B100" s="24">
        <v>22798</v>
      </c>
      <c r="C100" s="23">
        <v>2.68</v>
      </c>
      <c r="D100">
        <v>0</v>
      </c>
      <c r="E100">
        <f t="shared" si="1"/>
        <v>766</v>
      </c>
    </row>
    <row r="101" spans="1:5" x14ac:dyDescent="0.35">
      <c r="A101" s="24">
        <v>22828</v>
      </c>
      <c r="B101" s="24">
        <v>22828</v>
      </c>
      <c r="C101" s="23">
        <v>2.71</v>
      </c>
      <c r="D101">
        <v>1</v>
      </c>
      <c r="E101">
        <f t="shared" si="1"/>
        <v>765</v>
      </c>
    </row>
    <row r="102" spans="1:5" x14ac:dyDescent="0.35">
      <c r="A102" s="24">
        <v>22859</v>
      </c>
      <c r="B102" s="24">
        <v>22859</v>
      </c>
      <c r="C102" s="23">
        <v>2.93</v>
      </c>
      <c r="D102">
        <v>0</v>
      </c>
      <c r="E102">
        <f t="shared" si="1"/>
        <v>764</v>
      </c>
    </row>
    <row r="103" spans="1:5" x14ac:dyDescent="0.35">
      <c r="A103" s="24">
        <v>22890</v>
      </c>
      <c r="B103" s="24">
        <v>22890</v>
      </c>
      <c r="C103" s="23">
        <v>2.9</v>
      </c>
      <c r="D103">
        <v>0</v>
      </c>
      <c r="E103">
        <f t="shared" si="1"/>
        <v>763</v>
      </c>
    </row>
    <row r="104" spans="1:5" x14ac:dyDescent="0.35">
      <c r="A104" s="24">
        <v>22920</v>
      </c>
      <c r="B104" s="24">
        <v>22920</v>
      </c>
      <c r="C104" s="23">
        <v>2.9</v>
      </c>
      <c r="D104">
        <v>0</v>
      </c>
      <c r="E104">
        <f t="shared" si="1"/>
        <v>762</v>
      </c>
    </row>
    <row r="105" spans="1:5" x14ac:dyDescent="0.35">
      <c r="A105" s="24">
        <v>22951</v>
      </c>
      <c r="B105" s="24">
        <v>22951</v>
      </c>
      <c r="C105" s="23">
        <v>2.94</v>
      </c>
      <c r="D105">
        <v>1</v>
      </c>
      <c r="E105">
        <f t="shared" si="1"/>
        <v>761</v>
      </c>
    </row>
    <row r="106" spans="1:5" x14ac:dyDescent="0.35">
      <c r="A106" s="24">
        <v>22981</v>
      </c>
      <c r="B106" s="24">
        <v>22981</v>
      </c>
      <c r="C106" s="23">
        <v>2.93</v>
      </c>
      <c r="D106">
        <v>0</v>
      </c>
      <c r="E106">
        <f t="shared" si="1"/>
        <v>760</v>
      </c>
    </row>
    <row r="107" spans="1:5" x14ac:dyDescent="0.35">
      <c r="A107" s="24">
        <v>23012</v>
      </c>
      <c r="B107" s="24">
        <v>23012</v>
      </c>
      <c r="C107" s="23">
        <v>2.92</v>
      </c>
      <c r="D107">
        <v>0</v>
      </c>
      <c r="E107">
        <f t="shared" si="1"/>
        <v>759</v>
      </c>
    </row>
    <row r="108" spans="1:5" x14ac:dyDescent="0.35">
      <c r="A108" s="24">
        <v>23043</v>
      </c>
      <c r="B108" s="24">
        <v>23043</v>
      </c>
      <c r="C108" s="23">
        <v>3</v>
      </c>
      <c r="D108">
        <v>0</v>
      </c>
      <c r="E108">
        <f t="shared" si="1"/>
        <v>758</v>
      </c>
    </row>
    <row r="109" spans="1:5" x14ac:dyDescent="0.35">
      <c r="A109" s="24">
        <v>23071</v>
      </c>
      <c r="B109" s="24">
        <v>23071</v>
      </c>
      <c r="C109" s="23">
        <v>2.98</v>
      </c>
      <c r="D109">
        <v>1</v>
      </c>
      <c r="E109">
        <f t="shared" si="1"/>
        <v>757</v>
      </c>
    </row>
    <row r="110" spans="1:5" x14ac:dyDescent="0.35">
      <c r="A110" s="24">
        <v>23102</v>
      </c>
      <c r="B110" s="24">
        <v>23102</v>
      </c>
      <c r="C110" s="23">
        <v>2.9</v>
      </c>
      <c r="D110">
        <v>0</v>
      </c>
      <c r="E110">
        <f t="shared" si="1"/>
        <v>756</v>
      </c>
    </row>
    <row r="111" spans="1:5" x14ac:dyDescent="0.35">
      <c r="A111" s="24">
        <v>23132</v>
      </c>
      <c r="B111" s="24">
        <v>23132</v>
      </c>
      <c r="C111" s="23">
        <v>3</v>
      </c>
      <c r="D111">
        <v>0</v>
      </c>
      <c r="E111">
        <f t="shared" si="1"/>
        <v>755</v>
      </c>
    </row>
    <row r="112" spans="1:5" x14ac:dyDescent="0.35">
      <c r="A112" s="24">
        <v>23163</v>
      </c>
      <c r="B112" s="24">
        <v>23163</v>
      </c>
      <c r="C112" s="23">
        <v>2.99</v>
      </c>
      <c r="D112">
        <v>0</v>
      </c>
      <c r="E112">
        <f t="shared" si="1"/>
        <v>754</v>
      </c>
    </row>
    <row r="113" spans="1:5" x14ac:dyDescent="0.35">
      <c r="A113" s="24">
        <v>23193</v>
      </c>
      <c r="B113" s="24">
        <v>23193</v>
      </c>
      <c r="C113" s="23">
        <v>3.02</v>
      </c>
      <c r="D113">
        <v>1</v>
      </c>
      <c r="E113">
        <f t="shared" si="1"/>
        <v>753</v>
      </c>
    </row>
    <row r="114" spans="1:5" x14ac:dyDescent="0.35">
      <c r="A114" s="24">
        <v>23224</v>
      </c>
      <c r="B114" s="24">
        <v>23224</v>
      </c>
      <c r="C114" s="23">
        <v>3.49</v>
      </c>
      <c r="D114">
        <v>0</v>
      </c>
      <c r="E114">
        <f t="shared" si="1"/>
        <v>752</v>
      </c>
    </row>
    <row r="115" spans="1:5" x14ac:dyDescent="0.35">
      <c r="A115" s="24">
        <v>23255</v>
      </c>
      <c r="B115" s="24">
        <v>23255</v>
      </c>
      <c r="C115" s="23">
        <v>3.48</v>
      </c>
      <c r="D115">
        <v>0</v>
      </c>
      <c r="E115">
        <f t="shared" si="1"/>
        <v>751</v>
      </c>
    </row>
    <row r="116" spans="1:5" x14ac:dyDescent="0.35">
      <c r="A116" s="24">
        <v>23285</v>
      </c>
      <c r="B116" s="24">
        <v>23285</v>
      </c>
      <c r="C116" s="23">
        <v>3.5</v>
      </c>
      <c r="D116">
        <v>0</v>
      </c>
      <c r="E116">
        <f t="shared" si="1"/>
        <v>750</v>
      </c>
    </row>
    <row r="117" spans="1:5" x14ac:dyDescent="0.35">
      <c r="A117" s="24">
        <v>23316</v>
      </c>
      <c r="B117" s="24">
        <v>23316</v>
      </c>
      <c r="C117" s="23">
        <v>3.48</v>
      </c>
      <c r="D117">
        <v>1</v>
      </c>
      <c r="E117">
        <f t="shared" si="1"/>
        <v>749</v>
      </c>
    </row>
    <row r="118" spans="1:5" x14ac:dyDescent="0.35">
      <c r="A118" s="24">
        <v>23346</v>
      </c>
      <c r="B118" s="24">
        <v>23346</v>
      </c>
      <c r="C118" s="23">
        <v>3.38</v>
      </c>
      <c r="D118">
        <v>0</v>
      </c>
      <c r="E118">
        <f t="shared" si="1"/>
        <v>748</v>
      </c>
    </row>
    <row r="119" spans="1:5" x14ac:dyDescent="0.35">
      <c r="A119" s="24">
        <v>23377</v>
      </c>
      <c r="B119" s="24">
        <v>23377</v>
      </c>
      <c r="C119" s="23">
        <v>3.48</v>
      </c>
      <c r="D119">
        <v>0</v>
      </c>
      <c r="E119">
        <f t="shared" si="1"/>
        <v>747</v>
      </c>
    </row>
    <row r="120" spans="1:5" x14ac:dyDescent="0.35">
      <c r="A120" s="24">
        <v>23408</v>
      </c>
      <c r="B120" s="24">
        <v>23408</v>
      </c>
      <c r="C120" s="23">
        <v>3.48</v>
      </c>
      <c r="D120">
        <v>0</v>
      </c>
      <c r="E120">
        <f t="shared" si="1"/>
        <v>746</v>
      </c>
    </row>
    <row r="121" spans="1:5" x14ac:dyDescent="0.35">
      <c r="A121" s="24">
        <v>23437</v>
      </c>
      <c r="B121" s="24">
        <v>23437</v>
      </c>
      <c r="C121" s="23">
        <v>3.43</v>
      </c>
      <c r="D121">
        <v>1</v>
      </c>
      <c r="E121">
        <f t="shared" si="1"/>
        <v>745</v>
      </c>
    </row>
    <row r="122" spans="1:5" x14ac:dyDescent="0.35">
      <c r="A122" s="24">
        <v>23468</v>
      </c>
      <c r="B122" s="24">
        <v>23468</v>
      </c>
      <c r="C122" s="23">
        <v>3.47</v>
      </c>
      <c r="D122">
        <v>0</v>
      </c>
      <c r="E122">
        <f t="shared" si="1"/>
        <v>744</v>
      </c>
    </row>
    <row r="123" spans="1:5" x14ac:dyDescent="0.35">
      <c r="A123" s="24">
        <v>23498</v>
      </c>
      <c r="B123" s="24">
        <v>23498</v>
      </c>
      <c r="C123" s="23">
        <v>3.5</v>
      </c>
      <c r="D123">
        <v>0</v>
      </c>
      <c r="E123">
        <f t="shared" si="1"/>
        <v>743</v>
      </c>
    </row>
    <row r="124" spans="1:5" x14ac:dyDescent="0.35">
      <c r="A124" s="24">
        <v>23529</v>
      </c>
      <c r="B124" s="24">
        <v>23529</v>
      </c>
      <c r="C124" s="23">
        <v>3.5</v>
      </c>
      <c r="D124">
        <v>0</v>
      </c>
      <c r="E124">
        <f t="shared" si="1"/>
        <v>742</v>
      </c>
    </row>
    <row r="125" spans="1:5" x14ac:dyDescent="0.35">
      <c r="A125" s="24">
        <v>23559</v>
      </c>
      <c r="B125" s="24">
        <v>23559</v>
      </c>
      <c r="C125" s="23">
        <v>3.42</v>
      </c>
      <c r="D125">
        <v>1</v>
      </c>
      <c r="E125">
        <f t="shared" si="1"/>
        <v>741</v>
      </c>
    </row>
    <row r="126" spans="1:5" x14ac:dyDescent="0.35">
      <c r="A126" s="24">
        <v>23590</v>
      </c>
      <c r="B126" s="24">
        <v>23590</v>
      </c>
      <c r="C126" s="23">
        <v>3.5</v>
      </c>
      <c r="D126">
        <v>0</v>
      </c>
      <c r="E126">
        <f t="shared" si="1"/>
        <v>740</v>
      </c>
    </row>
    <row r="127" spans="1:5" x14ac:dyDescent="0.35">
      <c r="A127" s="24">
        <v>23621</v>
      </c>
      <c r="B127" s="24">
        <v>23621</v>
      </c>
      <c r="C127" s="23">
        <v>3.45</v>
      </c>
      <c r="D127">
        <v>0</v>
      </c>
      <c r="E127">
        <f t="shared" si="1"/>
        <v>739</v>
      </c>
    </row>
    <row r="128" spans="1:5" x14ac:dyDescent="0.35">
      <c r="A128" s="24">
        <v>23651</v>
      </c>
      <c r="B128" s="24">
        <v>23651</v>
      </c>
      <c r="C128" s="23">
        <v>3.36</v>
      </c>
      <c r="D128">
        <v>0</v>
      </c>
      <c r="E128">
        <f t="shared" si="1"/>
        <v>738</v>
      </c>
    </row>
    <row r="129" spans="1:5" x14ac:dyDescent="0.35">
      <c r="A129" s="24">
        <v>23682</v>
      </c>
      <c r="B129" s="24">
        <v>23682</v>
      </c>
      <c r="C129" s="23">
        <v>3.52</v>
      </c>
      <c r="D129">
        <v>1</v>
      </c>
      <c r="E129">
        <f t="shared" si="1"/>
        <v>737</v>
      </c>
    </row>
    <row r="130" spans="1:5" x14ac:dyDescent="0.35">
      <c r="A130" s="24">
        <v>23712</v>
      </c>
      <c r="B130" s="24">
        <v>23712</v>
      </c>
      <c r="C130" s="23">
        <v>3.85</v>
      </c>
      <c r="D130">
        <v>0</v>
      </c>
      <c r="E130">
        <f t="shared" si="1"/>
        <v>736</v>
      </c>
    </row>
    <row r="131" spans="1:5" x14ac:dyDescent="0.35">
      <c r="A131" s="24">
        <v>23743</v>
      </c>
      <c r="B131" s="24">
        <v>23743</v>
      </c>
      <c r="C131" s="23">
        <v>3.9</v>
      </c>
      <c r="D131">
        <v>0</v>
      </c>
      <c r="E131">
        <f t="shared" si="1"/>
        <v>735</v>
      </c>
    </row>
    <row r="132" spans="1:5" x14ac:dyDescent="0.35">
      <c r="A132" s="24">
        <v>23774</v>
      </c>
      <c r="B132" s="24">
        <v>23774</v>
      </c>
      <c r="C132" s="23">
        <v>3.98</v>
      </c>
      <c r="D132">
        <v>0</v>
      </c>
      <c r="E132">
        <f t="shared" si="1"/>
        <v>734</v>
      </c>
    </row>
    <row r="133" spans="1:5" x14ac:dyDescent="0.35">
      <c r="A133" s="24">
        <v>23802</v>
      </c>
      <c r="B133" s="24">
        <v>23802</v>
      </c>
      <c r="C133" s="23">
        <v>4.05</v>
      </c>
      <c r="D133">
        <v>1</v>
      </c>
      <c r="E133">
        <f t="shared" ref="E133:E196" si="2">E134+1</f>
        <v>733</v>
      </c>
    </row>
    <row r="134" spans="1:5" x14ac:dyDescent="0.35">
      <c r="A134" s="24">
        <v>23833</v>
      </c>
      <c r="B134" s="24">
        <v>23833</v>
      </c>
      <c r="C134" s="23">
        <v>4.09</v>
      </c>
      <c r="D134">
        <v>0</v>
      </c>
      <c r="E134">
        <f t="shared" si="2"/>
        <v>732</v>
      </c>
    </row>
    <row r="135" spans="1:5" x14ac:dyDescent="0.35">
      <c r="A135" s="24">
        <v>23863</v>
      </c>
      <c r="B135" s="24">
        <v>23863</v>
      </c>
      <c r="C135" s="23">
        <v>4.0999999999999996</v>
      </c>
      <c r="D135">
        <v>0</v>
      </c>
      <c r="E135">
        <f t="shared" si="2"/>
        <v>731</v>
      </c>
    </row>
    <row r="136" spans="1:5" x14ac:dyDescent="0.35">
      <c r="A136" s="24">
        <v>23894</v>
      </c>
      <c r="B136" s="24">
        <v>23894</v>
      </c>
      <c r="C136" s="23">
        <v>4.05</v>
      </c>
      <c r="D136">
        <v>0</v>
      </c>
      <c r="E136">
        <f t="shared" si="2"/>
        <v>730</v>
      </c>
    </row>
    <row r="137" spans="1:5" x14ac:dyDescent="0.35">
      <c r="A137" s="24">
        <v>23924</v>
      </c>
      <c r="B137" s="24">
        <v>23924</v>
      </c>
      <c r="C137" s="23">
        <v>4.09</v>
      </c>
      <c r="D137">
        <v>1</v>
      </c>
      <c r="E137">
        <f t="shared" si="2"/>
        <v>729</v>
      </c>
    </row>
    <row r="138" spans="1:5" x14ac:dyDescent="0.35">
      <c r="A138" s="24">
        <v>23955</v>
      </c>
      <c r="B138" s="24">
        <v>23955</v>
      </c>
      <c r="C138" s="23">
        <v>4.12</v>
      </c>
      <c r="D138">
        <v>0</v>
      </c>
      <c r="E138">
        <f t="shared" si="2"/>
        <v>728</v>
      </c>
    </row>
    <row r="139" spans="1:5" x14ac:dyDescent="0.35">
      <c r="A139" s="24">
        <v>23986</v>
      </c>
      <c r="B139" s="24">
        <v>23986</v>
      </c>
      <c r="C139" s="23">
        <v>4.0199999999999996</v>
      </c>
      <c r="D139">
        <v>0</v>
      </c>
      <c r="E139">
        <f t="shared" si="2"/>
        <v>727</v>
      </c>
    </row>
    <row r="140" spans="1:5" x14ac:dyDescent="0.35">
      <c r="A140" s="24">
        <v>24016</v>
      </c>
      <c r="B140" s="24">
        <v>24016</v>
      </c>
      <c r="C140" s="23">
        <v>4.08</v>
      </c>
      <c r="D140">
        <v>0</v>
      </c>
      <c r="E140">
        <f t="shared" si="2"/>
        <v>726</v>
      </c>
    </row>
    <row r="141" spans="1:5" x14ac:dyDescent="0.35">
      <c r="A141" s="24">
        <v>24047</v>
      </c>
      <c r="B141" s="24">
        <v>24047</v>
      </c>
      <c r="C141" s="23">
        <v>4.0999999999999996</v>
      </c>
      <c r="D141">
        <v>1</v>
      </c>
      <c r="E141">
        <f t="shared" si="2"/>
        <v>725</v>
      </c>
    </row>
    <row r="142" spans="1:5" x14ac:dyDescent="0.35">
      <c r="A142" s="24">
        <v>24077</v>
      </c>
      <c r="B142" s="24">
        <v>24077</v>
      </c>
      <c r="C142" s="23">
        <v>4.32</v>
      </c>
      <c r="D142">
        <v>0</v>
      </c>
      <c r="E142">
        <f t="shared" si="2"/>
        <v>724</v>
      </c>
    </row>
    <row r="143" spans="1:5" x14ac:dyDescent="0.35">
      <c r="A143" s="24">
        <v>24108</v>
      </c>
      <c r="B143" s="24">
        <v>24108</v>
      </c>
      <c r="C143" s="23">
        <v>4.42</v>
      </c>
      <c r="D143">
        <v>0</v>
      </c>
      <c r="E143">
        <f t="shared" si="2"/>
        <v>723</v>
      </c>
    </row>
    <row r="144" spans="1:5" x14ac:dyDescent="0.35">
      <c r="A144" s="24">
        <v>24139</v>
      </c>
      <c r="B144" s="24">
        <v>24139</v>
      </c>
      <c r="C144" s="23">
        <v>4.5999999999999996</v>
      </c>
      <c r="D144">
        <v>0</v>
      </c>
      <c r="E144">
        <f t="shared" si="2"/>
        <v>722</v>
      </c>
    </row>
    <row r="145" spans="1:5" x14ac:dyDescent="0.35">
      <c r="A145" s="24">
        <v>24167</v>
      </c>
      <c r="B145" s="24">
        <v>24167</v>
      </c>
      <c r="C145" s="23">
        <v>4.66</v>
      </c>
      <c r="D145">
        <v>1</v>
      </c>
      <c r="E145">
        <f t="shared" si="2"/>
        <v>721</v>
      </c>
    </row>
    <row r="146" spans="1:5" x14ac:dyDescent="0.35">
      <c r="A146" s="24">
        <v>24198</v>
      </c>
      <c r="B146" s="24">
        <v>24198</v>
      </c>
      <c r="C146" s="23">
        <v>4.67</v>
      </c>
      <c r="D146">
        <v>0</v>
      </c>
      <c r="E146">
        <f t="shared" si="2"/>
        <v>720</v>
      </c>
    </row>
    <row r="147" spans="1:5" x14ac:dyDescent="0.35">
      <c r="A147" s="24">
        <v>24228</v>
      </c>
      <c r="B147" s="24">
        <v>24228</v>
      </c>
      <c r="C147" s="23">
        <v>4.9000000000000004</v>
      </c>
      <c r="D147">
        <v>0</v>
      </c>
      <c r="E147">
        <f t="shared" si="2"/>
        <v>719</v>
      </c>
    </row>
    <row r="148" spans="1:5" x14ac:dyDescent="0.35">
      <c r="A148" s="24">
        <v>24259</v>
      </c>
      <c r="B148" s="24">
        <v>24259</v>
      </c>
      <c r="C148" s="23">
        <v>5.17</v>
      </c>
      <c r="D148">
        <v>0</v>
      </c>
      <c r="E148">
        <f t="shared" si="2"/>
        <v>718</v>
      </c>
    </row>
    <row r="149" spans="1:5" x14ac:dyDescent="0.35">
      <c r="A149" s="24">
        <v>24289</v>
      </c>
      <c r="B149" s="24">
        <v>24289</v>
      </c>
      <c r="C149" s="23">
        <v>5.3</v>
      </c>
      <c r="D149">
        <v>1</v>
      </c>
      <c r="E149">
        <f t="shared" si="2"/>
        <v>717</v>
      </c>
    </row>
    <row r="150" spans="1:5" x14ac:dyDescent="0.35">
      <c r="A150" s="24">
        <v>24320</v>
      </c>
      <c r="B150" s="24">
        <v>24320</v>
      </c>
      <c r="C150" s="23">
        <v>5.53</v>
      </c>
      <c r="D150">
        <v>0</v>
      </c>
      <c r="E150">
        <f t="shared" si="2"/>
        <v>716</v>
      </c>
    </row>
    <row r="151" spans="1:5" x14ac:dyDescent="0.35">
      <c r="A151" s="24">
        <v>24351</v>
      </c>
      <c r="B151" s="24">
        <v>24351</v>
      </c>
      <c r="C151" s="23">
        <v>5.4</v>
      </c>
      <c r="D151">
        <v>0</v>
      </c>
      <c r="E151">
        <f t="shared" si="2"/>
        <v>715</v>
      </c>
    </row>
    <row r="152" spans="1:5" x14ac:dyDescent="0.35">
      <c r="A152" s="24">
        <v>24381</v>
      </c>
      <c r="B152" s="24">
        <v>24381</v>
      </c>
      <c r="C152" s="23">
        <v>5.53</v>
      </c>
      <c r="D152">
        <v>0</v>
      </c>
      <c r="E152">
        <f t="shared" si="2"/>
        <v>714</v>
      </c>
    </row>
    <row r="153" spans="1:5" x14ac:dyDescent="0.35">
      <c r="A153" s="24">
        <v>24412</v>
      </c>
      <c r="B153" s="24">
        <v>24412</v>
      </c>
      <c r="C153" s="23">
        <v>5.76</v>
      </c>
      <c r="D153">
        <v>1</v>
      </c>
      <c r="E153">
        <f t="shared" si="2"/>
        <v>713</v>
      </c>
    </row>
    <row r="154" spans="1:5" x14ac:dyDescent="0.35">
      <c r="A154" s="24">
        <v>24442</v>
      </c>
      <c r="B154" s="24">
        <v>24442</v>
      </c>
      <c r="C154" s="23">
        <v>5.4</v>
      </c>
      <c r="D154">
        <v>0</v>
      </c>
      <c r="E154">
        <f t="shared" si="2"/>
        <v>712</v>
      </c>
    </row>
    <row r="155" spans="1:5" x14ac:dyDescent="0.35">
      <c r="A155" s="24">
        <v>24473</v>
      </c>
      <c r="B155" s="24">
        <v>24473</v>
      </c>
      <c r="C155" s="23">
        <v>4.9400000000000004</v>
      </c>
      <c r="D155">
        <v>0</v>
      </c>
      <c r="E155">
        <f t="shared" si="2"/>
        <v>711</v>
      </c>
    </row>
    <row r="156" spans="1:5" x14ac:dyDescent="0.35">
      <c r="A156" s="24">
        <v>24504</v>
      </c>
      <c r="B156" s="24">
        <v>24504</v>
      </c>
      <c r="C156" s="23">
        <v>5</v>
      </c>
      <c r="D156">
        <v>0</v>
      </c>
      <c r="E156">
        <f t="shared" si="2"/>
        <v>710</v>
      </c>
    </row>
    <row r="157" spans="1:5" x14ac:dyDescent="0.35">
      <c r="A157" s="24">
        <v>24532</v>
      </c>
      <c r="B157" s="24">
        <v>24532</v>
      </c>
      <c r="C157" s="23">
        <v>4.53</v>
      </c>
      <c r="D157">
        <v>1</v>
      </c>
      <c r="E157">
        <f t="shared" si="2"/>
        <v>709</v>
      </c>
    </row>
    <row r="158" spans="1:5" x14ac:dyDescent="0.35">
      <c r="A158" s="24">
        <v>24563</v>
      </c>
      <c r="B158" s="24">
        <v>24563</v>
      </c>
      <c r="C158" s="23">
        <v>4.05</v>
      </c>
      <c r="D158">
        <v>0</v>
      </c>
      <c r="E158">
        <f t="shared" si="2"/>
        <v>708</v>
      </c>
    </row>
    <row r="159" spans="1:5" x14ac:dyDescent="0.35">
      <c r="A159" s="24">
        <v>24593</v>
      </c>
      <c r="B159" s="24">
        <v>24593</v>
      </c>
      <c r="C159" s="23">
        <v>3.94</v>
      </c>
      <c r="D159">
        <v>0</v>
      </c>
      <c r="E159">
        <f t="shared" si="2"/>
        <v>707</v>
      </c>
    </row>
    <row r="160" spans="1:5" x14ac:dyDescent="0.35">
      <c r="A160" s="24">
        <v>24624</v>
      </c>
      <c r="B160" s="24">
        <v>24624</v>
      </c>
      <c r="C160" s="23">
        <v>3.98</v>
      </c>
      <c r="D160">
        <v>0</v>
      </c>
      <c r="E160">
        <f t="shared" si="2"/>
        <v>706</v>
      </c>
    </row>
    <row r="161" spans="1:5" x14ac:dyDescent="0.35">
      <c r="A161" s="24">
        <v>24654</v>
      </c>
      <c r="B161" s="24">
        <v>24654</v>
      </c>
      <c r="C161" s="23">
        <v>3.79</v>
      </c>
      <c r="D161">
        <v>1</v>
      </c>
      <c r="E161">
        <f t="shared" si="2"/>
        <v>705</v>
      </c>
    </row>
    <row r="162" spans="1:5" x14ac:dyDescent="0.35">
      <c r="A162" s="24">
        <v>24685</v>
      </c>
      <c r="B162" s="24">
        <v>24685</v>
      </c>
      <c r="C162" s="23">
        <v>3.9</v>
      </c>
      <c r="D162">
        <v>0</v>
      </c>
      <c r="E162">
        <f t="shared" si="2"/>
        <v>704</v>
      </c>
    </row>
    <row r="163" spans="1:5" x14ac:dyDescent="0.35">
      <c r="A163" s="24">
        <v>24716</v>
      </c>
      <c r="B163" s="24">
        <v>24716</v>
      </c>
      <c r="C163" s="23">
        <v>3.99</v>
      </c>
      <c r="D163">
        <v>0</v>
      </c>
      <c r="E163">
        <f t="shared" si="2"/>
        <v>703</v>
      </c>
    </row>
    <row r="164" spans="1:5" x14ac:dyDescent="0.35">
      <c r="A164" s="24">
        <v>24746</v>
      </c>
      <c r="B164" s="24">
        <v>24746</v>
      </c>
      <c r="C164" s="23">
        <v>3.88</v>
      </c>
      <c r="D164">
        <v>0</v>
      </c>
      <c r="E164">
        <f t="shared" si="2"/>
        <v>702</v>
      </c>
    </row>
    <row r="165" spans="1:5" x14ac:dyDescent="0.35">
      <c r="A165" s="24">
        <v>24777</v>
      </c>
      <c r="B165" s="24">
        <v>24777</v>
      </c>
      <c r="C165" s="23">
        <v>4.13</v>
      </c>
      <c r="D165">
        <v>1</v>
      </c>
      <c r="E165">
        <f t="shared" si="2"/>
        <v>701</v>
      </c>
    </row>
    <row r="166" spans="1:5" x14ac:dyDescent="0.35">
      <c r="A166" s="24">
        <v>24807</v>
      </c>
      <c r="B166" s="24">
        <v>24807</v>
      </c>
      <c r="C166" s="23">
        <v>4.51</v>
      </c>
      <c r="D166">
        <v>0</v>
      </c>
      <c r="E166">
        <f t="shared" si="2"/>
        <v>700</v>
      </c>
    </row>
    <row r="167" spans="1:5" x14ac:dyDescent="0.35">
      <c r="A167" s="24">
        <v>24838</v>
      </c>
      <c r="B167" s="24">
        <v>24838</v>
      </c>
      <c r="C167" s="23">
        <v>4.6100000000000003</v>
      </c>
      <c r="D167">
        <v>0</v>
      </c>
      <c r="E167">
        <f t="shared" si="2"/>
        <v>699</v>
      </c>
    </row>
    <row r="168" spans="1:5" x14ac:dyDescent="0.35">
      <c r="A168" s="24">
        <v>24869</v>
      </c>
      <c r="B168" s="24">
        <v>24869</v>
      </c>
      <c r="C168" s="23">
        <v>4.71</v>
      </c>
      <c r="D168">
        <v>0</v>
      </c>
      <c r="E168">
        <f t="shared" si="2"/>
        <v>698</v>
      </c>
    </row>
    <row r="169" spans="1:5" x14ac:dyDescent="0.35">
      <c r="A169" s="24">
        <v>24898</v>
      </c>
      <c r="B169" s="24">
        <v>24898</v>
      </c>
      <c r="C169" s="23">
        <v>5.05</v>
      </c>
      <c r="D169">
        <v>1</v>
      </c>
      <c r="E169">
        <f t="shared" si="2"/>
        <v>697</v>
      </c>
    </row>
    <row r="170" spans="1:5" x14ac:dyDescent="0.35">
      <c r="A170" s="24">
        <v>24929</v>
      </c>
      <c r="B170" s="24">
        <v>24929</v>
      </c>
      <c r="C170" s="23">
        <v>5.76</v>
      </c>
      <c r="D170">
        <v>0</v>
      </c>
      <c r="E170">
        <f t="shared" si="2"/>
        <v>696</v>
      </c>
    </row>
    <row r="171" spans="1:5" x14ac:dyDescent="0.35">
      <c r="A171" s="24">
        <v>24959</v>
      </c>
      <c r="B171" s="24">
        <v>24959</v>
      </c>
      <c r="C171" s="23">
        <v>6.12</v>
      </c>
      <c r="D171">
        <v>0</v>
      </c>
      <c r="E171">
        <f t="shared" si="2"/>
        <v>695</v>
      </c>
    </row>
    <row r="172" spans="1:5" x14ac:dyDescent="0.35">
      <c r="A172" s="24">
        <v>24990</v>
      </c>
      <c r="B172" s="24">
        <v>24990</v>
      </c>
      <c r="C172" s="23">
        <v>6.07</v>
      </c>
      <c r="D172">
        <v>0</v>
      </c>
      <c r="E172">
        <f t="shared" si="2"/>
        <v>694</v>
      </c>
    </row>
    <row r="173" spans="1:5" x14ac:dyDescent="0.35">
      <c r="A173" s="24">
        <v>25020</v>
      </c>
      <c r="B173" s="24">
        <v>25020</v>
      </c>
      <c r="C173" s="23">
        <v>6.03</v>
      </c>
      <c r="D173">
        <v>1</v>
      </c>
      <c r="E173">
        <f t="shared" si="2"/>
        <v>693</v>
      </c>
    </row>
    <row r="174" spans="1:5" x14ac:dyDescent="0.35">
      <c r="A174" s="24">
        <v>25051</v>
      </c>
      <c r="B174" s="24">
        <v>25051</v>
      </c>
      <c r="C174" s="23">
        <v>6.03</v>
      </c>
      <c r="D174">
        <v>0</v>
      </c>
      <c r="E174">
        <f t="shared" si="2"/>
        <v>692</v>
      </c>
    </row>
    <row r="175" spans="1:5" x14ac:dyDescent="0.35">
      <c r="A175" s="24">
        <v>25082</v>
      </c>
      <c r="B175" s="24">
        <v>25082</v>
      </c>
      <c r="C175" s="23">
        <v>5.78</v>
      </c>
      <c r="D175">
        <v>0</v>
      </c>
      <c r="E175">
        <f t="shared" si="2"/>
        <v>691</v>
      </c>
    </row>
    <row r="176" spans="1:5" x14ac:dyDescent="0.35">
      <c r="A176" s="24">
        <v>25112</v>
      </c>
      <c r="B176" s="24">
        <v>25112</v>
      </c>
      <c r="C176" s="23">
        <v>5.91</v>
      </c>
      <c r="D176">
        <v>0</v>
      </c>
      <c r="E176">
        <f t="shared" si="2"/>
        <v>690</v>
      </c>
    </row>
    <row r="177" spans="1:5" x14ac:dyDescent="0.35">
      <c r="A177" s="24">
        <v>25143</v>
      </c>
      <c r="B177" s="24">
        <v>25143</v>
      </c>
      <c r="C177" s="23">
        <v>5.82</v>
      </c>
      <c r="D177">
        <v>1</v>
      </c>
      <c r="E177">
        <f t="shared" si="2"/>
        <v>689</v>
      </c>
    </row>
    <row r="178" spans="1:5" x14ac:dyDescent="0.35">
      <c r="A178" s="24">
        <v>25173</v>
      </c>
      <c r="B178" s="24">
        <v>25173</v>
      </c>
      <c r="C178" s="23">
        <v>6.02</v>
      </c>
      <c r="D178">
        <v>0</v>
      </c>
      <c r="E178">
        <f t="shared" si="2"/>
        <v>688</v>
      </c>
    </row>
    <row r="179" spans="1:5" x14ac:dyDescent="0.35">
      <c r="A179" s="24">
        <v>25204</v>
      </c>
      <c r="B179" s="24">
        <v>25204</v>
      </c>
      <c r="C179" s="23">
        <v>6.3</v>
      </c>
      <c r="D179">
        <v>0</v>
      </c>
      <c r="E179">
        <f t="shared" si="2"/>
        <v>687</v>
      </c>
    </row>
    <row r="180" spans="1:5" x14ac:dyDescent="0.35">
      <c r="A180" s="24">
        <v>25235</v>
      </c>
      <c r="B180" s="24">
        <v>25235</v>
      </c>
      <c r="C180" s="23">
        <v>6.61</v>
      </c>
      <c r="D180">
        <v>0</v>
      </c>
      <c r="E180">
        <f t="shared" si="2"/>
        <v>686</v>
      </c>
    </row>
    <row r="181" spans="1:5" x14ac:dyDescent="0.35">
      <c r="A181" s="24">
        <v>25263</v>
      </c>
      <c r="B181" s="24">
        <v>25263</v>
      </c>
      <c r="C181" s="23">
        <v>6.79</v>
      </c>
      <c r="D181">
        <v>1</v>
      </c>
      <c r="E181">
        <f t="shared" si="2"/>
        <v>685</v>
      </c>
    </row>
    <row r="182" spans="1:5" x14ac:dyDescent="0.35">
      <c r="A182" s="24">
        <v>25294</v>
      </c>
      <c r="B182" s="24">
        <v>25294</v>
      </c>
      <c r="C182" s="23">
        <v>7.41</v>
      </c>
      <c r="D182">
        <v>0</v>
      </c>
      <c r="E182">
        <f t="shared" si="2"/>
        <v>684</v>
      </c>
    </row>
    <row r="183" spans="1:5" x14ac:dyDescent="0.35">
      <c r="A183" s="24">
        <v>25324</v>
      </c>
      <c r="B183" s="24">
        <v>25324</v>
      </c>
      <c r="C183" s="23">
        <v>8.67</v>
      </c>
      <c r="D183">
        <v>0</v>
      </c>
      <c r="E183">
        <f t="shared" si="2"/>
        <v>683</v>
      </c>
    </row>
    <row r="184" spans="1:5" x14ac:dyDescent="0.35">
      <c r="A184" s="24">
        <v>25355</v>
      </c>
      <c r="B184" s="24">
        <v>25355</v>
      </c>
      <c r="C184" s="23">
        <v>8.9</v>
      </c>
      <c r="D184">
        <v>0</v>
      </c>
      <c r="E184">
        <f t="shared" si="2"/>
        <v>682</v>
      </c>
    </row>
    <row r="185" spans="1:5" x14ac:dyDescent="0.35">
      <c r="A185" s="24">
        <v>25385</v>
      </c>
      <c r="B185" s="24">
        <v>25385</v>
      </c>
      <c r="C185" s="23">
        <v>8.61</v>
      </c>
      <c r="D185">
        <v>1</v>
      </c>
      <c r="E185">
        <f t="shared" si="2"/>
        <v>681</v>
      </c>
    </row>
    <row r="186" spans="1:5" x14ac:dyDescent="0.35">
      <c r="A186" s="24">
        <v>25416</v>
      </c>
      <c r="B186" s="24">
        <v>25416</v>
      </c>
      <c r="C186" s="23">
        <v>9.19</v>
      </c>
      <c r="D186">
        <v>0</v>
      </c>
      <c r="E186">
        <f t="shared" si="2"/>
        <v>680</v>
      </c>
    </row>
    <row r="187" spans="1:5" x14ac:dyDescent="0.35">
      <c r="A187" s="24">
        <v>25447</v>
      </c>
      <c r="B187" s="24">
        <v>25447</v>
      </c>
      <c r="C187" s="23">
        <v>9.15</v>
      </c>
      <c r="D187">
        <v>0</v>
      </c>
      <c r="E187">
        <f t="shared" si="2"/>
        <v>679</v>
      </c>
    </row>
    <row r="188" spans="1:5" x14ac:dyDescent="0.35">
      <c r="A188" s="24">
        <v>25477</v>
      </c>
      <c r="B188" s="24">
        <v>25477</v>
      </c>
      <c r="C188" s="23">
        <v>9</v>
      </c>
      <c r="D188">
        <v>0</v>
      </c>
      <c r="E188">
        <f t="shared" si="2"/>
        <v>678</v>
      </c>
    </row>
    <row r="189" spans="1:5" x14ac:dyDescent="0.35">
      <c r="A189" s="24">
        <v>25508</v>
      </c>
      <c r="B189" s="24">
        <v>25508</v>
      </c>
      <c r="C189" s="23">
        <v>8.85</v>
      </c>
      <c r="D189">
        <v>1</v>
      </c>
      <c r="E189">
        <f t="shared" si="2"/>
        <v>677</v>
      </c>
    </row>
    <row r="190" spans="1:5" x14ac:dyDescent="0.35">
      <c r="A190" s="24">
        <v>25538</v>
      </c>
      <c r="B190" s="24">
        <v>25538</v>
      </c>
      <c r="C190" s="23">
        <v>8.9700000000000006</v>
      </c>
      <c r="D190">
        <v>0</v>
      </c>
      <c r="E190">
        <f t="shared" si="2"/>
        <v>676</v>
      </c>
    </row>
    <row r="191" spans="1:5" x14ac:dyDescent="0.35">
      <c r="A191" s="24">
        <v>25569</v>
      </c>
      <c r="B191" s="24">
        <v>25569</v>
      </c>
      <c r="C191" s="23">
        <v>8.98</v>
      </c>
      <c r="D191">
        <v>0</v>
      </c>
      <c r="E191">
        <f t="shared" si="2"/>
        <v>675</v>
      </c>
    </row>
    <row r="192" spans="1:5" x14ac:dyDescent="0.35">
      <c r="A192" s="24">
        <v>25600</v>
      </c>
      <c r="B192" s="24">
        <v>25600</v>
      </c>
      <c r="C192" s="23">
        <v>8.98</v>
      </c>
      <c r="D192">
        <v>0</v>
      </c>
      <c r="E192">
        <f t="shared" si="2"/>
        <v>674</v>
      </c>
    </row>
    <row r="193" spans="1:5" x14ac:dyDescent="0.35">
      <c r="A193" s="24">
        <v>25628</v>
      </c>
      <c r="B193" s="24">
        <v>25628</v>
      </c>
      <c r="C193" s="23">
        <v>7.76</v>
      </c>
      <c r="D193">
        <v>1</v>
      </c>
      <c r="E193">
        <f t="shared" si="2"/>
        <v>673</v>
      </c>
    </row>
    <row r="194" spans="1:5" x14ac:dyDescent="0.35">
      <c r="A194" s="24">
        <v>25659</v>
      </c>
      <c r="B194" s="24">
        <v>25659</v>
      </c>
      <c r="C194" s="23">
        <v>8.1</v>
      </c>
      <c r="D194">
        <v>0</v>
      </c>
      <c r="E194">
        <f t="shared" si="2"/>
        <v>672</v>
      </c>
    </row>
    <row r="195" spans="1:5" x14ac:dyDescent="0.35">
      <c r="A195" s="24">
        <v>25689</v>
      </c>
      <c r="B195" s="24">
        <v>25689</v>
      </c>
      <c r="C195" s="23">
        <v>7.95</v>
      </c>
      <c r="D195">
        <v>0</v>
      </c>
      <c r="E195">
        <f t="shared" si="2"/>
        <v>671</v>
      </c>
    </row>
    <row r="196" spans="1:5" x14ac:dyDescent="0.35">
      <c r="A196" s="24">
        <v>25720</v>
      </c>
      <c r="B196" s="24">
        <v>25720</v>
      </c>
      <c r="C196" s="23">
        <v>7.61</v>
      </c>
      <c r="D196">
        <v>0</v>
      </c>
      <c r="E196">
        <f t="shared" si="2"/>
        <v>670</v>
      </c>
    </row>
    <row r="197" spans="1:5" x14ac:dyDescent="0.35">
      <c r="A197" s="24">
        <v>25750</v>
      </c>
      <c r="B197" s="24">
        <v>25750</v>
      </c>
      <c r="C197" s="23">
        <v>7.21</v>
      </c>
      <c r="D197">
        <v>1</v>
      </c>
      <c r="E197">
        <f t="shared" ref="E197:E260" si="3">E198+1</f>
        <v>669</v>
      </c>
    </row>
    <row r="198" spans="1:5" x14ac:dyDescent="0.35">
      <c r="A198" s="24">
        <v>25781</v>
      </c>
      <c r="B198" s="24">
        <v>25781</v>
      </c>
      <c r="C198" s="23">
        <v>6.62</v>
      </c>
      <c r="D198">
        <v>0</v>
      </c>
      <c r="E198">
        <f t="shared" si="3"/>
        <v>668</v>
      </c>
    </row>
    <row r="199" spans="1:5" x14ac:dyDescent="0.35">
      <c r="A199" s="24">
        <v>25812</v>
      </c>
      <c r="B199" s="24">
        <v>25812</v>
      </c>
      <c r="C199" s="23">
        <v>6.29</v>
      </c>
      <c r="D199">
        <v>0</v>
      </c>
      <c r="E199">
        <f t="shared" si="3"/>
        <v>667</v>
      </c>
    </row>
    <row r="200" spans="1:5" x14ac:dyDescent="0.35">
      <c r="A200" s="24">
        <v>25842</v>
      </c>
      <c r="B200" s="24">
        <v>25842</v>
      </c>
      <c r="C200" s="23">
        <v>6.2</v>
      </c>
      <c r="D200">
        <v>0</v>
      </c>
      <c r="E200">
        <f t="shared" si="3"/>
        <v>666</v>
      </c>
    </row>
    <row r="201" spans="1:5" x14ac:dyDescent="0.35">
      <c r="A201" s="24">
        <v>25873</v>
      </c>
      <c r="B201" s="24">
        <v>25873</v>
      </c>
      <c r="C201" s="23">
        <v>5.6</v>
      </c>
      <c r="D201">
        <v>1</v>
      </c>
      <c r="E201">
        <f t="shared" si="3"/>
        <v>665</v>
      </c>
    </row>
    <row r="202" spans="1:5" x14ac:dyDescent="0.35">
      <c r="A202" s="24">
        <v>25903</v>
      </c>
      <c r="B202" s="24">
        <v>25903</v>
      </c>
      <c r="C202" s="23">
        <v>4.9000000000000004</v>
      </c>
      <c r="D202">
        <v>0</v>
      </c>
      <c r="E202">
        <f t="shared" si="3"/>
        <v>664</v>
      </c>
    </row>
    <row r="203" spans="1:5" x14ac:dyDescent="0.35">
      <c r="A203" s="24">
        <v>25934</v>
      </c>
      <c r="B203" s="24">
        <v>25934</v>
      </c>
      <c r="C203" s="23">
        <v>4.1399999999999997</v>
      </c>
      <c r="D203">
        <v>0</v>
      </c>
      <c r="E203">
        <f t="shared" si="3"/>
        <v>663</v>
      </c>
    </row>
    <row r="204" spans="1:5" x14ac:dyDescent="0.35">
      <c r="A204" s="24">
        <v>25965</v>
      </c>
      <c r="B204" s="24">
        <v>25965</v>
      </c>
      <c r="C204" s="23">
        <v>3.72</v>
      </c>
      <c r="D204">
        <v>0</v>
      </c>
      <c r="E204">
        <f t="shared" si="3"/>
        <v>662</v>
      </c>
    </row>
    <row r="205" spans="1:5" x14ac:dyDescent="0.35">
      <c r="A205" s="24">
        <v>25993</v>
      </c>
      <c r="B205" s="24">
        <v>25993</v>
      </c>
      <c r="C205" s="23">
        <v>3.71</v>
      </c>
      <c r="D205">
        <v>1</v>
      </c>
      <c r="E205">
        <f t="shared" si="3"/>
        <v>661</v>
      </c>
    </row>
    <row r="206" spans="1:5" x14ac:dyDescent="0.35">
      <c r="A206" s="24">
        <v>26024</v>
      </c>
      <c r="B206" s="24">
        <v>26024</v>
      </c>
      <c r="C206" s="23">
        <v>4.16</v>
      </c>
      <c r="D206">
        <v>0</v>
      </c>
      <c r="E206">
        <f t="shared" si="3"/>
        <v>660</v>
      </c>
    </row>
    <row r="207" spans="1:5" x14ac:dyDescent="0.35">
      <c r="A207" s="24">
        <v>26054</v>
      </c>
      <c r="B207" s="24">
        <v>26054</v>
      </c>
      <c r="C207" s="23">
        <v>4.63</v>
      </c>
      <c r="D207">
        <v>0</v>
      </c>
      <c r="E207">
        <f t="shared" si="3"/>
        <v>659</v>
      </c>
    </row>
    <row r="208" spans="1:5" x14ac:dyDescent="0.35">
      <c r="A208" s="24">
        <v>26085</v>
      </c>
      <c r="B208" s="24">
        <v>26085</v>
      </c>
      <c r="C208" s="23">
        <v>4.91</v>
      </c>
      <c r="D208">
        <v>0</v>
      </c>
      <c r="E208">
        <f t="shared" si="3"/>
        <v>658</v>
      </c>
    </row>
    <row r="209" spans="1:5" x14ac:dyDescent="0.35">
      <c r="A209" s="24">
        <v>26115</v>
      </c>
      <c r="B209" s="24">
        <v>26115</v>
      </c>
      <c r="C209" s="23">
        <v>5.31</v>
      </c>
      <c r="D209">
        <v>1</v>
      </c>
      <c r="E209">
        <f t="shared" si="3"/>
        <v>657</v>
      </c>
    </row>
    <row r="210" spans="1:5" x14ac:dyDescent="0.35">
      <c r="A210" s="24">
        <v>26146</v>
      </c>
      <c r="B210" s="24">
        <v>26146</v>
      </c>
      <c r="C210" s="23">
        <v>5.57</v>
      </c>
      <c r="D210">
        <v>0</v>
      </c>
      <c r="E210">
        <f t="shared" si="3"/>
        <v>656</v>
      </c>
    </row>
    <row r="211" spans="1:5" x14ac:dyDescent="0.35">
      <c r="A211" s="24">
        <v>26177</v>
      </c>
      <c r="B211" s="24">
        <v>26177</v>
      </c>
      <c r="C211" s="23">
        <v>5.55</v>
      </c>
      <c r="D211">
        <v>0</v>
      </c>
      <c r="E211">
        <f t="shared" si="3"/>
        <v>655</v>
      </c>
    </row>
    <row r="212" spans="1:5" x14ac:dyDescent="0.35">
      <c r="A212" s="24">
        <v>26207</v>
      </c>
      <c r="B212" s="24">
        <v>26207</v>
      </c>
      <c r="C212" s="23">
        <v>5.2</v>
      </c>
      <c r="D212">
        <v>0</v>
      </c>
      <c r="E212">
        <f t="shared" si="3"/>
        <v>654</v>
      </c>
    </row>
    <row r="213" spans="1:5" x14ac:dyDescent="0.35">
      <c r="A213" s="24">
        <v>26238</v>
      </c>
      <c r="B213" s="24">
        <v>26238</v>
      </c>
      <c r="C213" s="23">
        <v>4.91</v>
      </c>
      <c r="D213">
        <v>1</v>
      </c>
      <c r="E213">
        <f t="shared" si="3"/>
        <v>653</v>
      </c>
    </row>
    <row r="214" spans="1:5" x14ac:dyDescent="0.35">
      <c r="A214" s="24">
        <v>26268</v>
      </c>
      <c r="B214" s="24">
        <v>26268</v>
      </c>
      <c r="C214" s="23">
        <v>4.1399999999999997</v>
      </c>
      <c r="D214">
        <v>0</v>
      </c>
      <c r="E214">
        <f t="shared" si="3"/>
        <v>652</v>
      </c>
    </row>
    <row r="215" spans="1:5" x14ac:dyDescent="0.35">
      <c r="A215" s="24">
        <v>26299</v>
      </c>
      <c r="B215" s="24">
        <v>26299</v>
      </c>
      <c r="C215" s="23">
        <v>3.51</v>
      </c>
      <c r="D215">
        <v>0</v>
      </c>
      <c r="E215">
        <f t="shared" si="3"/>
        <v>651</v>
      </c>
    </row>
    <row r="216" spans="1:5" x14ac:dyDescent="0.35">
      <c r="A216" s="24">
        <v>26330</v>
      </c>
      <c r="B216" s="24">
        <v>26330</v>
      </c>
      <c r="C216" s="23">
        <v>3.3</v>
      </c>
      <c r="D216">
        <v>0</v>
      </c>
      <c r="E216">
        <f t="shared" si="3"/>
        <v>650</v>
      </c>
    </row>
    <row r="217" spans="1:5" x14ac:dyDescent="0.35">
      <c r="A217" s="24">
        <v>26359</v>
      </c>
      <c r="B217" s="24">
        <v>26359</v>
      </c>
      <c r="C217" s="23">
        <v>3.83</v>
      </c>
      <c r="D217">
        <v>1</v>
      </c>
      <c r="E217">
        <f t="shared" si="3"/>
        <v>649</v>
      </c>
    </row>
    <row r="218" spans="1:5" x14ac:dyDescent="0.35">
      <c r="A218" s="24">
        <v>26390</v>
      </c>
      <c r="B218" s="24">
        <v>26390</v>
      </c>
      <c r="C218" s="23">
        <v>4.17</v>
      </c>
      <c r="D218">
        <v>0</v>
      </c>
      <c r="E218">
        <f t="shared" si="3"/>
        <v>648</v>
      </c>
    </row>
    <row r="219" spans="1:5" x14ac:dyDescent="0.35">
      <c r="A219" s="24">
        <v>26420</v>
      </c>
      <c r="B219" s="24">
        <v>26420</v>
      </c>
      <c r="C219" s="23">
        <v>4.2699999999999996</v>
      </c>
      <c r="D219">
        <v>0</v>
      </c>
      <c r="E219">
        <f t="shared" si="3"/>
        <v>647</v>
      </c>
    </row>
    <row r="220" spans="1:5" x14ac:dyDescent="0.35">
      <c r="A220" s="24">
        <v>26451</v>
      </c>
      <c r="B220" s="24">
        <v>26451</v>
      </c>
      <c r="C220" s="23">
        <v>4.46</v>
      </c>
      <c r="D220">
        <v>0</v>
      </c>
      <c r="E220">
        <f t="shared" si="3"/>
        <v>646</v>
      </c>
    </row>
    <row r="221" spans="1:5" x14ac:dyDescent="0.35">
      <c r="A221" s="24">
        <v>26481</v>
      </c>
      <c r="B221" s="24">
        <v>26481</v>
      </c>
      <c r="C221" s="23">
        <v>4.55</v>
      </c>
      <c r="D221">
        <v>1</v>
      </c>
      <c r="E221">
        <f t="shared" si="3"/>
        <v>645</v>
      </c>
    </row>
    <row r="222" spans="1:5" x14ac:dyDescent="0.35">
      <c r="A222" s="24">
        <v>26512</v>
      </c>
      <c r="B222" s="24">
        <v>26512</v>
      </c>
      <c r="C222" s="23">
        <v>4.8099999999999996</v>
      </c>
      <c r="D222">
        <v>0</v>
      </c>
      <c r="E222">
        <f t="shared" si="3"/>
        <v>644</v>
      </c>
    </row>
    <row r="223" spans="1:5" x14ac:dyDescent="0.35">
      <c r="A223" s="24">
        <v>26543</v>
      </c>
      <c r="B223" s="24">
        <v>26543</v>
      </c>
      <c r="C223" s="23">
        <v>4.87</v>
      </c>
      <c r="D223">
        <v>0</v>
      </c>
      <c r="E223">
        <f t="shared" si="3"/>
        <v>643</v>
      </c>
    </row>
    <row r="224" spans="1:5" x14ac:dyDescent="0.35">
      <c r="A224" s="24">
        <v>26573</v>
      </c>
      <c r="B224" s="24">
        <v>26573</v>
      </c>
      <c r="C224" s="23">
        <v>5.05</v>
      </c>
      <c r="D224">
        <v>0</v>
      </c>
      <c r="E224">
        <f t="shared" si="3"/>
        <v>642</v>
      </c>
    </row>
    <row r="225" spans="1:5" x14ac:dyDescent="0.35">
      <c r="A225" s="24">
        <v>26604</v>
      </c>
      <c r="B225" s="24">
        <v>26604</v>
      </c>
      <c r="C225" s="23">
        <v>5.0599999999999996</v>
      </c>
      <c r="D225">
        <v>1</v>
      </c>
      <c r="E225">
        <f t="shared" si="3"/>
        <v>641</v>
      </c>
    </row>
    <row r="226" spans="1:5" x14ac:dyDescent="0.35">
      <c r="A226" s="24">
        <v>26634</v>
      </c>
      <c r="B226" s="24">
        <v>26634</v>
      </c>
      <c r="C226" s="23">
        <v>5.33</v>
      </c>
      <c r="D226">
        <v>0</v>
      </c>
      <c r="E226">
        <f t="shared" si="3"/>
        <v>640</v>
      </c>
    </row>
    <row r="227" spans="1:5" x14ac:dyDescent="0.35">
      <c r="A227" s="24">
        <v>26665</v>
      </c>
      <c r="B227" s="24">
        <v>26665</v>
      </c>
      <c r="C227" s="23">
        <v>5.94</v>
      </c>
      <c r="D227">
        <v>0</v>
      </c>
      <c r="E227">
        <f t="shared" si="3"/>
        <v>639</v>
      </c>
    </row>
    <row r="228" spans="1:5" x14ac:dyDescent="0.35">
      <c r="A228" s="24">
        <v>26696</v>
      </c>
      <c r="B228" s="24">
        <v>26696</v>
      </c>
      <c r="C228" s="23">
        <v>6.58</v>
      </c>
      <c r="D228">
        <v>0</v>
      </c>
      <c r="E228">
        <f t="shared" si="3"/>
        <v>638</v>
      </c>
    </row>
    <row r="229" spans="1:5" x14ac:dyDescent="0.35">
      <c r="A229" s="24">
        <v>26724</v>
      </c>
      <c r="B229" s="24">
        <v>26724</v>
      </c>
      <c r="C229" s="23">
        <v>7.09</v>
      </c>
      <c r="D229">
        <v>1</v>
      </c>
      <c r="E229">
        <f t="shared" si="3"/>
        <v>637</v>
      </c>
    </row>
    <row r="230" spans="1:5" x14ac:dyDescent="0.35">
      <c r="A230" s="24">
        <v>26755</v>
      </c>
      <c r="B230" s="24">
        <v>26755</v>
      </c>
      <c r="C230" s="23">
        <v>7.12</v>
      </c>
      <c r="D230">
        <v>0</v>
      </c>
      <c r="E230">
        <f t="shared" si="3"/>
        <v>636</v>
      </c>
    </row>
    <row r="231" spans="1:5" x14ac:dyDescent="0.35">
      <c r="A231" s="24">
        <v>26785</v>
      </c>
      <c r="B231" s="24">
        <v>26785</v>
      </c>
      <c r="C231" s="23">
        <v>7.84</v>
      </c>
      <c r="D231">
        <v>0</v>
      </c>
      <c r="E231">
        <f t="shared" si="3"/>
        <v>635</v>
      </c>
    </row>
    <row r="232" spans="1:5" x14ac:dyDescent="0.35">
      <c r="A232" s="24">
        <v>26816</v>
      </c>
      <c r="B232" s="24">
        <v>26816</v>
      </c>
      <c r="C232" s="23">
        <v>8.49</v>
      </c>
      <c r="D232">
        <v>0</v>
      </c>
      <c r="E232">
        <f t="shared" si="3"/>
        <v>634</v>
      </c>
    </row>
    <row r="233" spans="1:5" x14ac:dyDescent="0.35">
      <c r="A233" s="24">
        <v>26846</v>
      </c>
      <c r="B233" s="24">
        <v>26846</v>
      </c>
      <c r="C233" s="23">
        <v>10.4</v>
      </c>
      <c r="D233">
        <v>1</v>
      </c>
      <c r="E233">
        <f t="shared" si="3"/>
        <v>633</v>
      </c>
    </row>
    <row r="234" spans="1:5" x14ac:dyDescent="0.35">
      <c r="A234" s="24">
        <v>26877</v>
      </c>
      <c r="B234" s="24">
        <v>26877</v>
      </c>
      <c r="C234" s="23">
        <v>10.5</v>
      </c>
      <c r="D234">
        <v>0</v>
      </c>
      <c r="E234">
        <f t="shared" si="3"/>
        <v>632</v>
      </c>
    </row>
    <row r="235" spans="1:5" x14ac:dyDescent="0.35">
      <c r="A235" s="24">
        <v>26908</v>
      </c>
      <c r="B235" s="24">
        <v>26908</v>
      </c>
      <c r="C235" s="23">
        <v>10.78</v>
      </c>
      <c r="D235">
        <v>0</v>
      </c>
      <c r="E235">
        <f t="shared" si="3"/>
        <v>631</v>
      </c>
    </row>
    <row r="236" spans="1:5" x14ac:dyDescent="0.35">
      <c r="A236" s="24">
        <v>26938</v>
      </c>
      <c r="B236" s="24">
        <v>26938</v>
      </c>
      <c r="C236" s="23">
        <v>10.01</v>
      </c>
      <c r="D236">
        <v>0</v>
      </c>
      <c r="E236">
        <f t="shared" si="3"/>
        <v>630</v>
      </c>
    </row>
    <row r="237" spans="1:5" x14ac:dyDescent="0.35">
      <c r="A237" s="24">
        <v>26969</v>
      </c>
      <c r="B237" s="24">
        <v>26969</v>
      </c>
      <c r="C237" s="23">
        <v>10.029999999999999</v>
      </c>
      <c r="D237">
        <v>1</v>
      </c>
      <c r="E237">
        <f t="shared" si="3"/>
        <v>629</v>
      </c>
    </row>
    <row r="238" spans="1:5" x14ac:dyDescent="0.35">
      <c r="A238" s="24">
        <v>26999</v>
      </c>
      <c r="B238" s="24">
        <v>26999</v>
      </c>
      <c r="C238" s="23">
        <v>9.9499999999999993</v>
      </c>
      <c r="D238">
        <v>0</v>
      </c>
      <c r="E238">
        <f t="shared" si="3"/>
        <v>628</v>
      </c>
    </row>
    <row r="239" spans="1:5" x14ac:dyDescent="0.35">
      <c r="A239" s="24">
        <v>27030</v>
      </c>
      <c r="B239" s="24">
        <v>27030</v>
      </c>
      <c r="C239" s="23">
        <v>9.65</v>
      </c>
      <c r="D239">
        <v>0</v>
      </c>
      <c r="E239">
        <f t="shared" si="3"/>
        <v>627</v>
      </c>
    </row>
    <row r="240" spans="1:5" x14ac:dyDescent="0.35">
      <c r="A240" s="24">
        <v>27061</v>
      </c>
      <c r="B240" s="24">
        <v>27061</v>
      </c>
      <c r="C240" s="23">
        <v>8.9700000000000006</v>
      </c>
      <c r="D240">
        <v>0</v>
      </c>
      <c r="E240">
        <f t="shared" si="3"/>
        <v>626</v>
      </c>
    </row>
    <row r="241" spans="1:5" x14ac:dyDescent="0.35">
      <c r="A241" s="24">
        <v>27089</v>
      </c>
      <c r="B241" s="24">
        <v>27089</v>
      </c>
      <c r="C241" s="23">
        <v>9.35</v>
      </c>
      <c r="D241">
        <v>1</v>
      </c>
      <c r="E241">
        <f t="shared" si="3"/>
        <v>625</v>
      </c>
    </row>
    <row r="242" spans="1:5" x14ac:dyDescent="0.35">
      <c r="A242" s="24">
        <v>27120</v>
      </c>
      <c r="B242" s="24">
        <v>27120</v>
      </c>
      <c r="C242" s="23">
        <v>10.51</v>
      </c>
      <c r="D242">
        <v>0</v>
      </c>
      <c r="E242">
        <f t="shared" si="3"/>
        <v>624</v>
      </c>
    </row>
    <row r="243" spans="1:5" x14ac:dyDescent="0.35">
      <c r="A243" s="24">
        <v>27150</v>
      </c>
      <c r="B243" s="24">
        <v>27150</v>
      </c>
      <c r="C243" s="23">
        <v>11.31</v>
      </c>
      <c r="D243">
        <v>0</v>
      </c>
      <c r="E243">
        <f t="shared" si="3"/>
        <v>623</v>
      </c>
    </row>
    <row r="244" spans="1:5" x14ac:dyDescent="0.35">
      <c r="A244" s="24">
        <v>27181</v>
      </c>
      <c r="B244" s="24">
        <v>27181</v>
      </c>
      <c r="C244" s="23">
        <v>11.93</v>
      </c>
      <c r="D244">
        <v>0</v>
      </c>
      <c r="E244">
        <f t="shared" si="3"/>
        <v>622</v>
      </c>
    </row>
    <row r="245" spans="1:5" x14ac:dyDescent="0.35">
      <c r="A245" s="24">
        <v>27211</v>
      </c>
      <c r="B245" s="24">
        <v>27211</v>
      </c>
      <c r="C245" s="23">
        <v>12.92</v>
      </c>
      <c r="D245">
        <v>1</v>
      </c>
      <c r="E245">
        <f t="shared" si="3"/>
        <v>621</v>
      </c>
    </row>
    <row r="246" spans="1:5" x14ac:dyDescent="0.35">
      <c r="A246" s="24">
        <v>27242</v>
      </c>
      <c r="B246" s="24">
        <v>27242</v>
      </c>
      <c r="C246" s="23">
        <v>12.01</v>
      </c>
      <c r="D246">
        <v>0</v>
      </c>
      <c r="E246">
        <f t="shared" si="3"/>
        <v>620</v>
      </c>
    </row>
    <row r="247" spans="1:5" x14ac:dyDescent="0.35">
      <c r="A247" s="24">
        <v>27273</v>
      </c>
      <c r="B247" s="24">
        <v>27273</v>
      </c>
      <c r="C247" s="23">
        <v>11.34</v>
      </c>
      <c r="D247">
        <v>0</v>
      </c>
      <c r="E247">
        <f t="shared" si="3"/>
        <v>619</v>
      </c>
    </row>
    <row r="248" spans="1:5" x14ac:dyDescent="0.35">
      <c r="A248" s="24">
        <v>27303</v>
      </c>
      <c r="B248" s="24">
        <v>27303</v>
      </c>
      <c r="C248" s="23">
        <v>10.06</v>
      </c>
      <c r="D248">
        <v>0</v>
      </c>
      <c r="E248">
        <f t="shared" si="3"/>
        <v>618</v>
      </c>
    </row>
    <row r="249" spans="1:5" x14ac:dyDescent="0.35">
      <c r="A249" s="24">
        <v>27334</v>
      </c>
      <c r="B249" s="24">
        <v>27334</v>
      </c>
      <c r="C249" s="23">
        <v>9.4499999999999993</v>
      </c>
      <c r="D249">
        <v>1</v>
      </c>
      <c r="E249">
        <f t="shared" si="3"/>
        <v>617</v>
      </c>
    </row>
    <row r="250" spans="1:5" x14ac:dyDescent="0.35">
      <c r="A250" s="24">
        <v>27364</v>
      </c>
      <c r="B250" s="24">
        <v>27364</v>
      </c>
      <c r="C250" s="23">
        <v>8.5299999999999994</v>
      </c>
      <c r="D250">
        <v>0</v>
      </c>
      <c r="E250">
        <f t="shared" si="3"/>
        <v>616</v>
      </c>
    </row>
    <row r="251" spans="1:5" x14ac:dyDescent="0.35">
      <c r="A251" s="24">
        <v>27395</v>
      </c>
      <c r="B251" s="24">
        <v>27395</v>
      </c>
      <c r="C251" s="23">
        <v>7.13</v>
      </c>
      <c r="D251">
        <v>0</v>
      </c>
      <c r="E251">
        <f t="shared" si="3"/>
        <v>615</v>
      </c>
    </row>
    <row r="252" spans="1:5" x14ac:dyDescent="0.35">
      <c r="A252" s="24">
        <v>27426</v>
      </c>
      <c r="B252" s="24">
        <v>27426</v>
      </c>
      <c r="C252" s="23">
        <v>6.24</v>
      </c>
      <c r="D252">
        <v>0</v>
      </c>
      <c r="E252">
        <f t="shared" si="3"/>
        <v>614</v>
      </c>
    </row>
    <row r="253" spans="1:5" x14ac:dyDescent="0.35">
      <c r="A253" s="24">
        <v>27454</v>
      </c>
      <c r="B253" s="24">
        <v>27454</v>
      </c>
      <c r="C253" s="23">
        <v>5.54</v>
      </c>
      <c r="D253">
        <v>1</v>
      </c>
      <c r="E253">
        <f t="shared" si="3"/>
        <v>613</v>
      </c>
    </row>
    <row r="254" spans="1:5" x14ac:dyDescent="0.35">
      <c r="A254" s="24">
        <v>27485</v>
      </c>
      <c r="B254" s="24">
        <v>27485</v>
      </c>
      <c r="C254" s="23">
        <v>5.49</v>
      </c>
      <c r="D254">
        <v>0</v>
      </c>
      <c r="E254">
        <f t="shared" si="3"/>
        <v>612</v>
      </c>
    </row>
    <row r="255" spans="1:5" x14ac:dyDescent="0.35">
      <c r="A255" s="24">
        <v>27515</v>
      </c>
      <c r="B255" s="24">
        <v>27515</v>
      </c>
      <c r="C255" s="23">
        <v>5.22</v>
      </c>
      <c r="D255">
        <v>0</v>
      </c>
      <c r="E255">
        <f t="shared" si="3"/>
        <v>611</v>
      </c>
    </row>
    <row r="256" spans="1:5" x14ac:dyDescent="0.35">
      <c r="A256" s="24">
        <v>27546</v>
      </c>
      <c r="B256" s="24">
        <v>27546</v>
      </c>
      <c r="C256" s="23">
        <v>5.55</v>
      </c>
      <c r="D256">
        <v>0</v>
      </c>
      <c r="E256">
        <f t="shared" si="3"/>
        <v>610</v>
      </c>
    </row>
    <row r="257" spans="1:5" x14ac:dyDescent="0.35">
      <c r="A257" s="24">
        <v>27576</v>
      </c>
      <c r="B257" s="24">
        <v>27576</v>
      </c>
      <c r="C257" s="23">
        <v>6.1</v>
      </c>
      <c r="D257">
        <v>1</v>
      </c>
      <c r="E257">
        <f t="shared" si="3"/>
        <v>609</v>
      </c>
    </row>
    <row r="258" spans="1:5" x14ac:dyDescent="0.35">
      <c r="A258" s="24">
        <v>27607</v>
      </c>
      <c r="B258" s="24">
        <v>27607</v>
      </c>
      <c r="C258" s="23">
        <v>6.14</v>
      </c>
      <c r="D258">
        <v>0</v>
      </c>
      <c r="E258">
        <f t="shared" si="3"/>
        <v>608</v>
      </c>
    </row>
    <row r="259" spans="1:5" x14ac:dyDescent="0.35">
      <c r="A259" s="24">
        <v>27638</v>
      </c>
      <c r="B259" s="24">
        <v>27638</v>
      </c>
      <c r="C259" s="23">
        <v>6.24</v>
      </c>
      <c r="D259">
        <v>0</v>
      </c>
      <c r="E259">
        <f t="shared" si="3"/>
        <v>607</v>
      </c>
    </row>
    <row r="260" spans="1:5" x14ac:dyDescent="0.35">
      <c r="A260" s="24">
        <v>27668</v>
      </c>
      <c r="B260" s="24">
        <v>27668</v>
      </c>
      <c r="C260" s="23">
        <v>5.82</v>
      </c>
      <c r="D260">
        <v>0</v>
      </c>
      <c r="E260">
        <f t="shared" si="3"/>
        <v>606</v>
      </c>
    </row>
    <row r="261" spans="1:5" x14ac:dyDescent="0.35">
      <c r="A261" s="24">
        <v>27699</v>
      </c>
      <c r="B261" s="24">
        <v>27699</v>
      </c>
      <c r="C261" s="23">
        <v>5.22</v>
      </c>
      <c r="D261">
        <v>1</v>
      </c>
      <c r="E261">
        <f t="shared" ref="E261:E324" si="4">E262+1</f>
        <v>605</v>
      </c>
    </row>
    <row r="262" spans="1:5" x14ac:dyDescent="0.35">
      <c r="A262" s="24">
        <v>27729</v>
      </c>
      <c r="B262" s="24">
        <v>27729</v>
      </c>
      <c r="C262" s="23">
        <v>5.2</v>
      </c>
      <c r="D262">
        <v>0</v>
      </c>
      <c r="E262">
        <f t="shared" si="4"/>
        <v>604</v>
      </c>
    </row>
    <row r="263" spans="1:5" x14ac:dyDescent="0.35">
      <c r="A263" s="24">
        <v>27760</v>
      </c>
      <c r="B263" s="24">
        <v>27760</v>
      </c>
      <c r="C263" s="23">
        <v>4.87</v>
      </c>
      <c r="D263">
        <v>0</v>
      </c>
      <c r="E263">
        <f t="shared" si="4"/>
        <v>603</v>
      </c>
    </row>
    <row r="264" spans="1:5" x14ac:dyDescent="0.35">
      <c r="A264" s="24">
        <v>27791</v>
      </c>
      <c r="B264" s="24">
        <v>27791</v>
      </c>
      <c r="C264" s="23">
        <v>4.7699999999999996</v>
      </c>
      <c r="D264">
        <v>0</v>
      </c>
      <c r="E264">
        <f t="shared" si="4"/>
        <v>602</v>
      </c>
    </row>
    <row r="265" spans="1:5" x14ac:dyDescent="0.35">
      <c r="A265" s="24">
        <v>27820</v>
      </c>
      <c r="B265" s="24">
        <v>27820</v>
      </c>
      <c r="C265" s="23">
        <v>4.84</v>
      </c>
      <c r="D265">
        <v>1</v>
      </c>
      <c r="E265">
        <f t="shared" si="4"/>
        <v>601</v>
      </c>
    </row>
    <row r="266" spans="1:5" x14ac:dyDescent="0.35">
      <c r="A266" s="24">
        <v>27851</v>
      </c>
      <c r="B266" s="24">
        <v>27851</v>
      </c>
      <c r="C266" s="23">
        <v>4.82</v>
      </c>
      <c r="D266">
        <v>0</v>
      </c>
      <c r="E266">
        <f t="shared" si="4"/>
        <v>600</v>
      </c>
    </row>
    <row r="267" spans="1:5" x14ac:dyDescent="0.35">
      <c r="A267" s="24">
        <v>27881</v>
      </c>
      <c r="B267" s="24">
        <v>27881</v>
      </c>
      <c r="C267" s="23">
        <v>5.29</v>
      </c>
      <c r="D267">
        <v>0</v>
      </c>
      <c r="E267">
        <f t="shared" si="4"/>
        <v>599</v>
      </c>
    </row>
    <row r="268" spans="1:5" x14ac:dyDescent="0.35">
      <c r="A268" s="24">
        <v>27912</v>
      </c>
      <c r="B268" s="24">
        <v>27912</v>
      </c>
      <c r="C268" s="23">
        <v>5.48</v>
      </c>
      <c r="D268">
        <v>0</v>
      </c>
      <c r="E268">
        <f t="shared" si="4"/>
        <v>598</v>
      </c>
    </row>
    <row r="269" spans="1:5" x14ac:dyDescent="0.35">
      <c r="A269" s="24">
        <v>27942</v>
      </c>
      <c r="B269" s="24">
        <v>27942</v>
      </c>
      <c r="C269" s="23">
        <v>5.31</v>
      </c>
      <c r="D269">
        <v>1</v>
      </c>
      <c r="E269">
        <f t="shared" si="4"/>
        <v>597</v>
      </c>
    </row>
    <row r="270" spans="1:5" x14ac:dyDescent="0.35">
      <c r="A270" s="24">
        <v>27973</v>
      </c>
      <c r="B270" s="24">
        <v>27973</v>
      </c>
      <c r="C270" s="23">
        <v>5.29</v>
      </c>
      <c r="D270">
        <v>0</v>
      </c>
      <c r="E270">
        <f t="shared" si="4"/>
        <v>596</v>
      </c>
    </row>
    <row r="271" spans="1:5" x14ac:dyDescent="0.35">
      <c r="A271" s="24">
        <v>28004</v>
      </c>
      <c r="B271" s="24">
        <v>28004</v>
      </c>
      <c r="C271" s="23">
        <v>5.25</v>
      </c>
      <c r="D271">
        <v>0</v>
      </c>
      <c r="E271">
        <f t="shared" si="4"/>
        <v>595</v>
      </c>
    </row>
    <row r="272" spans="1:5" x14ac:dyDescent="0.35">
      <c r="A272" s="24">
        <v>28034</v>
      </c>
      <c r="B272" s="24">
        <v>28034</v>
      </c>
      <c r="C272" s="23">
        <v>5.0199999999999996</v>
      </c>
      <c r="D272">
        <v>0</v>
      </c>
      <c r="E272">
        <f t="shared" si="4"/>
        <v>594</v>
      </c>
    </row>
    <row r="273" spans="1:5" x14ac:dyDescent="0.35">
      <c r="A273" s="24">
        <v>28065</v>
      </c>
      <c r="B273" s="24">
        <v>28065</v>
      </c>
      <c r="C273" s="23">
        <v>4.95</v>
      </c>
      <c r="D273">
        <v>1</v>
      </c>
      <c r="E273">
        <f t="shared" si="4"/>
        <v>593</v>
      </c>
    </row>
    <row r="274" spans="1:5" x14ac:dyDescent="0.35">
      <c r="A274" s="24">
        <v>28095</v>
      </c>
      <c r="B274" s="24">
        <v>28095</v>
      </c>
      <c r="C274" s="23">
        <v>4.6500000000000004</v>
      </c>
      <c r="D274">
        <v>0</v>
      </c>
      <c r="E274">
        <f t="shared" si="4"/>
        <v>592</v>
      </c>
    </row>
    <row r="275" spans="1:5" x14ac:dyDescent="0.35">
      <c r="A275" s="24">
        <v>28126</v>
      </c>
      <c r="B275" s="24">
        <v>28126</v>
      </c>
      <c r="C275" s="23">
        <v>4.6100000000000003</v>
      </c>
      <c r="D275">
        <v>0</v>
      </c>
      <c r="E275">
        <f t="shared" si="4"/>
        <v>591</v>
      </c>
    </row>
    <row r="276" spans="1:5" x14ac:dyDescent="0.35">
      <c r="A276" s="24">
        <v>28157</v>
      </c>
      <c r="B276" s="24">
        <v>28157</v>
      </c>
      <c r="C276" s="23">
        <v>4.68</v>
      </c>
      <c r="D276">
        <v>0</v>
      </c>
      <c r="E276">
        <f t="shared" si="4"/>
        <v>590</v>
      </c>
    </row>
    <row r="277" spans="1:5" x14ac:dyDescent="0.35">
      <c r="A277" s="24">
        <v>28185</v>
      </c>
      <c r="B277" s="24">
        <v>28185</v>
      </c>
      <c r="C277" s="23">
        <v>4.6900000000000004</v>
      </c>
      <c r="D277">
        <v>1</v>
      </c>
      <c r="E277">
        <f t="shared" si="4"/>
        <v>589</v>
      </c>
    </row>
    <row r="278" spans="1:5" x14ac:dyDescent="0.35">
      <c r="A278" s="24">
        <v>28216</v>
      </c>
      <c r="B278" s="24">
        <v>28216</v>
      </c>
      <c r="C278" s="23">
        <v>4.7300000000000004</v>
      </c>
      <c r="D278">
        <v>0</v>
      </c>
      <c r="E278">
        <f t="shared" si="4"/>
        <v>588</v>
      </c>
    </row>
    <row r="279" spans="1:5" x14ac:dyDescent="0.35">
      <c r="A279" s="24">
        <v>28246</v>
      </c>
      <c r="B279" s="24">
        <v>28246</v>
      </c>
      <c r="C279" s="23">
        <v>5.35</v>
      </c>
      <c r="D279">
        <v>0</v>
      </c>
      <c r="E279">
        <f t="shared" si="4"/>
        <v>587</v>
      </c>
    </row>
    <row r="280" spans="1:5" x14ac:dyDescent="0.35">
      <c r="A280" s="24">
        <v>28277</v>
      </c>
      <c r="B280" s="24">
        <v>28277</v>
      </c>
      <c r="C280" s="23">
        <v>5.39</v>
      </c>
      <c r="D280">
        <v>0</v>
      </c>
      <c r="E280">
        <f t="shared" si="4"/>
        <v>586</v>
      </c>
    </row>
    <row r="281" spans="1:5" x14ac:dyDescent="0.35">
      <c r="A281" s="24">
        <v>28307</v>
      </c>
      <c r="B281" s="24">
        <v>28307</v>
      </c>
      <c r="C281" s="23">
        <v>5.42</v>
      </c>
      <c r="D281">
        <v>1</v>
      </c>
      <c r="E281">
        <f t="shared" si="4"/>
        <v>585</v>
      </c>
    </row>
    <row r="282" spans="1:5" x14ac:dyDescent="0.35">
      <c r="A282" s="24">
        <v>28338</v>
      </c>
      <c r="B282" s="24">
        <v>28338</v>
      </c>
      <c r="C282" s="23">
        <v>5.9</v>
      </c>
      <c r="D282">
        <v>0</v>
      </c>
      <c r="E282">
        <f t="shared" si="4"/>
        <v>584</v>
      </c>
    </row>
    <row r="283" spans="1:5" x14ac:dyDescent="0.35">
      <c r="A283" s="24">
        <v>28369</v>
      </c>
      <c r="B283" s="24">
        <v>28369</v>
      </c>
      <c r="C283" s="23">
        <v>6.14</v>
      </c>
      <c r="D283">
        <v>0</v>
      </c>
      <c r="E283">
        <f t="shared" si="4"/>
        <v>583</v>
      </c>
    </row>
    <row r="284" spans="1:5" x14ac:dyDescent="0.35">
      <c r="A284" s="24">
        <v>28399</v>
      </c>
      <c r="B284" s="24">
        <v>28399</v>
      </c>
      <c r="C284" s="23">
        <v>6.47</v>
      </c>
      <c r="D284">
        <v>0</v>
      </c>
      <c r="E284">
        <f t="shared" si="4"/>
        <v>582</v>
      </c>
    </row>
    <row r="285" spans="1:5" x14ac:dyDescent="0.35">
      <c r="A285" s="24">
        <v>28430</v>
      </c>
      <c r="B285" s="24">
        <v>28430</v>
      </c>
      <c r="C285" s="23">
        <v>6.51</v>
      </c>
      <c r="D285">
        <v>1</v>
      </c>
      <c r="E285">
        <f t="shared" si="4"/>
        <v>581</v>
      </c>
    </row>
    <row r="286" spans="1:5" x14ac:dyDescent="0.35">
      <c r="A286" s="24">
        <v>28460</v>
      </c>
      <c r="B286" s="24">
        <v>28460</v>
      </c>
      <c r="C286" s="23">
        <v>6.56</v>
      </c>
      <c r="D286">
        <v>0</v>
      </c>
      <c r="E286">
        <f t="shared" si="4"/>
        <v>580</v>
      </c>
    </row>
    <row r="287" spans="1:5" x14ac:dyDescent="0.35">
      <c r="A287" s="24">
        <v>28491</v>
      </c>
      <c r="B287" s="24">
        <v>28491</v>
      </c>
      <c r="C287" s="23">
        <v>6.7</v>
      </c>
      <c r="D287">
        <v>0</v>
      </c>
      <c r="E287">
        <f t="shared" si="4"/>
        <v>579</v>
      </c>
    </row>
    <row r="288" spans="1:5" x14ac:dyDescent="0.35">
      <c r="A288" s="24">
        <v>28522</v>
      </c>
      <c r="B288" s="24">
        <v>28522</v>
      </c>
      <c r="C288" s="23">
        <v>6.78</v>
      </c>
      <c r="D288">
        <v>0</v>
      </c>
      <c r="E288">
        <f t="shared" si="4"/>
        <v>578</v>
      </c>
    </row>
    <row r="289" spans="1:5" x14ac:dyDescent="0.35">
      <c r="A289" s="24">
        <v>28550</v>
      </c>
      <c r="B289" s="24">
        <v>28550</v>
      </c>
      <c r="C289" s="23">
        <v>6.79</v>
      </c>
      <c r="D289">
        <v>1</v>
      </c>
      <c r="E289">
        <f t="shared" si="4"/>
        <v>577</v>
      </c>
    </row>
    <row r="290" spans="1:5" x14ac:dyDescent="0.35">
      <c r="A290" s="24">
        <v>28581</v>
      </c>
      <c r="B290" s="24">
        <v>28581</v>
      </c>
      <c r="C290" s="23">
        <v>6.89</v>
      </c>
      <c r="D290">
        <v>0</v>
      </c>
      <c r="E290">
        <f t="shared" si="4"/>
        <v>576</v>
      </c>
    </row>
    <row r="291" spans="1:5" x14ac:dyDescent="0.35">
      <c r="A291" s="24">
        <v>28611</v>
      </c>
      <c r="B291" s="24">
        <v>28611</v>
      </c>
      <c r="C291" s="23">
        <v>7.36</v>
      </c>
      <c r="D291">
        <v>0</v>
      </c>
      <c r="E291">
        <f t="shared" si="4"/>
        <v>575</v>
      </c>
    </row>
    <row r="292" spans="1:5" x14ac:dyDescent="0.35">
      <c r="A292" s="24">
        <v>28642</v>
      </c>
      <c r="B292" s="24">
        <v>28642</v>
      </c>
      <c r="C292" s="23">
        <v>7.6</v>
      </c>
      <c r="D292">
        <v>0</v>
      </c>
      <c r="E292">
        <f t="shared" si="4"/>
        <v>574</v>
      </c>
    </row>
    <row r="293" spans="1:5" x14ac:dyDescent="0.35">
      <c r="A293" s="24">
        <v>28672</v>
      </c>
      <c r="B293" s="24">
        <v>28672</v>
      </c>
      <c r="C293" s="23">
        <v>7.81</v>
      </c>
      <c r="D293">
        <v>1</v>
      </c>
      <c r="E293">
        <f t="shared" si="4"/>
        <v>573</v>
      </c>
    </row>
    <row r="294" spans="1:5" x14ac:dyDescent="0.35">
      <c r="A294" s="24">
        <v>28703</v>
      </c>
      <c r="B294" s="24">
        <v>28703</v>
      </c>
      <c r="C294" s="23">
        <v>8.0399999999999991</v>
      </c>
      <c r="D294">
        <v>0</v>
      </c>
      <c r="E294">
        <f t="shared" si="4"/>
        <v>572</v>
      </c>
    </row>
    <row r="295" spans="1:5" x14ac:dyDescent="0.35">
      <c r="A295" s="24">
        <v>28734</v>
      </c>
      <c r="B295" s="24">
        <v>28734</v>
      </c>
      <c r="C295" s="23">
        <v>8.4499999999999993</v>
      </c>
      <c r="D295">
        <v>0</v>
      </c>
      <c r="E295">
        <f t="shared" si="4"/>
        <v>571</v>
      </c>
    </row>
    <row r="296" spans="1:5" x14ac:dyDescent="0.35">
      <c r="A296" s="24">
        <v>28764</v>
      </c>
      <c r="B296" s="24">
        <v>28764</v>
      </c>
      <c r="C296" s="23">
        <v>8.9600000000000009</v>
      </c>
      <c r="D296">
        <v>0</v>
      </c>
      <c r="E296">
        <f t="shared" si="4"/>
        <v>570</v>
      </c>
    </row>
    <row r="297" spans="1:5" x14ac:dyDescent="0.35">
      <c r="A297" s="24">
        <v>28795</v>
      </c>
      <c r="B297" s="24">
        <v>28795</v>
      </c>
      <c r="C297" s="23">
        <v>9.76</v>
      </c>
      <c r="D297">
        <v>1</v>
      </c>
      <c r="E297">
        <f t="shared" si="4"/>
        <v>569</v>
      </c>
    </row>
    <row r="298" spans="1:5" x14ac:dyDescent="0.35">
      <c r="A298" s="24">
        <v>28825</v>
      </c>
      <c r="B298" s="24">
        <v>28825</v>
      </c>
      <c r="C298" s="23">
        <v>10.029999999999999</v>
      </c>
      <c r="D298">
        <v>0</v>
      </c>
      <c r="E298">
        <f t="shared" si="4"/>
        <v>568</v>
      </c>
    </row>
    <row r="299" spans="1:5" x14ac:dyDescent="0.35">
      <c r="A299" s="24">
        <v>28856</v>
      </c>
      <c r="B299" s="24">
        <v>28856</v>
      </c>
      <c r="C299" s="23">
        <v>10.07</v>
      </c>
      <c r="D299">
        <v>0</v>
      </c>
      <c r="E299">
        <f t="shared" si="4"/>
        <v>567</v>
      </c>
    </row>
    <row r="300" spans="1:5" x14ac:dyDescent="0.35">
      <c r="A300" s="24">
        <v>28887</v>
      </c>
      <c r="B300" s="24">
        <v>28887</v>
      </c>
      <c r="C300" s="23">
        <v>10.06</v>
      </c>
      <c r="D300">
        <v>0</v>
      </c>
      <c r="E300">
        <f t="shared" si="4"/>
        <v>566</v>
      </c>
    </row>
    <row r="301" spans="1:5" x14ac:dyDescent="0.35">
      <c r="A301" s="24">
        <v>28915</v>
      </c>
      <c r="B301" s="24">
        <v>28915</v>
      </c>
      <c r="C301" s="23">
        <v>10.09</v>
      </c>
      <c r="D301">
        <v>1</v>
      </c>
      <c r="E301">
        <f t="shared" si="4"/>
        <v>565</v>
      </c>
    </row>
    <row r="302" spans="1:5" x14ac:dyDescent="0.35">
      <c r="A302" s="24">
        <v>28946</v>
      </c>
      <c r="B302" s="24">
        <v>28946</v>
      </c>
      <c r="C302" s="23">
        <v>10.01</v>
      </c>
      <c r="D302">
        <v>0</v>
      </c>
      <c r="E302">
        <f t="shared" si="4"/>
        <v>564</v>
      </c>
    </row>
    <row r="303" spans="1:5" x14ac:dyDescent="0.35">
      <c r="A303" s="24">
        <v>28976</v>
      </c>
      <c r="B303" s="24">
        <v>28976</v>
      </c>
      <c r="C303" s="23">
        <v>10.24</v>
      </c>
      <c r="D303">
        <v>0</v>
      </c>
      <c r="E303">
        <f t="shared" si="4"/>
        <v>563</v>
      </c>
    </row>
    <row r="304" spans="1:5" x14ac:dyDescent="0.35">
      <c r="A304" s="24">
        <v>29007</v>
      </c>
      <c r="B304" s="24">
        <v>29007</v>
      </c>
      <c r="C304" s="23">
        <v>10.29</v>
      </c>
      <c r="D304">
        <v>0</v>
      </c>
      <c r="E304">
        <f t="shared" si="4"/>
        <v>562</v>
      </c>
    </row>
    <row r="305" spans="1:5" x14ac:dyDescent="0.35">
      <c r="A305" s="24">
        <v>29037</v>
      </c>
      <c r="B305" s="24">
        <v>29037</v>
      </c>
      <c r="C305" s="23">
        <v>10.47</v>
      </c>
      <c r="D305">
        <v>1</v>
      </c>
      <c r="E305">
        <f t="shared" si="4"/>
        <v>561</v>
      </c>
    </row>
    <row r="306" spans="1:5" x14ac:dyDescent="0.35">
      <c r="A306" s="24">
        <v>29068</v>
      </c>
      <c r="B306" s="24">
        <v>29068</v>
      </c>
      <c r="C306" s="23">
        <v>10.94</v>
      </c>
      <c r="D306">
        <v>0</v>
      </c>
      <c r="E306">
        <f t="shared" si="4"/>
        <v>560</v>
      </c>
    </row>
    <row r="307" spans="1:5" x14ac:dyDescent="0.35">
      <c r="A307" s="24">
        <v>29099</v>
      </c>
      <c r="B307" s="24">
        <v>29099</v>
      </c>
      <c r="C307" s="23">
        <v>11.43</v>
      </c>
      <c r="D307">
        <v>0</v>
      </c>
      <c r="E307">
        <f t="shared" si="4"/>
        <v>559</v>
      </c>
    </row>
    <row r="308" spans="1:5" x14ac:dyDescent="0.35">
      <c r="A308" s="24">
        <v>29129</v>
      </c>
      <c r="B308" s="24">
        <v>29129</v>
      </c>
      <c r="C308" s="23">
        <v>13.77</v>
      </c>
      <c r="D308">
        <v>0</v>
      </c>
      <c r="E308">
        <f t="shared" si="4"/>
        <v>558</v>
      </c>
    </row>
    <row r="309" spans="1:5" x14ac:dyDescent="0.35">
      <c r="A309" s="24">
        <v>29160</v>
      </c>
      <c r="B309" s="24">
        <v>29160</v>
      </c>
      <c r="C309" s="23">
        <v>13.18</v>
      </c>
      <c r="D309">
        <v>1</v>
      </c>
      <c r="E309">
        <f t="shared" si="4"/>
        <v>557</v>
      </c>
    </row>
    <row r="310" spans="1:5" x14ac:dyDescent="0.35">
      <c r="A310" s="24">
        <v>29190</v>
      </c>
      <c r="B310" s="24">
        <v>29190</v>
      </c>
      <c r="C310" s="23">
        <v>13.78</v>
      </c>
      <c r="D310">
        <v>0</v>
      </c>
      <c r="E310">
        <f t="shared" si="4"/>
        <v>556</v>
      </c>
    </row>
    <row r="311" spans="1:5" x14ac:dyDescent="0.35">
      <c r="A311" s="24">
        <v>29221</v>
      </c>
      <c r="B311" s="24">
        <v>29221</v>
      </c>
      <c r="C311" s="23">
        <v>13.82</v>
      </c>
      <c r="D311">
        <v>0</v>
      </c>
      <c r="E311">
        <f t="shared" si="4"/>
        <v>555</v>
      </c>
    </row>
    <row r="312" spans="1:5" x14ac:dyDescent="0.35">
      <c r="A312" s="24">
        <v>29252</v>
      </c>
      <c r="B312" s="24">
        <v>29252</v>
      </c>
      <c r="C312" s="23">
        <v>14.13</v>
      </c>
      <c r="D312">
        <v>0</v>
      </c>
      <c r="E312">
        <f t="shared" si="4"/>
        <v>554</v>
      </c>
    </row>
    <row r="313" spans="1:5" x14ac:dyDescent="0.35">
      <c r="A313" s="24">
        <v>29281</v>
      </c>
      <c r="B313" s="24">
        <v>29281</v>
      </c>
      <c r="C313" s="23">
        <v>17.190000000000001</v>
      </c>
      <c r="D313">
        <v>1</v>
      </c>
      <c r="E313">
        <f t="shared" si="4"/>
        <v>553</v>
      </c>
    </row>
    <row r="314" spans="1:5" x14ac:dyDescent="0.35">
      <c r="A314" s="24">
        <v>29312</v>
      </c>
      <c r="B314" s="24">
        <v>29312</v>
      </c>
      <c r="C314" s="23">
        <v>17.61</v>
      </c>
      <c r="D314">
        <v>0</v>
      </c>
      <c r="E314">
        <f t="shared" si="4"/>
        <v>552</v>
      </c>
    </row>
    <row r="315" spans="1:5" x14ac:dyDescent="0.35">
      <c r="A315" s="24">
        <v>29342</v>
      </c>
      <c r="B315" s="24">
        <v>29342</v>
      </c>
      <c r="C315" s="23">
        <v>10.98</v>
      </c>
      <c r="D315">
        <v>0</v>
      </c>
      <c r="E315">
        <f t="shared" si="4"/>
        <v>551</v>
      </c>
    </row>
    <row r="316" spans="1:5" x14ac:dyDescent="0.35">
      <c r="A316" s="24">
        <v>29373</v>
      </c>
      <c r="B316" s="24">
        <v>29373</v>
      </c>
      <c r="C316" s="23">
        <v>9.4700000000000006</v>
      </c>
      <c r="D316">
        <v>0</v>
      </c>
      <c r="E316">
        <f t="shared" si="4"/>
        <v>550</v>
      </c>
    </row>
    <row r="317" spans="1:5" x14ac:dyDescent="0.35">
      <c r="A317" s="24">
        <v>29403</v>
      </c>
      <c r="B317" s="24">
        <v>29403</v>
      </c>
      <c r="C317" s="23">
        <v>9.0299999999999994</v>
      </c>
      <c r="D317">
        <v>1</v>
      </c>
      <c r="E317">
        <f t="shared" si="4"/>
        <v>549</v>
      </c>
    </row>
    <row r="318" spans="1:5" x14ac:dyDescent="0.35">
      <c r="A318" s="24">
        <v>29434</v>
      </c>
      <c r="B318" s="24">
        <v>29434</v>
      </c>
      <c r="C318" s="23">
        <v>9.61</v>
      </c>
      <c r="D318">
        <v>0</v>
      </c>
      <c r="E318">
        <f t="shared" si="4"/>
        <v>548</v>
      </c>
    </row>
    <row r="319" spans="1:5" x14ac:dyDescent="0.35">
      <c r="A319" s="24">
        <v>29465</v>
      </c>
      <c r="B319" s="24">
        <v>29465</v>
      </c>
      <c r="C319" s="23">
        <v>10.87</v>
      </c>
      <c r="D319">
        <v>0</v>
      </c>
      <c r="E319">
        <f t="shared" si="4"/>
        <v>547</v>
      </c>
    </row>
    <row r="320" spans="1:5" x14ac:dyDescent="0.35">
      <c r="A320" s="24">
        <v>29495</v>
      </c>
      <c r="B320" s="24">
        <v>29495</v>
      </c>
      <c r="C320" s="23">
        <v>12.81</v>
      </c>
      <c r="D320">
        <v>0</v>
      </c>
      <c r="E320">
        <f t="shared" si="4"/>
        <v>546</v>
      </c>
    </row>
    <row r="321" spans="1:5" x14ac:dyDescent="0.35">
      <c r="A321" s="24">
        <v>29526</v>
      </c>
      <c r="B321" s="24">
        <v>29526</v>
      </c>
      <c r="C321" s="23">
        <v>15.85</v>
      </c>
      <c r="D321">
        <v>1</v>
      </c>
      <c r="E321">
        <f t="shared" si="4"/>
        <v>545</v>
      </c>
    </row>
    <row r="322" spans="1:5" x14ac:dyDescent="0.35">
      <c r="A322" s="24">
        <v>29556</v>
      </c>
      <c r="B322" s="24">
        <v>29556</v>
      </c>
      <c r="C322" s="23">
        <v>18.899999999999999</v>
      </c>
      <c r="D322">
        <v>0</v>
      </c>
      <c r="E322">
        <f t="shared" si="4"/>
        <v>544</v>
      </c>
    </row>
    <row r="323" spans="1:5" x14ac:dyDescent="0.35">
      <c r="A323" s="24">
        <v>29587</v>
      </c>
      <c r="B323" s="24">
        <v>29587</v>
      </c>
      <c r="C323" s="23">
        <v>19.079999999999998</v>
      </c>
      <c r="D323">
        <v>0</v>
      </c>
      <c r="E323">
        <f t="shared" si="4"/>
        <v>543</v>
      </c>
    </row>
    <row r="324" spans="1:5" x14ac:dyDescent="0.35">
      <c r="A324" s="24">
        <v>29618</v>
      </c>
      <c r="B324" s="24">
        <v>29618</v>
      </c>
      <c r="C324" s="23">
        <v>15.93</v>
      </c>
      <c r="D324">
        <v>0</v>
      </c>
      <c r="E324">
        <f t="shared" si="4"/>
        <v>542</v>
      </c>
    </row>
    <row r="325" spans="1:5" x14ac:dyDescent="0.35">
      <c r="A325" s="24">
        <v>29646</v>
      </c>
      <c r="B325" s="24">
        <v>29646</v>
      </c>
      <c r="C325" s="23">
        <v>14.7</v>
      </c>
      <c r="D325">
        <v>1</v>
      </c>
      <c r="E325">
        <f t="shared" ref="E325:E388" si="5">E326+1</f>
        <v>541</v>
      </c>
    </row>
    <row r="326" spans="1:5" x14ac:dyDescent="0.35">
      <c r="A326" s="24">
        <v>29677</v>
      </c>
      <c r="B326" s="24">
        <v>29677</v>
      </c>
      <c r="C326" s="23">
        <v>15.72</v>
      </c>
      <c r="D326">
        <v>0</v>
      </c>
      <c r="E326">
        <f t="shared" si="5"/>
        <v>540</v>
      </c>
    </row>
    <row r="327" spans="1:5" x14ac:dyDescent="0.35">
      <c r="A327" s="24">
        <v>29707</v>
      </c>
      <c r="B327" s="24">
        <v>29707</v>
      </c>
      <c r="C327" s="23">
        <v>18.52</v>
      </c>
      <c r="D327">
        <v>0</v>
      </c>
      <c r="E327">
        <f t="shared" si="5"/>
        <v>539</v>
      </c>
    </row>
    <row r="328" spans="1:5" x14ac:dyDescent="0.35">
      <c r="A328" s="24">
        <v>29738</v>
      </c>
      <c r="B328" s="24">
        <v>29738</v>
      </c>
      <c r="C328" s="23">
        <v>19.100000000000001</v>
      </c>
      <c r="D328">
        <v>0</v>
      </c>
      <c r="E328">
        <f t="shared" si="5"/>
        <v>538</v>
      </c>
    </row>
    <row r="329" spans="1:5" x14ac:dyDescent="0.35">
      <c r="A329" s="24">
        <v>29768</v>
      </c>
      <c r="B329" s="24">
        <v>29768</v>
      </c>
      <c r="C329" s="23">
        <v>19.04</v>
      </c>
      <c r="D329">
        <v>1</v>
      </c>
      <c r="E329">
        <f t="shared" si="5"/>
        <v>537</v>
      </c>
    </row>
    <row r="330" spans="1:5" x14ac:dyDescent="0.35">
      <c r="A330" s="24">
        <v>29799</v>
      </c>
      <c r="B330" s="24">
        <v>29799</v>
      </c>
      <c r="C330" s="23">
        <v>17.82</v>
      </c>
      <c r="D330">
        <v>0</v>
      </c>
      <c r="E330">
        <f t="shared" si="5"/>
        <v>536</v>
      </c>
    </row>
    <row r="331" spans="1:5" x14ac:dyDescent="0.35">
      <c r="A331" s="24">
        <v>29830</v>
      </c>
      <c r="B331" s="24">
        <v>29830</v>
      </c>
      <c r="C331" s="23">
        <v>15.87</v>
      </c>
      <c r="D331">
        <v>0</v>
      </c>
      <c r="E331">
        <f t="shared" si="5"/>
        <v>535</v>
      </c>
    </row>
    <row r="332" spans="1:5" x14ac:dyDescent="0.35">
      <c r="A332" s="24">
        <v>29860</v>
      </c>
      <c r="B332" s="24">
        <v>29860</v>
      </c>
      <c r="C332" s="23">
        <v>15.08</v>
      </c>
      <c r="D332">
        <v>0</v>
      </c>
      <c r="E332">
        <f t="shared" si="5"/>
        <v>534</v>
      </c>
    </row>
    <row r="333" spans="1:5" x14ac:dyDescent="0.35">
      <c r="A333" s="24">
        <v>29891</v>
      </c>
      <c r="B333" s="24">
        <v>29891</v>
      </c>
      <c r="C333" s="23">
        <v>13.31</v>
      </c>
      <c r="D333">
        <v>1</v>
      </c>
      <c r="E333">
        <f t="shared" si="5"/>
        <v>533</v>
      </c>
    </row>
    <row r="334" spans="1:5" x14ac:dyDescent="0.35">
      <c r="A334" s="24">
        <v>29921</v>
      </c>
      <c r="B334" s="24">
        <v>29921</v>
      </c>
      <c r="C334" s="23">
        <v>12.37</v>
      </c>
      <c r="D334">
        <v>0</v>
      </c>
      <c r="E334">
        <f t="shared" si="5"/>
        <v>532</v>
      </c>
    </row>
    <row r="335" spans="1:5" x14ac:dyDescent="0.35">
      <c r="A335" s="24">
        <v>29952</v>
      </c>
      <c r="B335" s="24">
        <v>29952</v>
      </c>
      <c r="C335" s="23">
        <v>13.22</v>
      </c>
      <c r="D335">
        <v>0</v>
      </c>
      <c r="E335">
        <f t="shared" si="5"/>
        <v>531</v>
      </c>
    </row>
    <row r="336" spans="1:5" x14ac:dyDescent="0.35">
      <c r="A336" s="24">
        <v>29983</v>
      </c>
      <c r="B336" s="24">
        <v>29983</v>
      </c>
      <c r="C336" s="23">
        <v>14.78</v>
      </c>
      <c r="D336">
        <v>0</v>
      </c>
      <c r="E336">
        <f t="shared" si="5"/>
        <v>530</v>
      </c>
    </row>
    <row r="337" spans="1:5" x14ac:dyDescent="0.35">
      <c r="A337" s="24">
        <v>30011</v>
      </c>
      <c r="B337" s="24">
        <v>30011</v>
      </c>
      <c r="C337" s="23">
        <v>14.68</v>
      </c>
      <c r="D337">
        <v>1</v>
      </c>
      <c r="E337">
        <f t="shared" si="5"/>
        <v>529</v>
      </c>
    </row>
    <row r="338" spans="1:5" x14ac:dyDescent="0.35">
      <c r="A338" s="24">
        <v>30042</v>
      </c>
      <c r="B338" s="24">
        <v>30042</v>
      </c>
      <c r="C338" s="23">
        <v>14.94</v>
      </c>
      <c r="D338">
        <v>0</v>
      </c>
      <c r="E338">
        <f t="shared" si="5"/>
        <v>528</v>
      </c>
    </row>
    <row r="339" spans="1:5" x14ac:dyDescent="0.35">
      <c r="A339" s="24">
        <v>30072</v>
      </c>
      <c r="B339" s="24">
        <v>30072</v>
      </c>
      <c r="C339" s="23">
        <v>14.45</v>
      </c>
      <c r="D339">
        <v>0</v>
      </c>
      <c r="E339">
        <f t="shared" si="5"/>
        <v>527</v>
      </c>
    </row>
    <row r="340" spans="1:5" x14ac:dyDescent="0.35">
      <c r="A340" s="24">
        <v>30103</v>
      </c>
      <c r="B340" s="24">
        <v>30103</v>
      </c>
      <c r="C340" s="23">
        <v>14.15</v>
      </c>
      <c r="D340">
        <v>0</v>
      </c>
      <c r="E340">
        <f t="shared" si="5"/>
        <v>526</v>
      </c>
    </row>
    <row r="341" spans="1:5" x14ac:dyDescent="0.35">
      <c r="A341" s="24">
        <v>30133</v>
      </c>
      <c r="B341" s="24">
        <v>30133</v>
      </c>
      <c r="C341" s="23">
        <v>12.59</v>
      </c>
      <c r="D341">
        <v>1</v>
      </c>
      <c r="E341">
        <f t="shared" si="5"/>
        <v>525</v>
      </c>
    </row>
    <row r="342" spans="1:5" x14ac:dyDescent="0.35">
      <c r="A342" s="24">
        <v>30164</v>
      </c>
      <c r="B342" s="24">
        <v>30164</v>
      </c>
      <c r="C342" s="23">
        <v>10.119999999999999</v>
      </c>
      <c r="D342">
        <v>0</v>
      </c>
      <c r="E342">
        <f t="shared" si="5"/>
        <v>524</v>
      </c>
    </row>
    <row r="343" spans="1:5" x14ac:dyDescent="0.35">
      <c r="A343" s="24">
        <v>30195</v>
      </c>
      <c r="B343" s="24">
        <v>30195</v>
      </c>
      <c r="C343" s="23">
        <v>10.31</v>
      </c>
      <c r="D343">
        <v>0</v>
      </c>
      <c r="E343">
        <f t="shared" si="5"/>
        <v>523</v>
      </c>
    </row>
    <row r="344" spans="1:5" x14ac:dyDescent="0.35">
      <c r="A344" s="24">
        <v>30225</v>
      </c>
      <c r="B344" s="24">
        <v>30225</v>
      </c>
      <c r="C344" s="23">
        <v>9.7100000000000009</v>
      </c>
      <c r="D344">
        <v>0</v>
      </c>
      <c r="E344">
        <f t="shared" si="5"/>
        <v>522</v>
      </c>
    </row>
    <row r="345" spans="1:5" x14ac:dyDescent="0.35">
      <c r="A345" s="24">
        <v>30256</v>
      </c>
      <c r="B345" s="24">
        <v>30256</v>
      </c>
      <c r="C345" s="23">
        <v>9.1999999999999993</v>
      </c>
      <c r="D345">
        <v>1</v>
      </c>
      <c r="E345">
        <f t="shared" si="5"/>
        <v>521</v>
      </c>
    </row>
    <row r="346" spans="1:5" x14ac:dyDescent="0.35">
      <c r="A346" s="24">
        <v>30286</v>
      </c>
      <c r="B346" s="24">
        <v>30286</v>
      </c>
      <c r="C346" s="23">
        <v>8.9499999999999993</v>
      </c>
      <c r="D346">
        <v>0</v>
      </c>
      <c r="E346">
        <f t="shared" si="5"/>
        <v>520</v>
      </c>
    </row>
    <row r="347" spans="1:5" x14ac:dyDescent="0.35">
      <c r="A347" s="24">
        <v>30317</v>
      </c>
      <c r="B347" s="24">
        <v>30317</v>
      </c>
      <c r="C347" s="23">
        <v>8.68</v>
      </c>
      <c r="D347">
        <v>0</v>
      </c>
      <c r="E347">
        <f t="shared" si="5"/>
        <v>519</v>
      </c>
    </row>
    <row r="348" spans="1:5" x14ac:dyDescent="0.35">
      <c r="A348" s="24">
        <v>30348</v>
      </c>
      <c r="B348" s="24">
        <v>30348</v>
      </c>
      <c r="C348" s="23">
        <v>8.51</v>
      </c>
      <c r="D348">
        <v>0</v>
      </c>
      <c r="E348">
        <f t="shared" si="5"/>
        <v>518</v>
      </c>
    </row>
    <row r="349" spans="1:5" x14ac:dyDescent="0.35">
      <c r="A349" s="24">
        <v>30376</v>
      </c>
      <c r="B349" s="24">
        <v>30376</v>
      </c>
      <c r="C349" s="23">
        <v>8.77</v>
      </c>
      <c r="D349">
        <v>1</v>
      </c>
      <c r="E349">
        <f t="shared" si="5"/>
        <v>517</v>
      </c>
    </row>
    <row r="350" spans="1:5" x14ac:dyDescent="0.35">
      <c r="A350" s="24">
        <v>30407</v>
      </c>
      <c r="B350" s="24">
        <v>30407</v>
      </c>
      <c r="C350" s="23">
        <v>8.8000000000000007</v>
      </c>
      <c r="D350">
        <v>0</v>
      </c>
      <c r="E350">
        <f t="shared" si="5"/>
        <v>516</v>
      </c>
    </row>
    <row r="351" spans="1:5" x14ac:dyDescent="0.35">
      <c r="A351" s="24">
        <v>30437</v>
      </c>
      <c r="B351" s="24">
        <v>30437</v>
      </c>
      <c r="C351" s="23">
        <v>8.6300000000000008</v>
      </c>
      <c r="D351">
        <v>0</v>
      </c>
      <c r="E351">
        <f t="shared" si="5"/>
        <v>515</v>
      </c>
    </row>
    <row r="352" spans="1:5" x14ac:dyDescent="0.35">
      <c r="A352" s="24">
        <v>30468</v>
      </c>
      <c r="B352" s="24">
        <v>30468</v>
      </c>
      <c r="C352" s="23">
        <v>8.98</v>
      </c>
      <c r="D352">
        <v>0</v>
      </c>
      <c r="E352">
        <f t="shared" si="5"/>
        <v>514</v>
      </c>
    </row>
    <row r="353" spans="1:5" x14ac:dyDescent="0.35">
      <c r="A353" s="24">
        <v>30498</v>
      </c>
      <c r="B353" s="24">
        <v>30498</v>
      </c>
      <c r="C353" s="23">
        <v>9.3699999999999992</v>
      </c>
      <c r="D353">
        <v>1</v>
      </c>
      <c r="E353">
        <f t="shared" si="5"/>
        <v>513</v>
      </c>
    </row>
    <row r="354" spans="1:5" x14ac:dyDescent="0.35">
      <c r="A354" s="24">
        <v>30529</v>
      </c>
      <c r="B354" s="24">
        <v>30529</v>
      </c>
      <c r="C354" s="23">
        <v>9.56</v>
      </c>
      <c r="D354">
        <v>0</v>
      </c>
      <c r="E354">
        <f t="shared" si="5"/>
        <v>512</v>
      </c>
    </row>
    <row r="355" spans="1:5" x14ac:dyDescent="0.35">
      <c r="A355" s="24">
        <v>30560</v>
      </c>
      <c r="B355" s="24">
        <v>30560</v>
      </c>
      <c r="C355" s="23">
        <v>9.4499999999999993</v>
      </c>
      <c r="D355">
        <v>0</v>
      </c>
      <c r="E355">
        <f t="shared" si="5"/>
        <v>511</v>
      </c>
    </row>
    <row r="356" spans="1:5" x14ac:dyDescent="0.35">
      <c r="A356" s="24">
        <v>30590</v>
      </c>
      <c r="B356" s="24">
        <v>30590</v>
      </c>
      <c r="C356" s="23">
        <v>9.48</v>
      </c>
      <c r="D356">
        <v>0</v>
      </c>
      <c r="E356">
        <f t="shared" si="5"/>
        <v>510</v>
      </c>
    </row>
    <row r="357" spans="1:5" x14ac:dyDescent="0.35">
      <c r="A357" s="24">
        <v>30621</v>
      </c>
      <c r="B357" s="24">
        <v>30621</v>
      </c>
      <c r="C357" s="23">
        <v>9.34</v>
      </c>
      <c r="D357">
        <v>1</v>
      </c>
      <c r="E357">
        <f t="shared" si="5"/>
        <v>509</v>
      </c>
    </row>
    <row r="358" spans="1:5" x14ac:dyDescent="0.35">
      <c r="A358" s="24">
        <v>30651</v>
      </c>
      <c r="B358" s="24">
        <v>30651</v>
      </c>
      <c r="C358" s="23">
        <v>9.4700000000000006</v>
      </c>
      <c r="D358">
        <v>0</v>
      </c>
      <c r="E358">
        <f t="shared" si="5"/>
        <v>508</v>
      </c>
    </row>
    <row r="359" spans="1:5" x14ac:dyDescent="0.35">
      <c r="A359" s="24">
        <v>30682</v>
      </c>
      <c r="B359" s="24">
        <v>30682</v>
      </c>
      <c r="C359" s="23">
        <v>9.56</v>
      </c>
      <c r="D359">
        <v>0</v>
      </c>
      <c r="E359">
        <f t="shared" si="5"/>
        <v>507</v>
      </c>
    </row>
    <row r="360" spans="1:5" x14ac:dyDescent="0.35">
      <c r="A360" s="24">
        <v>30713</v>
      </c>
      <c r="B360" s="24">
        <v>30713</v>
      </c>
      <c r="C360" s="23">
        <v>9.59</v>
      </c>
      <c r="D360">
        <v>0</v>
      </c>
      <c r="E360">
        <f t="shared" si="5"/>
        <v>506</v>
      </c>
    </row>
    <row r="361" spans="1:5" x14ac:dyDescent="0.35">
      <c r="A361" s="24">
        <v>30742</v>
      </c>
      <c r="B361" s="24">
        <v>30742</v>
      </c>
      <c r="C361" s="23">
        <v>9.91</v>
      </c>
      <c r="D361">
        <v>1</v>
      </c>
      <c r="E361">
        <f t="shared" si="5"/>
        <v>505</v>
      </c>
    </row>
    <row r="362" spans="1:5" x14ac:dyDescent="0.35">
      <c r="A362" s="24">
        <v>30773</v>
      </c>
      <c r="B362" s="24">
        <v>30773</v>
      </c>
      <c r="C362" s="23">
        <v>10.29</v>
      </c>
      <c r="D362">
        <v>0</v>
      </c>
      <c r="E362">
        <f t="shared" si="5"/>
        <v>504</v>
      </c>
    </row>
    <row r="363" spans="1:5" x14ac:dyDescent="0.35">
      <c r="A363" s="24">
        <v>30803</v>
      </c>
      <c r="B363" s="24">
        <v>30803</v>
      </c>
      <c r="C363" s="23">
        <v>10.32</v>
      </c>
      <c r="D363">
        <v>0</v>
      </c>
      <c r="E363">
        <f t="shared" si="5"/>
        <v>503</v>
      </c>
    </row>
    <row r="364" spans="1:5" x14ac:dyDescent="0.35">
      <c r="A364" s="24">
        <v>30834</v>
      </c>
      <c r="B364" s="24">
        <v>30834</v>
      </c>
      <c r="C364" s="23">
        <v>11.06</v>
      </c>
      <c r="D364">
        <v>0</v>
      </c>
      <c r="E364">
        <f t="shared" si="5"/>
        <v>502</v>
      </c>
    </row>
    <row r="365" spans="1:5" x14ac:dyDescent="0.35">
      <c r="A365" s="24">
        <v>30864</v>
      </c>
      <c r="B365" s="24">
        <v>30864</v>
      </c>
      <c r="C365" s="23">
        <v>11.23</v>
      </c>
      <c r="D365">
        <v>1</v>
      </c>
      <c r="E365">
        <f t="shared" si="5"/>
        <v>501</v>
      </c>
    </row>
    <row r="366" spans="1:5" x14ac:dyDescent="0.35">
      <c r="A366" s="24">
        <v>30895</v>
      </c>
      <c r="B366" s="24">
        <v>30895</v>
      </c>
      <c r="C366" s="23">
        <v>11.64</v>
      </c>
      <c r="D366">
        <v>0</v>
      </c>
      <c r="E366">
        <f t="shared" si="5"/>
        <v>500</v>
      </c>
    </row>
    <row r="367" spans="1:5" x14ac:dyDescent="0.35">
      <c r="A367" s="24">
        <v>30926</v>
      </c>
      <c r="B367" s="24">
        <v>30926</v>
      </c>
      <c r="C367" s="23">
        <v>11.3</v>
      </c>
      <c r="D367">
        <v>0</v>
      </c>
      <c r="E367">
        <f t="shared" si="5"/>
        <v>499</v>
      </c>
    </row>
    <row r="368" spans="1:5" x14ac:dyDescent="0.35">
      <c r="A368" s="24">
        <v>30956</v>
      </c>
      <c r="B368" s="24">
        <v>30956</v>
      </c>
      <c r="C368" s="23">
        <v>9.99</v>
      </c>
      <c r="D368">
        <v>0</v>
      </c>
      <c r="E368">
        <f t="shared" si="5"/>
        <v>498</v>
      </c>
    </row>
    <row r="369" spans="1:5" x14ac:dyDescent="0.35">
      <c r="A369" s="24">
        <v>30987</v>
      </c>
      <c r="B369" s="24">
        <v>30987</v>
      </c>
      <c r="C369" s="23">
        <v>9.43</v>
      </c>
      <c r="D369">
        <v>1</v>
      </c>
      <c r="E369">
        <f t="shared" si="5"/>
        <v>497</v>
      </c>
    </row>
    <row r="370" spans="1:5" x14ac:dyDescent="0.35">
      <c r="A370" s="24">
        <v>31017</v>
      </c>
      <c r="B370" s="24">
        <v>31017</v>
      </c>
      <c r="C370" s="23">
        <v>8.3800000000000008</v>
      </c>
      <c r="D370">
        <v>0</v>
      </c>
      <c r="E370">
        <f t="shared" si="5"/>
        <v>496</v>
      </c>
    </row>
    <row r="371" spans="1:5" x14ac:dyDescent="0.35">
      <c r="A371" s="24">
        <v>31048</v>
      </c>
      <c r="B371" s="24">
        <v>31048</v>
      </c>
      <c r="C371" s="23">
        <v>8.35</v>
      </c>
      <c r="D371">
        <v>0</v>
      </c>
      <c r="E371">
        <f t="shared" si="5"/>
        <v>495</v>
      </c>
    </row>
    <row r="372" spans="1:5" x14ac:dyDescent="0.35">
      <c r="A372" s="24">
        <v>31079</v>
      </c>
      <c r="B372" s="24">
        <v>31079</v>
      </c>
      <c r="C372" s="23">
        <v>8.5</v>
      </c>
      <c r="D372">
        <v>0</v>
      </c>
      <c r="E372">
        <f t="shared" si="5"/>
        <v>494</v>
      </c>
    </row>
    <row r="373" spans="1:5" x14ac:dyDescent="0.35">
      <c r="A373" s="24">
        <v>31107</v>
      </c>
      <c r="B373" s="24">
        <v>31107</v>
      </c>
      <c r="C373" s="23">
        <v>8.58</v>
      </c>
      <c r="D373">
        <v>1</v>
      </c>
      <c r="E373">
        <f t="shared" si="5"/>
        <v>493</v>
      </c>
    </row>
    <row r="374" spans="1:5" x14ac:dyDescent="0.35">
      <c r="A374" s="24">
        <v>31138</v>
      </c>
      <c r="B374" s="24">
        <v>31138</v>
      </c>
      <c r="C374" s="23">
        <v>8.27</v>
      </c>
      <c r="D374">
        <v>0</v>
      </c>
      <c r="E374">
        <f t="shared" si="5"/>
        <v>492</v>
      </c>
    </row>
    <row r="375" spans="1:5" x14ac:dyDescent="0.35">
      <c r="A375" s="24">
        <v>31168</v>
      </c>
      <c r="B375" s="24">
        <v>31168</v>
      </c>
      <c r="C375" s="23">
        <v>7.97</v>
      </c>
      <c r="D375">
        <v>0</v>
      </c>
      <c r="E375">
        <f t="shared" si="5"/>
        <v>491</v>
      </c>
    </row>
    <row r="376" spans="1:5" x14ac:dyDescent="0.35">
      <c r="A376" s="24">
        <v>31199</v>
      </c>
      <c r="B376" s="24">
        <v>31199</v>
      </c>
      <c r="C376" s="23">
        <v>7.53</v>
      </c>
      <c r="D376">
        <v>0</v>
      </c>
      <c r="E376">
        <f t="shared" si="5"/>
        <v>490</v>
      </c>
    </row>
    <row r="377" spans="1:5" x14ac:dyDescent="0.35">
      <c r="A377" s="24">
        <v>31229</v>
      </c>
      <c r="B377" s="24">
        <v>31229</v>
      </c>
      <c r="C377" s="23">
        <v>7.88</v>
      </c>
      <c r="D377">
        <v>1</v>
      </c>
      <c r="E377">
        <f t="shared" si="5"/>
        <v>489</v>
      </c>
    </row>
    <row r="378" spans="1:5" x14ac:dyDescent="0.35">
      <c r="A378" s="24">
        <v>31260</v>
      </c>
      <c r="B378" s="24">
        <v>31260</v>
      </c>
      <c r="C378" s="23">
        <v>7.9</v>
      </c>
      <c r="D378">
        <v>0</v>
      </c>
      <c r="E378">
        <f t="shared" si="5"/>
        <v>488</v>
      </c>
    </row>
    <row r="379" spans="1:5" x14ac:dyDescent="0.35">
      <c r="A379" s="24">
        <v>31291</v>
      </c>
      <c r="B379" s="24">
        <v>31291</v>
      </c>
      <c r="C379" s="23">
        <v>7.92</v>
      </c>
      <c r="D379">
        <v>0</v>
      </c>
      <c r="E379">
        <f t="shared" si="5"/>
        <v>487</v>
      </c>
    </row>
    <row r="380" spans="1:5" x14ac:dyDescent="0.35">
      <c r="A380" s="24">
        <v>31321</v>
      </c>
      <c r="B380" s="24">
        <v>31321</v>
      </c>
      <c r="C380" s="23">
        <v>7.99</v>
      </c>
      <c r="D380">
        <v>0</v>
      </c>
      <c r="E380">
        <f t="shared" si="5"/>
        <v>486</v>
      </c>
    </row>
    <row r="381" spans="1:5" x14ac:dyDescent="0.35">
      <c r="A381" s="24">
        <v>31352</v>
      </c>
      <c r="B381" s="24">
        <v>31352</v>
      </c>
      <c r="C381" s="23">
        <v>8.0500000000000007</v>
      </c>
      <c r="D381">
        <v>1</v>
      </c>
      <c r="E381">
        <f t="shared" si="5"/>
        <v>485</v>
      </c>
    </row>
    <row r="382" spans="1:5" x14ac:dyDescent="0.35">
      <c r="A382" s="24">
        <v>31382</v>
      </c>
      <c r="B382" s="24">
        <v>31382</v>
      </c>
      <c r="C382" s="23">
        <v>8.27</v>
      </c>
      <c r="D382">
        <v>0</v>
      </c>
      <c r="E382">
        <f t="shared" si="5"/>
        <v>484</v>
      </c>
    </row>
    <row r="383" spans="1:5" x14ac:dyDescent="0.35">
      <c r="A383" s="24">
        <v>31413</v>
      </c>
      <c r="B383" s="24">
        <v>31413</v>
      </c>
      <c r="C383" s="23">
        <v>8.14</v>
      </c>
      <c r="D383">
        <v>0</v>
      </c>
      <c r="E383">
        <f t="shared" si="5"/>
        <v>483</v>
      </c>
    </row>
    <row r="384" spans="1:5" x14ac:dyDescent="0.35">
      <c r="A384" s="24">
        <v>31444</v>
      </c>
      <c r="B384" s="24">
        <v>31444</v>
      </c>
      <c r="C384" s="23">
        <v>7.86</v>
      </c>
      <c r="D384">
        <v>0</v>
      </c>
      <c r="E384">
        <f t="shared" si="5"/>
        <v>482</v>
      </c>
    </row>
    <row r="385" spans="1:5" x14ac:dyDescent="0.35">
      <c r="A385" s="24">
        <v>31472</v>
      </c>
      <c r="B385" s="24">
        <v>31472</v>
      </c>
      <c r="C385" s="23">
        <v>7.48</v>
      </c>
      <c r="D385">
        <v>1</v>
      </c>
      <c r="E385">
        <f t="shared" si="5"/>
        <v>481</v>
      </c>
    </row>
    <row r="386" spans="1:5" x14ac:dyDescent="0.35">
      <c r="A386" s="24">
        <v>31503</v>
      </c>
      <c r="B386" s="24">
        <v>31503</v>
      </c>
      <c r="C386" s="23">
        <v>6.99</v>
      </c>
      <c r="D386">
        <v>0</v>
      </c>
      <c r="E386">
        <f t="shared" si="5"/>
        <v>480</v>
      </c>
    </row>
    <row r="387" spans="1:5" x14ac:dyDescent="0.35">
      <c r="A387" s="24">
        <v>31533</v>
      </c>
      <c r="B387" s="24">
        <v>31533</v>
      </c>
      <c r="C387" s="23">
        <v>6.85</v>
      </c>
      <c r="D387">
        <v>0</v>
      </c>
      <c r="E387">
        <f t="shared" si="5"/>
        <v>479</v>
      </c>
    </row>
    <row r="388" spans="1:5" x14ac:dyDescent="0.35">
      <c r="A388" s="24">
        <v>31564</v>
      </c>
      <c r="B388" s="24">
        <v>31564</v>
      </c>
      <c r="C388" s="23">
        <v>6.92</v>
      </c>
      <c r="D388">
        <v>0</v>
      </c>
      <c r="E388">
        <f t="shared" si="5"/>
        <v>478</v>
      </c>
    </row>
    <row r="389" spans="1:5" x14ac:dyDescent="0.35">
      <c r="A389" s="24">
        <v>31594</v>
      </c>
      <c r="B389" s="24">
        <v>31594</v>
      </c>
      <c r="C389" s="23">
        <v>6.56</v>
      </c>
      <c r="D389">
        <v>1</v>
      </c>
      <c r="E389">
        <f t="shared" ref="E389:E452" si="6">E390+1</f>
        <v>477</v>
      </c>
    </row>
    <row r="390" spans="1:5" x14ac:dyDescent="0.35">
      <c r="A390" s="24">
        <v>31625</v>
      </c>
      <c r="B390" s="24">
        <v>31625</v>
      </c>
      <c r="C390" s="23">
        <v>6.17</v>
      </c>
      <c r="D390">
        <v>0</v>
      </c>
      <c r="E390">
        <f t="shared" si="6"/>
        <v>476</v>
      </c>
    </row>
    <row r="391" spans="1:5" x14ac:dyDescent="0.35">
      <c r="A391" s="24">
        <v>31656</v>
      </c>
      <c r="B391" s="24">
        <v>31656</v>
      </c>
      <c r="C391" s="23">
        <v>5.89</v>
      </c>
      <c r="D391">
        <v>0</v>
      </c>
      <c r="E391">
        <f t="shared" si="6"/>
        <v>475</v>
      </c>
    </row>
    <row r="392" spans="1:5" x14ac:dyDescent="0.35">
      <c r="A392" s="24">
        <v>31686</v>
      </c>
      <c r="B392" s="24">
        <v>31686</v>
      </c>
      <c r="C392" s="23">
        <v>5.85</v>
      </c>
      <c r="D392">
        <v>0</v>
      </c>
      <c r="E392">
        <f t="shared" si="6"/>
        <v>474</v>
      </c>
    </row>
    <row r="393" spans="1:5" x14ac:dyDescent="0.35">
      <c r="A393" s="24">
        <v>31717</v>
      </c>
      <c r="B393" s="24">
        <v>31717</v>
      </c>
      <c r="C393" s="23">
        <v>6.04</v>
      </c>
      <c r="D393">
        <v>1</v>
      </c>
      <c r="E393">
        <f t="shared" si="6"/>
        <v>473</v>
      </c>
    </row>
    <row r="394" spans="1:5" x14ac:dyDescent="0.35">
      <c r="A394" s="24">
        <v>31747</v>
      </c>
      <c r="B394" s="24">
        <v>31747</v>
      </c>
      <c r="C394" s="23">
        <v>6.91</v>
      </c>
      <c r="D394">
        <v>0</v>
      </c>
      <c r="E394">
        <f t="shared" si="6"/>
        <v>472</v>
      </c>
    </row>
    <row r="395" spans="1:5" x14ac:dyDescent="0.35">
      <c r="A395" s="24">
        <v>31778</v>
      </c>
      <c r="B395" s="24">
        <v>31778</v>
      </c>
      <c r="C395" s="23">
        <v>6.43</v>
      </c>
      <c r="D395">
        <v>0</v>
      </c>
      <c r="E395">
        <f t="shared" si="6"/>
        <v>471</v>
      </c>
    </row>
    <row r="396" spans="1:5" x14ac:dyDescent="0.35">
      <c r="A396" s="24">
        <v>31809</v>
      </c>
      <c r="B396" s="24">
        <v>31809</v>
      </c>
      <c r="C396" s="23">
        <v>6.1</v>
      </c>
      <c r="D396">
        <v>0</v>
      </c>
      <c r="E396">
        <f t="shared" si="6"/>
        <v>470</v>
      </c>
    </row>
    <row r="397" spans="1:5" x14ac:dyDescent="0.35">
      <c r="A397" s="24">
        <v>31837</v>
      </c>
      <c r="B397" s="24">
        <v>31837</v>
      </c>
      <c r="C397" s="23">
        <v>6.13</v>
      </c>
      <c r="D397">
        <v>1</v>
      </c>
      <c r="E397">
        <f t="shared" si="6"/>
        <v>469</v>
      </c>
    </row>
    <row r="398" spans="1:5" x14ac:dyDescent="0.35">
      <c r="A398" s="24">
        <v>31868</v>
      </c>
      <c r="B398" s="24">
        <v>31868</v>
      </c>
      <c r="C398" s="23">
        <v>6.37</v>
      </c>
      <c r="D398">
        <v>0</v>
      </c>
      <c r="E398">
        <f t="shared" si="6"/>
        <v>468</v>
      </c>
    </row>
    <row r="399" spans="1:5" x14ac:dyDescent="0.35">
      <c r="A399" s="24">
        <v>31898</v>
      </c>
      <c r="B399" s="24">
        <v>31898</v>
      </c>
      <c r="C399" s="23">
        <v>6.85</v>
      </c>
      <c r="D399">
        <v>0</v>
      </c>
      <c r="E399">
        <f t="shared" si="6"/>
        <v>467</v>
      </c>
    </row>
    <row r="400" spans="1:5" x14ac:dyDescent="0.35">
      <c r="A400" s="24">
        <v>31929</v>
      </c>
      <c r="B400" s="24">
        <v>31929</v>
      </c>
      <c r="C400" s="23">
        <v>6.73</v>
      </c>
      <c r="D400">
        <v>0</v>
      </c>
      <c r="E400">
        <f t="shared" si="6"/>
        <v>466</v>
      </c>
    </row>
    <row r="401" spans="1:5" x14ac:dyDescent="0.35">
      <c r="A401" s="24">
        <v>31959</v>
      </c>
      <c r="B401" s="24">
        <v>31959</v>
      </c>
      <c r="C401" s="23">
        <v>6.58</v>
      </c>
      <c r="D401">
        <v>1</v>
      </c>
      <c r="E401">
        <f t="shared" si="6"/>
        <v>465</v>
      </c>
    </row>
    <row r="402" spans="1:5" x14ac:dyDescent="0.35">
      <c r="A402" s="24">
        <v>31990</v>
      </c>
      <c r="B402" s="24">
        <v>31990</v>
      </c>
      <c r="C402" s="23">
        <v>6.73</v>
      </c>
      <c r="D402">
        <v>0</v>
      </c>
      <c r="E402">
        <f t="shared" si="6"/>
        <v>464</v>
      </c>
    </row>
    <row r="403" spans="1:5" x14ac:dyDescent="0.35">
      <c r="A403" s="24">
        <v>32021</v>
      </c>
      <c r="B403" s="24">
        <v>32021</v>
      </c>
      <c r="C403" s="23">
        <v>7.22</v>
      </c>
      <c r="D403">
        <v>0</v>
      </c>
      <c r="E403">
        <f t="shared" si="6"/>
        <v>463</v>
      </c>
    </row>
    <row r="404" spans="1:5" x14ac:dyDescent="0.35">
      <c r="A404" s="24">
        <v>32051</v>
      </c>
      <c r="B404" s="24">
        <v>32051</v>
      </c>
      <c r="C404" s="23">
        <v>7.29</v>
      </c>
      <c r="D404">
        <v>0</v>
      </c>
      <c r="E404">
        <f t="shared" si="6"/>
        <v>462</v>
      </c>
    </row>
    <row r="405" spans="1:5" x14ac:dyDescent="0.35">
      <c r="A405" s="24">
        <v>32082</v>
      </c>
      <c r="B405" s="24">
        <v>32082</v>
      </c>
      <c r="C405" s="23">
        <v>6.69</v>
      </c>
      <c r="D405">
        <v>1</v>
      </c>
      <c r="E405">
        <f t="shared" si="6"/>
        <v>461</v>
      </c>
    </row>
    <row r="406" spans="1:5" x14ac:dyDescent="0.35">
      <c r="A406" s="24">
        <v>32112</v>
      </c>
      <c r="B406" s="24">
        <v>32112</v>
      </c>
      <c r="C406" s="23">
        <v>6.77</v>
      </c>
      <c r="D406">
        <v>0</v>
      </c>
      <c r="E406">
        <f t="shared" si="6"/>
        <v>460</v>
      </c>
    </row>
    <row r="407" spans="1:5" x14ac:dyDescent="0.35">
      <c r="A407" s="24">
        <v>32143</v>
      </c>
      <c r="B407" s="24">
        <v>32143</v>
      </c>
      <c r="C407" s="23">
        <v>6.83</v>
      </c>
      <c r="D407">
        <v>0</v>
      </c>
      <c r="E407">
        <f t="shared" si="6"/>
        <v>459</v>
      </c>
    </row>
    <row r="408" spans="1:5" x14ac:dyDescent="0.35">
      <c r="A408" s="24">
        <v>32174</v>
      </c>
      <c r="B408" s="24">
        <v>32174</v>
      </c>
      <c r="C408" s="23">
        <v>6.58</v>
      </c>
      <c r="D408">
        <v>0</v>
      </c>
      <c r="E408">
        <f t="shared" si="6"/>
        <v>458</v>
      </c>
    </row>
    <row r="409" spans="1:5" x14ac:dyDescent="0.35">
      <c r="A409" s="24">
        <v>32203</v>
      </c>
      <c r="B409" s="24">
        <v>32203</v>
      </c>
      <c r="C409" s="23">
        <v>6.58</v>
      </c>
      <c r="D409">
        <v>1</v>
      </c>
      <c r="E409">
        <f t="shared" si="6"/>
        <v>457</v>
      </c>
    </row>
    <row r="410" spans="1:5" x14ac:dyDescent="0.35">
      <c r="A410" s="24">
        <v>32234</v>
      </c>
      <c r="B410" s="24">
        <v>32234</v>
      </c>
      <c r="C410" s="23">
        <v>6.87</v>
      </c>
      <c r="D410">
        <v>0</v>
      </c>
      <c r="E410">
        <f t="shared" si="6"/>
        <v>456</v>
      </c>
    </row>
    <row r="411" spans="1:5" x14ac:dyDescent="0.35">
      <c r="A411" s="24">
        <v>32264</v>
      </c>
      <c r="B411" s="24">
        <v>32264</v>
      </c>
      <c r="C411" s="23">
        <v>7.09</v>
      </c>
      <c r="D411">
        <v>0</v>
      </c>
      <c r="E411">
        <f t="shared" si="6"/>
        <v>455</v>
      </c>
    </row>
    <row r="412" spans="1:5" x14ac:dyDescent="0.35">
      <c r="A412" s="24">
        <v>32295</v>
      </c>
      <c r="B412" s="24">
        <v>32295</v>
      </c>
      <c r="C412" s="23">
        <v>7.51</v>
      </c>
      <c r="D412">
        <v>0</v>
      </c>
      <c r="E412">
        <f t="shared" si="6"/>
        <v>454</v>
      </c>
    </row>
    <row r="413" spans="1:5" x14ac:dyDescent="0.35">
      <c r="A413" s="24">
        <v>32325</v>
      </c>
      <c r="B413" s="24">
        <v>32325</v>
      </c>
      <c r="C413" s="23">
        <v>7.75</v>
      </c>
      <c r="D413">
        <v>1</v>
      </c>
      <c r="E413">
        <f t="shared" si="6"/>
        <v>453</v>
      </c>
    </row>
    <row r="414" spans="1:5" x14ac:dyDescent="0.35">
      <c r="A414" s="24">
        <v>32356</v>
      </c>
      <c r="B414" s="24">
        <v>32356</v>
      </c>
      <c r="C414" s="23">
        <v>8.01</v>
      </c>
      <c r="D414">
        <v>0</v>
      </c>
      <c r="E414">
        <f t="shared" si="6"/>
        <v>452</v>
      </c>
    </row>
    <row r="415" spans="1:5" x14ac:dyDescent="0.35">
      <c r="A415" s="24">
        <v>32387</v>
      </c>
      <c r="B415" s="24">
        <v>32387</v>
      </c>
      <c r="C415" s="23">
        <v>8.19</v>
      </c>
      <c r="D415">
        <v>0</v>
      </c>
      <c r="E415">
        <f t="shared" si="6"/>
        <v>451</v>
      </c>
    </row>
    <row r="416" spans="1:5" x14ac:dyDescent="0.35">
      <c r="A416" s="24">
        <v>32417</v>
      </c>
      <c r="B416" s="24">
        <v>32417</v>
      </c>
      <c r="C416" s="23">
        <v>8.3000000000000007</v>
      </c>
      <c r="D416">
        <v>0</v>
      </c>
      <c r="E416">
        <f t="shared" si="6"/>
        <v>450</v>
      </c>
    </row>
    <row r="417" spans="1:5" x14ac:dyDescent="0.35">
      <c r="A417" s="24">
        <v>32448</v>
      </c>
      <c r="B417" s="24">
        <v>32448</v>
      </c>
      <c r="C417" s="23">
        <v>8.35</v>
      </c>
      <c r="D417">
        <v>1</v>
      </c>
      <c r="E417">
        <f t="shared" si="6"/>
        <v>449</v>
      </c>
    </row>
    <row r="418" spans="1:5" x14ac:dyDescent="0.35">
      <c r="A418" s="24">
        <v>32478</v>
      </c>
      <c r="B418" s="24">
        <v>32478</v>
      </c>
      <c r="C418" s="23">
        <v>8.76</v>
      </c>
      <c r="D418">
        <v>0</v>
      </c>
      <c r="E418">
        <f t="shared" si="6"/>
        <v>448</v>
      </c>
    </row>
    <row r="419" spans="1:5" x14ac:dyDescent="0.35">
      <c r="A419" s="24">
        <v>32509</v>
      </c>
      <c r="B419" s="24">
        <v>32509</v>
      </c>
      <c r="C419" s="23">
        <v>9.1199999999999992</v>
      </c>
      <c r="D419">
        <v>0</v>
      </c>
      <c r="E419">
        <f t="shared" si="6"/>
        <v>447</v>
      </c>
    </row>
    <row r="420" spans="1:5" x14ac:dyDescent="0.35">
      <c r="A420" s="24">
        <v>32540</v>
      </c>
      <c r="B420" s="24">
        <v>32540</v>
      </c>
      <c r="C420" s="23">
        <v>9.36</v>
      </c>
      <c r="D420">
        <v>0</v>
      </c>
      <c r="E420">
        <f t="shared" si="6"/>
        <v>446</v>
      </c>
    </row>
    <row r="421" spans="1:5" x14ac:dyDescent="0.35">
      <c r="A421" s="24">
        <v>32568</v>
      </c>
      <c r="B421" s="24">
        <v>32568</v>
      </c>
      <c r="C421" s="23">
        <v>9.85</v>
      </c>
      <c r="D421">
        <v>1</v>
      </c>
      <c r="E421">
        <f t="shared" si="6"/>
        <v>445</v>
      </c>
    </row>
    <row r="422" spans="1:5" x14ac:dyDescent="0.35">
      <c r="A422" s="24">
        <v>32599</v>
      </c>
      <c r="B422" s="24">
        <v>32599</v>
      </c>
      <c r="C422" s="23">
        <v>9.84</v>
      </c>
      <c r="D422">
        <v>0</v>
      </c>
      <c r="E422">
        <f t="shared" si="6"/>
        <v>444</v>
      </c>
    </row>
    <row r="423" spans="1:5" x14ac:dyDescent="0.35">
      <c r="A423" s="24">
        <v>32629</v>
      </c>
      <c r="B423" s="24">
        <v>32629</v>
      </c>
      <c r="C423" s="23">
        <v>9.81</v>
      </c>
      <c r="D423">
        <v>0</v>
      </c>
      <c r="E423">
        <f t="shared" si="6"/>
        <v>443</v>
      </c>
    </row>
    <row r="424" spans="1:5" x14ac:dyDescent="0.35">
      <c r="A424" s="24">
        <v>32660</v>
      </c>
      <c r="B424" s="24">
        <v>32660</v>
      </c>
      <c r="C424" s="23">
        <v>9.5299999999999994</v>
      </c>
      <c r="D424">
        <v>0</v>
      </c>
      <c r="E424">
        <f t="shared" si="6"/>
        <v>442</v>
      </c>
    </row>
    <row r="425" spans="1:5" x14ac:dyDescent="0.35">
      <c r="A425" s="24">
        <v>32690</v>
      </c>
      <c r="B425" s="24">
        <v>32690</v>
      </c>
      <c r="C425" s="23">
        <v>9.24</v>
      </c>
      <c r="D425">
        <v>1</v>
      </c>
      <c r="E425">
        <f t="shared" si="6"/>
        <v>441</v>
      </c>
    </row>
    <row r="426" spans="1:5" x14ac:dyDescent="0.35">
      <c r="A426" s="24">
        <v>32721</v>
      </c>
      <c r="B426" s="24">
        <v>32721</v>
      </c>
      <c r="C426" s="23">
        <v>8.99</v>
      </c>
      <c r="D426">
        <v>0</v>
      </c>
      <c r="E426">
        <f t="shared" si="6"/>
        <v>440</v>
      </c>
    </row>
    <row r="427" spans="1:5" x14ac:dyDescent="0.35">
      <c r="A427" s="24">
        <v>32752</v>
      </c>
      <c r="B427" s="24">
        <v>32752</v>
      </c>
      <c r="C427" s="23">
        <v>9.02</v>
      </c>
      <c r="D427">
        <v>0</v>
      </c>
      <c r="E427">
        <f t="shared" si="6"/>
        <v>439</v>
      </c>
    </row>
    <row r="428" spans="1:5" x14ac:dyDescent="0.35">
      <c r="A428" s="24">
        <v>32782</v>
      </c>
      <c r="B428" s="24">
        <v>32782</v>
      </c>
      <c r="C428" s="23">
        <v>8.84</v>
      </c>
      <c r="D428">
        <v>0</v>
      </c>
      <c r="E428">
        <f t="shared" si="6"/>
        <v>438</v>
      </c>
    </row>
    <row r="429" spans="1:5" x14ac:dyDescent="0.35">
      <c r="A429" s="24">
        <v>32813</v>
      </c>
      <c r="B429" s="24">
        <v>32813</v>
      </c>
      <c r="C429" s="23">
        <v>8.5500000000000007</v>
      </c>
      <c r="D429">
        <v>1</v>
      </c>
      <c r="E429">
        <f t="shared" si="6"/>
        <v>437</v>
      </c>
    </row>
    <row r="430" spans="1:5" x14ac:dyDescent="0.35">
      <c r="A430" s="24">
        <v>32843</v>
      </c>
      <c r="B430" s="24">
        <v>32843</v>
      </c>
      <c r="C430" s="23">
        <v>8.4499999999999993</v>
      </c>
      <c r="D430">
        <v>0</v>
      </c>
      <c r="E430">
        <f t="shared" si="6"/>
        <v>436</v>
      </c>
    </row>
    <row r="431" spans="1:5" x14ac:dyDescent="0.35">
      <c r="A431" s="24">
        <v>32874</v>
      </c>
      <c r="B431" s="24">
        <v>32874</v>
      </c>
      <c r="C431" s="23">
        <v>8.23</v>
      </c>
      <c r="D431">
        <v>0</v>
      </c>
      <c r="E431">
        <f t="shared" si="6"/>
        <v>435</v>
      </c>
    </row>
    <row r="432" spans="1:5" x14ac:dyDescent="0.35">
      <c r="A432" s="24">
        <v>32905</v>
      </c>
      <c r="B432" s="24">
        <v>32905</v>
      </c>
      <c r="C432" s="23">
        <v>8.24</v>
      </c>
      <c r="D432">
        <v>0</v>
      </c>
      <c r="E432">
        <f t="shared" si="6"/>
        <v>434</v>
      </c>
    </row>
    <row r="433" spans="1:5" x14ac:dyDescent="0.35">
      <c r="A433" s="24">
        <v>32933</v>
      </c>
      <c r="B433" s="24">
        <v>32933</v>
      </c>
      <c r="C433" s="23">
        <v>8.2799999999999994</v>
      </c>
      <c r="D433">
        <v>1</v>
      </c>
      <c r="E433">
        <f t="shared" si="6"/>
        <v>433</v>
      </c>
    </row>
    <row r="434" spans="1:5" x14ac:dyDescent="0.35">
      <c r="A434" s="24">
        <v>32964</v>
      </c>
      <c r="B434" s="24">
        <v>32964</v>
      </c>
      <c r="C434" s="23">
        <v>8.26</v>
      </c>
      <c r="D434">
        <v>0</v>
      </c>
      <c r="E434">
        <f t="shared" si="6"/>
        <v>432</v>
      </c>
    </row>
    <row r="435" spans="1:5" x14ac:dyDescent="0.35">
      <c r="A435" s="24">
        <v>32994</v>
      </c>
      <c r="B435" s="24">
        <v>32994</v>
      </c>
      <c r="C435" s="23">
        <v>8.18</v>
      </c>
      <c r="D435">
        <v>0</v>
      </c>
      <c r="E435">
        <f t="shared" si="6"/>
        <v>431</v>
      </c>
    </row>
    <row r="436" spans="1:5" x14ac:dyDescent="0.35">
      <c r="A436" s="24">
        <v>33025</v>
      </c>
      <c r="B436" s="24">
        <v>33025</v>
      </c>
      <c r="C436" s="23">
        <v>8.2899999999999991</v>
      </c>
      <c r="D436">
        <v>0</v>
      </c>
      <c r="E436">
        <f t="shared" si="6"/>
        <v>430</v>
      </c>
    </row>
    <row r="437" spans="1:5" x14ac:dyDescent="0.35">
      <c r="A437" s="24">
        <v>33055</v>
      </c>
      <c r="B437" s="24">
        <v>33055</v>
      </c>
      <c r="C437" s="23">
        <v>8.15</v>
      </c>
      <c r="D437">
        <v>1</v>
      </c>
      <c r="E437">
        <f t="shared" si="6"/>
        <v>429</v>
      </c>
    </row>
    <row r="438" spans="1:5" x14ac:dyDescent="0.35">
      <c r="A438" s="24">
        <v>33086</v>
      </c>
      <c r="B438" s="24">
        <v>33086</v>
      </c>
      <c r="C438" s="23">
        <v>8.1300000000000008</v>
      </c>
      <c r="D438">
        <v>0</v>
      </c>
      <c r="E438">
        <f t="shared" si="6"/>
        <v>428</v>
      </c>
    </row>
    <row r="439" spans="1:5" x14ac:dyDescent="0.35">
      <c r="A439" s="24">
        <v>33117</v>
      </c>
      <c r="B439" s="24">
        <v>33117</v>
      </c>
      <c r="C439" s="23">
        <v>8.1999999999999993</v>
      </c>
      <c r="D439">
        <v>0</v>
      </c>
      <c r="E439">
        <f t="shared" si="6"/>
        <v>427</v>
      </c>
    </row>
    <row r="440" spans="1:5" x14ac:dyDescent="0.35">
      <c r="A440" s="24">
        <v>33147</v>
      </c>
      <c r="B440" s="24">
        <v>33147</v>
      </c>
      <c r="C440" s="23">
        <v>8.11</v>
      </c>
      <c r="D440">
        <v>0</v>
      </c>
      <c r="E440">
        <f t="shared" si="6"/>
        <v>426</v>
      </c>
    </row>
    <row r="441" spans="1:5" x14ac:dyDescent="0.35">
      <c r="A441" s="24">
        <v>33178</v>
      </c>
      <c r="B441" s="24">
        <v>33178</v>
      </c>
      <c r="C441" s="23">
        <v>7.81</v>
      </c>
      <c r="D441">
        <v>1</v>
      </c>
      <c r="E441">
        <f t="shared" si="6"/>
        <v>425</v>
      </c>
    </row>
    <row r="442" spans="1:5" x14ac:dyDescent="0.35">
      <c r="A442" s="24">
        <v>33208</v>
      </c>
      <c r="B442" s="24">
        <v>33208</v>
      </c>
      <c r="C442" s="23">
        <v>7.31</v>
      </c>
      <c r="D442">
        <v>0</v>
      </c>
      <c r="E442">
        <f t="shared" si="6"/>
        <v>424</v>
      </c>
    </row>
    <row r="443" spans="1:5" x14ac:dyDescent="0.35">
      <c r="A443" s="24">
        <v>33239</v>
      </c>
      <c r="B443" s="24">
        <v>33239</v>
      </c>
      <c r="C443" s="23">
        <v>6.91</v>
      </c>
      <c r="D443">
        <v>0</v>
      </c>
      <c r="E443">
        <f t="shared" si="6"/>
        <v>423</v>
      </c>
    </row>
    <row r="444" spans="1:5" x14ac:dyDescent="0.35">
      <c r="A444" s="24">
        <v>33270</v>
      </c>
      <c r="B444" s="24">
        <v>33270</v>
      </c>
      <c r="C444" s="23">
        <v>6.25</v>
      </c>
      <c r="D444">
        <v>0</v>
      </c>
      <c r="E444">
        <f t="shared" si="6"/>
        <v>422</v>
      </c>
    </row>
    <row r="445" spans="1:5" x14ac:dyDescent="0.35">
      <c r="A445" s="24">
        <v>33298</v>
      </c>
      <c r="B445" s="24">
        <v>33298</v>
      </c>
      <c r="C445" s="23">
        <v>6.12</v>
      </c>
      <c r="D445">
        <v>1</v>
      </c>
      <c r="E445">
        <f t="shared" si="6"/>
        <v>421</v>
      </c>
    </row>
    <row r="446" spans="1:5" x14ac:dyDescent="0.35">
      <c r="A446" s="24">
        <v>33329</v>
      </c>
      <c r="B446" s="24">
        <v>33329</v>
      </c>
      <c r="C446" s="23">
        <v>5.91</v>
      </c>
      <c r="D446">
        <v>0</v>
      </c>
      <c r="E446">
        <f t="shared" si="6"/>
        <v>420</v>
      </c>
    </row>
    <row r="447" spans="1:5" x14ac:dyDescent="0.35">
      <c r="A447" s="24">
        <v>33359</v>
      </c>
      <c r="B447" s="24">
        <v>33359</v>
      </c>
      <c r="C447" s="23">
        <v>5.78</v>
      </c>
      <c r="D447">
        <v>0</v>
      </c>
      <c r="E447">
        <f t="shared" si="6"/>
        <v>419</v>
      </c>
    </row>
    <row r="448" spans="1:5" x14ac:dyDescent="0.35">
      <c r="A448" s="24">
        <v>33390</v>
      </c>
      <c r="B448" s="24">
        <v>33390</v>
      </c>
      <c r="C448" s="23">
        <v>5.9</v>
      </c>
      <c r="D448">
        <v>0</v>
      </c>
      <c r="E448">
        <f t="shared" si="6"/>
        <v>418</v>
      </c>
    </row>
    <row r="449" spans="1:5" x14ac:dyDescent="0.35">
      <c r="A449" s="24">
        <v>33420</v>
      </c>
      <c r="B449" s="24">
        <v>33420</v>
      </c>
      <c r="C449" s="23">
        <v>5.82</v>
      </c>
      <c r="D449">
        <v>1</v>
      </c>
      <c r="E449">
        <f t="shared" si="6"/>
        <v>417</v>
      </c>
    </row>
    <row r="450" spans="1:5" x14ac:dyDescent="0.35">
      <c r="A450" s="24">
        <v>33451</v>
      </c>
      <c r="B450" s="24">
        <v>33451</v>
      </c>
      <c r="C450" s="23">
        <v>5.66</v>
      </c>
      <c r="D450">
        <v>0</v>
      </c>
      <c r="E450">
        <f t="shared" si="6"/>
        <v>416</v>
      </c>
    </row>
    <row r="451" spans="1:5" x14ac:dyDescent="0.35">
      <c r="A451" s="24">
        <v>33482</v>
      </c>
      <c r="B451" s="24">
        <v>33482</v>
      </c>
      <c r="C451" s="23">
        <v>5.45</v>
      </c>
      <c r="D451">
        <v>0</v>
      </c>
      <c r="E451">
        <f t="shared" si="6"/>
        <v>415</v>
      </c>
    </row>
    <row r="452" spans="1:5" x14ac:dyDescent="0.35">
      <c r="A452" s="24">
        <v>33512</v>
      </c>
      <c r="B452" s="24">
        <v>33512</v>
      </c>
      <c r="C452" s="23">
        <v>5.21</v>
      </c>
      <c r="D452">
        <v>0</v>
      </c>
      <c r="E452">
        <f t="shared" si="6"/>
        <v>414</v>
      </c>
    </row>
    <row r="453" spans="1:5" x14ac:dyDescent="0.35">
      <c r="A453" s="24">
        <v>33543</v>
      </c>
      <c r="B453" s="24">
        <v>33543</v>
      </c>
      <c r="C453" s="23">
        <v>4.8099999999999996</v>
      </c>
      <c r="D453">
        <v>1</v>
      </c>
      <c r="E453">
        <f t="shared" ref="E453:E516" si="7">E454+1</f>
        <v>413</v>
      </c>
    </row>
    <row r="454" spans="1:5" x14ac:dyDescent="0.35">
      <c r="A454" s="24">
        <v>33573</v>
      </c>
      <c r="B454" s="24">
        <v>33573</v>
      </c>
      <c r="C454" s="23">
        <v>4.43</v>
      </c>
      <c r="D454">
        <v>0</v>
      </c>
      <c r="E454">
        <f t="shared" si="7"/>
        <v>412</v>
      </c>
    </row>
    <row r="455" spans="1:5" x14ac:dyDescent="0.35">
      <c r="A455" s="24">
        <v>33604</v>
      </c>
      <c r="B455" s="24">
        <v>33604</v>
      </c>
      <c r="C455" s="23">
        <v>4.03</v>
      </c>
      <c r="D455">
        <v>0</v>
      </c>
      <c r="E455">
        <f t="shared" si="7"/>
        <v>411</v>
      </c>
    </row>
    <row r="456" spans="1:5" x14ac:dyDescent="0.35">
      <c r="A456" s="24">
        <v>33635</v>
      </c>
      <c r="B456" s="24">
        <v>33635</v>
      </c>
      <c r="C456" s="23">
        <v>4.0599999999999996</v>
      </c>
      <c r="D456">
        <v>0</v>
      </c>
      <c r="E456">
        <f t="shared" si="7"/>
        <v>410</v>
      </c>
    </row>
    <row r="457" spans="1:5" x14ac:dyDescent="0.35">
      <c r="A457" s="24">
        <v>33664</v>
      </c>
      <c r="B457" s="24">
        <v>33664</v>
      </c>
      <c r="C457" s="23">
        <v>3.98</v>
      </c>
      <c r="D457">
        <v>1</v>
      </c>
      <c r="E457">
        <f t="shared" si="7"/>
        <v>409</v>
      </c>
    </row>
    <row r="458" spans="1:5" x14ac:dyDescent="0.35">
      <c r="A458" s="24">
        <v>33695</v>
      </c>
      <c r="B458" s="24">
        <v>33695</v>
      </c>
      <c r="C458" s="23">
        <v>3.73</v>
      </c>
      <c r="D458">
        <v>0</v>
      </c>
      <c r="E458">
        <f t="shared" si="7"/>
        <v>408</v>
      </c>
    </row>
    <row r="459" spans="1:5" x14ac:dyDescent="0.35">
      <c r="A459" s="24">
        <v>33725</v>
      </c>
      <c r="B459" s="24">
        <v>33725</v>
      </c>
      <c r="C459" s="23">
        <v>3.82</v>
      </c>
      <c r="D459">
        <v>0</v>
      </c>
      <c r="E459">
        <f t="shared" si="7"/>
        <v>407</v>
      </c>
    </row>
    <row r="460" spans="1:5" x14ac:dyDescent="0.35">
      <c r="A460" s="24">
        <v>33756</v>
      </c>
      <c r="B460" s="24">
        <v>33756</v>
      </c>
      <c r="C460" s="23">
        <v>3.76</v>
      </c>
      <c r="D460">
        <v>0</v>
      </c>
      <c r="E460">
        <f t="shared" si="7"/>
        <v>406</v>
      </c>
    </row>
    <row r="461" spans="1:5" x14ac:dyDescent="0.35">
      <c r="A461" s="24">
        <v>33786</v>
      </c>
      <c r="B461" s="24">
        <v>33786</v>
      </c>
      <c r="C461" s="23">
        <v>3.25</v>
      </c>
      <c r="D461">
        <v>1</v>
      </c>
      <c r="E461">
        <f t="shared" si="7"/>
        <v>405</v>
      </c>
    </row>
    <row r="462" spans="1:5" x14ac:dyDescent="0.35">
      <c r="A462" s="24">
        <v>33817</v>
      </c>
      <c r="B462" s="24">
        <v>33817</v>
      </c>
      <c r="C462" s="23">
        <v>3.3</v>
      </c>
      <c r="D462">
        <v>0</v>
      </c>
      <c r="E462">
        <f t="shared" si="7"/>
        <v>404</v>
      </c>
    </row>
    <row r="463" spans="1:5" x14ac:dyDescent="0.35">
      <c r="A463" s="24">
        <v>33848</v>
      </c>
      <c r="B463" s="24">
        <v>33848</v>
      </c>
      <c r="C463" s="23">
        <v>3.22</v>
      </c>
      <c r="D463">
        <v>0</v>
      </c>
      <c r="E463">
        <f t="shared" si="7"/>
        <v>403</v>
      </c>
    </row>
    <row r="464" spans="1:5" x14ac:dyDescent="0.35">
      <c r="A464" s="24">
        <v>33878</v>
      </c>
      <c r="B464" s="24">
        <v>33878</v>
      </c>
      <c r="C464" s="23">
        <v>3.1</v>
      </c>
      <c r="D464">
        <v>0</v>
      </c>
      <c r="E464">
        <f t="shared" si="7"/>
        <v>402</v>
      </c>
    </row>
    <row r="465" spans="1:5" x14ac:dyDescent="0.35">
      <c r="A465" s="24">
        <v>33909</v>
      </c>
      <c r="B465" s="24">
        <v>33909</v>
      </c>
      <c r="C465" s="23">
        <v>3.09</v>
      </c>
      <c r="D465">
        <v>1</v>
      </c>
      <c r="E465">
        <f t="shared" si="7"/>
        <v>401</v>
      </c>
    </row>
    <row r="466" spans="1:5" x14ac:dyDescent="0.35">
      <c r="A466" s="24">
        <v>33939</v>
      </c>
      <c r="B466" s="24">
        <v>33939</v>
      </c>
      <c r="C466" s="23">
        <v>2.92</v>
      </c>
      <c r="D466">
        <v>0</v>
      </c>
      <c r="E466">
        <f t="shared" si="7"/>
        <v>400</v>
      </c>
    </row>
    <row r="467" spans="1:5" x14ac:dyDescent="0.35">
      <c r="A467" s="24">
        <v>33970</v>
      </c>
      <c r="B467" s="24">
        <v>33970</v>
      </c>
      <c r="C467" s="23">
        <v>3.02</v>
      </c>
      <c r="D467">
        <v>0</v>
      </c>
      <c r="E467">
        <f t="shared" si="7"/>
        <v>399</v>
      </c>
    </row>
    <row r="468" spans="1:5" x14ac:dyDescent="0.35">
      <c r="A468" s="24">
        <v>34001</v>
      </c>
      <c r="B468" s="24">
        <v>34001</v>
      </c>
      <c r="C468" s="23">
        <v>3.03</v>
      </c>
      <c r="D468">
        <v>0</v>
      </c>
      <c r="E468">
        <f t="shared" si="7"/>
        <v>398</v>
      </c>
    </row>
    <row r="469" spans="1:5" x14ac:dyDescent="0.35">
      <c r="A469" s="24">
        <v>34029</v>
      </c>
      <c r="B469" s="24">
        <v>34029</v>
      </c>
      <c r="C469" s="23">
        <v>3.07</v>
      </c>
      <c r="D469">
        <v>1</v>
      </c>
      <c r="E469">
        <f t="shared" si="7"/>
        <v>397</v>
      </c>
    </row>
    <row r="470" spans="1:5" x14ac:dyDescent="0.35">
      <c r="A470" s="24">
        <v>34060</v>
      </c>
      <c r="B470" s="24">
        <v>34060</v>
      </c>
      <c r="C470" s="23">
        <v>2.96</v>
      </c>
      <c r="D470">
        <v>0</v>
      </c>
      <c r="E470">
        <f t="shared" si="7"/>
        <v>396</v>
      </c>
    </row>
    <row r="471" spans="1:5" x14ac:dyDescent="0.35">
      <c r="A471" s="24">
        <v>34090</v>
      </c>
      <c r="B471" s="24">
        <v>34090</v>
      </c>
      <c r="C471" s="23">
        <v>3</v>
      </c>
      <c r="D471">
        <v>0</v>
      </c>
      <c r="E471">
        <f t="shared" si="7"/>
        <v>395</v>
      </c>
    </row>
    <row r="472" spans="1:5" x14ac:dyDescent="0.35">
      <c r="A472" s="24">
        <v>34121</v>
      </c>
      <c r="B472" s="24">
        <v>34121</v>
      </c>
      <c r="C472" s="23">
        <v>3.04</v>
      </c>
      <c r="D472">
        <v>0</v>
      </c>
      <c r="E472">
        <f t="shared" si="7"/>
        <v>394</v>
      </c>
    </row>
    <row r="473" spans="1:5" x14ac:dyDescent="0.35">
      <c r="A473" s="24">
        <v>34151</v>
      </c>
      <c r="B473" s="24">
        <v>34151</v>
      </c>
      <c r="C473" s="23">
        <v>3.06</v>
      </c>
      <c r="D473">
        <v>1</v>
      </c>
      <c r="E473">
        <f t="shared" si="7"/>
        <v>393</v>
      </c>
    </row>
    <row r="474" spans="1:5" x14ac:dyDescent="0.35">
      <c r="A474" s="24">
        <v>34182</v>
      </c>
      <c r="B474" s="24">
        <v>34182</v>
      </c>
      <c r="C474" s="23">
        <v>3.03</v>
      </c>
      <c r="D474">
        <v>0</v>
      </c>
      <c r="E474">
        <f t="shared" si="7"/>
        <v>392</v>
      </c>
    </row>
    <row r="475" spans="1:5" x14ac:dyDescent="0.35">
      <c r="A475" s="24">
        <v>34213</v>
      </c>
      <c r="B475" s="24">
        <v>34213</v>
      </c>
      <c r="C475" s="23">
        <v>3.09</v>
      </c>
      <c r="D475">
        <v>0</v>
      </c>
      <c r="E475">
        <f t="shared" si="7"/>
        <v>391</v>
      </c>
    </row>
    <row r="476" spans="1:5" x14ac:dyDescent="0.35">
      <c r="A476" s="24">
        <v>34243</v>
      </c>
      <c r="B476" s="24">
        <v>34243</v>
      </c>
      <c r="C476" s="23">
        <v>2.99</v>
      </c>
      <c r="D476">
        <v>0</v>
      </c>
      <c r="E476">
        <f t="shared" si="7"/>
        <v>390</v>
      </c>
    </row>
    <row r="477" spans="1:5" x14ac:dyDescent="0.35">
      <c r="A477" s="24">
        <v>34274</v>
      </c>
      <c r="B477" s="24">
        <v>34274</v>
      </c>
      <c r="C477" s="23">
        <v>3.02</v>
      </c>
      <c r="D477">
        <v>1</v>
      </c>
      <c r="E477">
        <f t="shared" si="7"/>
        <v>389</v>
      </c>
    </row>
    <row r="478" spans="1:5" x14ac:dyDescent="0.35">
      <c r="A478" s="24">
        <v>34304</v>
      </c>
      <c r="B478" s="24">
        <v>34304</v>
      </c>
      <c r="C478" s="23">
        <v>2.96</v>
      </c>
      <c r="D478">
        <v>0</v>
      </c>
      <c r="E478">
        <f t="shared" si="7"/>
        <v>388</v>
      </c>
    </row>
    <row r="479" spans="1:5" x14ac:dyDescent="0.35">
      <c r="A479" s="24">
        <v>34335</v>
      </c>
      <c r="B479" s="24">
        <v>34335</v>
      </c>
      <c r="C479" s="23">
        <v>3.05</v>
      </c>
      <c r="D479">
        <v>0</v>
      </c>
      <c r="E479">
        <f t="shared" si="7"/>
        <v>387</v>
      </c>
    </row>
    <row r="480" spans="1:5" x14ac:dyDescent="0.35">
      <c r="A480" s="24">
        <v>34366</v>
      </c>
      <c r="B480" s="24">
        <v>34366</v>
      </c>
      <c r="C480" s="23">
        <v>3.25</v>
      </c>
      <c r="D480">
        <v>0</v>
      </c>
      <c r="E480">
        <f t="shared" si="7"/>
        <v>386</v>
      </c>
    </row>
    <row r="481" spans="1:5" x14ac:dyDescent="0.35">
      <c r="A481" s="24">
        <v>34394</v>
      </c>
      <c r="B481" s="24">
        <v>34394</v>
      </c>
      <c r="C481" s="23">
        <v>3.34</v>
      </c>
      <c r="D481">
        <v>1</v>
      </c>
      <c r="E481">
        <f t="shared" si="7"/>
        <v>385</v>
      </c>
    </row>
    <row r="482" spans="1:5" x14ac:dyDescent="0.35">
      <c r="A482" s="24">
        <v>34425</v>
      </c>
      <c r="B482" s="24">
        <v>34425</v>
      </c>
      <c r="C482" s="23">
        <v>3.56</v>
      </c>
      <c r="D482">
        <v>0</v>
      </c>
      <c r="E482">
        <f t="shared" si="7"/>
        <v>384</v>
      </c>
    </row>
    <row r="483" spans="1:5" x14ac:dyDescent="0.35">
      <c r="A483" s="24">
        <v>34455</v>
      </c>
      <c r="B483" s="24">
        <v>34455</v>
      </c>
      <c r="C483" s="23">
        <v>4.01</v>
      </c>
      <c r="D483">
        <v>0</v>
      </c>
      <c r="E483">
        <f t="shared" si="7"/>
        <v>383</v>
      </c>
    </row>
    <row r="484" spans="1:5" x14ac:dyDescent="0.35">
      <c r="A484" s="24">
        <v>34486</v>
      </c>
      <c r="B484" s="24">
        <v>34486</v>
      </c>
      <c r="C484" s="23">
        <v>4.25</v>
      </c>
      <c r="D484">
        <v>0</v>
      </c>
      <c r="E484">
        <f t="shared" si="7"/>
        <v>382</v>
      </c>
    </row>
    <row r="485" spans="1:5" x14ac:dyDescent="0.35">
      <c r="A485" s="24">
        <v>34516</v>
      </c>
      <c r="B485" s="24">
        <v>34516</v>
      </c>
      <c r="C485" s="23">
        <v>4.26</v>
      </c>
      <c r="D485">
        <v>1</v>
      </c>
      <c r="E485">
        <f t="shared" si="7"/>
        <v>381</v>
      </c>
    </row>
    <row r="486" spans="1:5" x14ac:dyDescent="0.35">
      <c r="A486" s="24">
        <v>34547</v>
      </c>
      <c r="B486" s="24">
        <v>34547</v>
      </c>
      <c r="C486" s="23">
        <v>4.47</v>
      </c>
      <c r="D486">
        <v>0</v>
      </c>
      <c r="E486">
        <f t="shared" si="7"/>
        <v>380</v>
      </c>
    </row>
    <row r="487" spans="1:5" x14ac:dyDescent="0.35">
      <c r="A487" s="24">
        <v>34578</v>
      </c>
      <c r="B487" s="24">
        <v>34578</v>
      </c>
      <c r="C487" s="23">
        <v>4.7300000000000004</v>
      </c>
      <c r="D487">
        <v>0</v>
      </c>
      <c r="E487">
        <f t="shared" si="7"/>
        <v>379</v>
      </c>
    </row>
    <row r="488" spans="1:5" x14ac:dyDescent="0.35">
      <c r="A488" s="24">
        <v>34608</v>
      </c>
      <c r="B488" s="24">
        <v>34608</v>
      </c>
      <c r="C488" s="23">
        <v>4.76</v>
      </c>
      <c r="D488">
        <v>0</v>
      </c>
      <c r="E488">
        <f t="shared" si="7"/>
        <v>378</v>
      </c>
    </row>
    <row r="489" spans="1:5" x14ac:dyDescent="0.35">
      <c r="A489" s="24">
        <v>34639</v>
      </c>
      <c r="B489" s="24">
        <v>34639</v>
      </c>
      <c r="C489" s="23">
        <v>5.29</v>
      </c>
      <c r="D489">
        <v>1</v>
      </c>
      <c r="E489">
        <f t="shared" si="7"/>
        <v>377</v>
      </c>
    </row>
    <row r="490" spans="1:5" x14ac:dyDescent="0.35">
      <c r="A490" s="24">
        <v>34669</v>
      </c>
      <c r="B490" s="24">
        <v>34669</v>
      </c>
      <c r="C490" s="23">
        <v>5.45</v>
      </c>
      <c r="D490">
        <v>0</v>
      </c>
      <c r="E490">
        <f t="shared" si="7"/>
        <v>376</v>
      </c>
    </row>
    <row r="491" spans="1:5" x14ac:dyDescent="0.35">
      <c r="A491" s="24">
        <v>34700</v>
      </c>
      <c r="B491" s="24">
        <v>34700</v>
      </c>
      <c r="C491" s="23">
        <v>5.53</v>
      </c>
      <c r="D491">
        <v>0</v>
      </c>
      <c r="E491">
        <f t="shared" si="7"/>
        <v>375</v>
      </c>
    </row>
    <row r="492" spans="1:5" x14ac:dyDescent="0.35">
      <c r="A492" s="24">
        <v>34731</v>
      </c>
      <c r="B492" s="24">
        <v>34731</v>
      </c>
      <c r="C492" s="23">
        <v>5.92</v>
      </c>
      <c r="D492">
        <v>0</v>
      </c>
      <c r="E492">
        <f t="shared" si="7"/>
        <v>374</v>
      </c>
    </row>
    <row r="493" spans="1:5" x14ac:dyDescent="0.35">
      <c r="A493" s="24">
        <v>34759</v>
      </c>
      <c r="B493" s="24">
        <v>34759</v>
      </c>
      <c r="C493" s="23">
        <v>5.98</v>
      </c>
      <c r="D493">
        <v>1</v>
      </c>
      <c r="E493">
        <f t="shared" si="7"/>
        <v>373</v>
      </c>
    </row>
    <row r="494" spans="1:5" x14ac:dyDescent="0.35">
      <c r="A494" s="24">
        <v>34790</v>
      </c>
      <c r="B494" s="24">
        <v>34790</v>
      </c>
      <c r="C494" s="23">
        <v>6.05</v>
      </c>
      <c r="D494">
        <v>0</v>
      </c>
      <c r="E494">
        <f t="shared" si="7"/>
        <v>372</v>
      </c>
    </row>
    <row r="495" spans="1:5" x14ac:dyDescent="0.35">
      <c r="A495" s="24">
        <v>34820</v>
      </c>
      <c r="B495" s="24">
        <v>34820</v>
      </c>
      <c r="C495" s="23">
        <v>6.01</v>
      </c>
      <c r="D495">
        <v>0</v>
      </c>
      <c r="E495">
        <f t="shared" si="7"/>
        <v>371</v>
      </c>
    </row>
    <row r="496" spans="1:5" x14ac:dyDescent="0.35">
      <c r="A496" s="24">
        <v>34851</v>
      </c>
      <c r="B496" s="24">
        <v>34851</v>
      </c>
      <c r="C496" s="23">
        <v>6</v>
      </c>
      <c r="D496">
        <v>0</v>
      </c>
      <c r="E496">
        <f t="shared" si="7"/>
        <v>370</v>
      </c>
    </row>
    <row r="497" spans="1:5" x14ac:dyDescent="0.35">
      <c r="A497" s="24">
        <v>34881</v>
      </c>
      <c r="B497" s="24">
        <v>34881</v>
      </c>
      <c r="C497" s="23">
        <v>5.85</v>
      </c>
      <c r="D497">
        <v>1</v>
      </c>
      <c r="E497">
        <f t="shared" si="7"/>
        <v>369</v>
      </c>
    </row>
    <row r="498" spans="1:5" x14ac:dyDescent="0.35">
      <c r="A498" s="24">
        <v>34912</v>
      </c>
      <c r="B498" s="24">
        <v>34912</v>
      </c>
      <c r="C498" s="23">
        <v>5.74</v>
      </c>
      <c r="D498">
        <v>0</v>
      </c>
      <c r="E498">
        <f t="shared" si="7"/>
        <v>368</v>
      </c>
    </row>
    <row r="499" spans="1:5" x14ac:dyDescent="0.35">
      <c r="A499" s="24">
        <v>34943</v>
      </c>
      <c r="B499" s="24">
        <v>34943</v>
      </c>
      <c r="C499" s="23">
        <v>5.8</v>
      </c>
      <c r="D499">
        <v>0</v>
      </c>
      <c r="E499">
        <f t="shared" si="7"/>
        <v>367</v>
      </c>
    </row>
    <row r="500" spans="1:5" x14ac:dyDescent="0.35">
      <c r="A500" s="24">
        <v>34973</v>
      </c>
      <c r="B500" s="24">
        <v>34973</v>
      </c>
      <c r="C500" s="23">
        <v>5.76</v>
      </c>
      <c r="D500">
        <v>0</v>
      </c>
      <c r="E500">
        <f t="shared" si="7"/>
        <v>366</v>
      </c>
    </row>
    <row r="501" spans="1:5" x14ac:dyDescent="0.35">
      <c r="A501" s="24">
        <v>35004</v>
      </c>
      <c r="B501" s="24">
        <v>35004</v>
      </c>
      <c r="C501" s="23">
        <v>5.8</v>
      </c>
      <c r="D501">
        <v>1</v>
      </c>
      <c r="E501">
        <f t="shared" si="7"/>
        <v>365</v>
      </c>
    </row>
    <row r="502" spans="1:5" x14ac:dyDescent="0.35">
      <c r="A502" s="24">
        <v>35034</v>
      </c>
      <c r="B502" s="24">
        <v>35034</v>
      </c>
      <c r="C502" s="23">
        <v>5.6</v>
      </c>
      <c r="D502">
        <v>0</v>
      </c>
      <c r="E502">
        <f t="shared" si="7"/>
        <v>364</v>
      </c>
    </row>
    <row r="503" spans="1:5" x14ac:dyDescent="0.35">
      <c r="A503" s="24">
        <v>35065</v>
      </c>
      <c r="B503" s="24">
        <v>35065</v>
      </c>
      <c r="C503" s="23">
        <v>5.56</v>
      </c>
      <c r="D503">
        <v>0</v>
      </c>
      <c r="E503">
        <f t="shared" si="7"/>
        <v>363</v>
      </c>
    </row>
    <row r="504" spans="1:5" x14ac:dyDescent="0.35">
      <c r="A504" s="24">
        <v>35096</v>
      </c>
      <c r="B504" s="24">
        <v>35096</v>
      </c>
      <c r="C504" s="23">
        <v>5.22</v>
      </c>
      <c r="D504">
        <v>0</v>
      </c>
      <c r="E504">
        <f t="shared" si="7"/>
        <v>362</v>
      </c>
    </row>
    <row r="505" spans="1:5" x14ac:dyDescent="0.35">
      <c r="A505" s="24">
        <v>35125</v>
      </c>
      <c r="B505" s="24">
        <v>35125</v>
      </c>
      <c r="C505" s="23">
        <v>5.31</v>
      </c>
      <c r="D505">
        <v>1</v>
      </c>
      <c r="E505">
        <f t="shared" si="7"/>
        <v>361</v>
      </c>
    </row>
    <row r="506" spans="1:5" x14ac:dyDescent="0.35">
      <c r="A506" s="24">
        <v>35156</v>
      </c>
      <c r="B506" s="24">
        <v>35156</v>
      </c>
      <c r="C506" s="23">
        <v>5.22</v>
      </c>
      <c r="D506">
        <v>0</v>
      </c>
      <c r="E506">
        <f t="shared" si="7"/>
        <v>360</v>
      </c>
    </row>
    <row r="507" spans="1:5" x14ac:dyDescent="0.35">
      <c r="A507" s="24">
        <v>35186</v>
      </c>
      <c r="B507" s="24">
        <v>35186</v>
      </c>
      <c r="C507" s="23">
        <v>5.24</v>
      </c>
      <c r="D507">
        <v>0</v>
      </c>
      <c r="E507">
        <f t="shared" si="7"/>
        <v>359</v>
      </c>
    </row>
    <row r="508" spans="1:5" x14ac:dyDescent="0.35">
      <c r="A508" s="24">
        <v>35217</v>
      </c>
      <c r="B508" s="24">
        <v>35217</v>
      </c>
      <c r="C508" s="23">
        <v>5.27</v>
      </c>
      <c r="D508">
        <v>0</v>
      </c>
      <c r="E508">
        <f t="shared" si="7"/>
        <v>358</v>
      </c>
    </row>
    <row r="509" spans="1:5" x14ac:dyDescent="0.35">
      <c r="A509" s="24">
        <v>35247</v>
      </c>
      <c r="B509" s="24">
        <v>35247</v>
      </c>
      <c r="C509" s="23">
        <v>5.4</v>
      </c>
      <c r="D509">
        <v>1</v>
      </c>
      <c r="E509">
        <f t="shared" si="7"/>
        <v>357</v>
      </c>
    </row>
    <row r="510" spans="1:5" x14ac:dyDescent="0.35">
      <c r="A510" s="24">
        <v>35278</v>
      </c>
      <c r="B510" s="24">
        <v>35278</v>
      </c>
      <c r="C510" s="23">
        <v>5.22</v>
      </c>
      <c r="D510">
        <v>0</v>
      </c>
      <c r="E510">
        <f t="shared" si="7"/>
        <v>356</v>
      </c>
    </row>
    <row r="511" spans="1:5" x14ac:dyDescent="0.35">
      <c r="A511" s="24">
        <v>35309</v>
      </c>
      <c r="B511" s="24">
        <v>35309</v>
      </c>
      <c r="C511" s="23">
        <v>5.3</v>
      </c>
      <c r="D511">
        <v>0</v>
      </c>
      <c r="E511">
        <f t="shared" si="7"/>
        <v>355</v>
      </c>
    </row>
    <row r="512" spans="1:5" x14ac:dyDescent="0.35">
      <c r="A512" s="24">
        <v>35339</v>
      </c>
      <c r="B512" s="24">
        <v>35339</v>
      </c>
      <c r="C512" s="23">
        <v>5.24</v>
      </c>
      <c r="D512">
        <v>0</v>
      </c>
      <c r="E512">
        <f t="shared" si="7"/>
        <v>354</v>
      </c>
    </row>
    <row r="513" spans="1:5" x14ac:dyDescent="0.35">
      <c r="A513" s="24">
        <v>35370</v>
      </c>
      <c r="B513" s="24">
        <v>35370</v>
      </c>
      <c r="C513" s="23">
        <v>5.31</v>
      </c>
      <c r="D513">
        <v>1</v>
      </c>
      <c r="E513">
        <f t="shared" si="7"/>
        <v>353</v>
      </c>
    </row>
    <row r="514" spans="1:5" x14ac:dyDescent="0.35">
      <c r="A514" s="24">
        <v>35400</v>
      </c>
      <c r="B514" s="24">
        <v>35400</v>
      </c>
      <c r="C514" s="23">
        <v>5.29</v>
      </c>
      <c r="D514">
        <v>0</v>
      </c>
      <c r="E514">
        <f t="shared" si="7"/>
        <v>352</v>
      </c>
    </row>
    <row r="515" spans="1:5" x14ac:dyDescent="0.35">
      <c r="A515" s="24">
        <v>35431</v>
      </c>
      <c r="B515" s="24">
        <v>35431</v>
      </c>
      <c r="C515" s="23">
        <v>5.25</v>
      </c>
      <c r="D515">
        <v>0</v>
      </c>
      <c r="E515">
        <f t="shared" si="7"/>
        <v>351</v>
      </c>
    </row>
    <row r="516" spans="1:5" x14ac:dyDescent="0.35">
      <c r="A516" s="24">
        <v>35462</v>
      </c>
      <c r="B516" s="24">
        <v>35462</v>
      </c>
      <c r="C516" s="23">
        <v>5.19</v>
      </c>
      <c r="D516">
        <v>0</v>
      </c>
      <c r="E516">
        <f t="shared" si="7"/>
        <v>350</v>
      </c>
    </row>
    <row r="517" spans="1:5" x14ac:dyDescent="0.35">
      <c r="A517" s="24">
        <v>35490</v>
      </c>
      <c r="B517" s="24">
        <v>35490</v>
      </c>
      <c r="C517" s="23">
        <v>5.39</v>
      </c>
      <c r="D517">
        <v>1</v>
      </c>
      <c r="E517">
        <f t="shared" ref="E517:E580" si="8">E518+1</f>
        <v>349</v>
      </c>
    </row>
    <row r="518" spans="1:5" x14ac:dyDescent="0.35">
      <c r="A518" s="24">
        <v>35521</v>
      </c>
      <c r="B518" s="24">
        <v>35521</v>
      </c>
      <c r="C518" s="23">
        <v>5.51</v>
      </c>
      <c r="D518">
        <v>0</v>
      </c>
      <c r="E518">
        <f t="shared" si="8"/>
        <v>348</v>
      </c>
    </row>
    <row r="519" spans="1:5" x14ac:dyDescent="0.35">
      <c r="A519" s="24">
        <v>35551</v>
      </c>
      <c r="B519" s="24">
        <v>35551</v>
      </c>
      <c r="C519" s="23">
        <v>5.5</v>
      </c>
      <c r="D519">
        <v>0</v>
      </c>
      <c r="E519">
        <f t="shared" si="8"/>
        <v>347</v>
      </c>
    </row>
    <row r="520" spans="1:5" x14ac:dyDescent="0.35">
      <c r="A520" s="24">
        <v>35582</v>
      </c>
      <c r="B520" s="24">
        <v>35582</v>
      </c>
      <c r="C520" s="23">
        <v>5.56</v>
      </c>
      <c r="D520">
        <v>0</v>
      </c>
      <c r="E520">
        <f t="shared" si="8"/>
        <v>346</v>
      </c>
    </row>
    <row r="521" spans="1:5" x14ac:dyDescent="0.35">
      <c r="A521" s="24">
        <v>35612</v>
      </c>
      <c r="B521" s="24">
        <v>35612</v>
      </c>
      <c r="C521" s="23">
        <v>5.52</v>
      </c>
      <c r="D521">
        <v>1</v>
      </c>
      <c r="E521">
        <f t="shared" si="8"/>
        <v>345</v>
      </c>
    </row>
    <row r="522" spans="1:5" x14ac:dyDescent="0.35">
      <c r="A522" s="24">
        <v>35643</v>
      </c>
      <c r="B522" s="24">
        <v>35643</v>
      </c>
      <c r="C522" s="23">
        <v>5.54</v>
      </c>
      <c r="D522">
        <v>0</v>
      </c>
      <c r="E522">
        <f t="shared" si="8"/>
        <v>344</v>
      </c>
    </row>
    <row r="523" spans="1:5" x14ac:dyDescent="0.35">
      <c r="A523" s="24">
        <v>35674</v>
      </c>
      <c r="B523" s="24">
        <v>35674</v>
      </c>
      <c r="C523" s="23">
        <v>5.54</v>
      </c>
      <c r="D523">
        <v>0</v>
      </c>
      <c r="E523">
        <f t="shared" si="8"/>
        <v>343</v>
      </c>
    </row>
    <row r="524" spans="1:5" x14ac:dyDescent="0.35">
      <c r="A524" s="24">
        <v>35704</v>
      </c>
      <c r="B524" s="24">
        <v>35704</v>
      </c>
      <c r="C524" s="23">
        <v>5.5</v>
      </c>
      <c r="D524">
        <v>0</v>
      </c>
      <c r="E524">
        <f t="shared" si="8"/>
        <v>342</v>
      </c>
    </row>
    <row r="525" spans="1:5" x14ac:dyDescent="0.35">
      <c r="A525" s="24">
        <v>35735</v>
      </c>
      <c r="B525" s="24">
        <v>35735</v>
      </c>
      <c r="C525" s="23">
        <v>5.52</v>
      </c>
      <c r="D525">
        <v>1</v>
      </c>
      <c r="E525">
        <f t="shared" si="8"/>
        <v>341</v>
      </c>
    </row>
    <row r="526" spans="1:5" x14ac:dyDescent="0.35">
      <c r="A526" s="24">
        <v>35765</v>
      </c>
      <c r="B526" s="24">
        <v>35765</v>
      </c>
      <c r="C526" s="23">
        <v>5.5</v>
      </c>
      <c r="D526">
        <v>0</v>
      </c>
      <c r="E526">
        <f t="shared" si="8"/>
        <v>340</v>
      </c>
    </row>
    <row r="527" spans="1:5" x14ac:dyDescent="0.35">
      <c r="A527" s="24">
        <v>35796</v>
      </c>
      <c r="B527" s="24">
        <v>35796</v>
      </c>
      <c r="C527" s="23">
        <v>5.56</v>
      </c>
      <c r="D527">
        <v>0</v>
      </c>
      <c r="E527">
        <f t="shared" si="8"/>
        <v>339</v>
      </c>
    </row>
    <row r="528" spans="1:5" x14ac:dyDescent="0.35">
      <c r="A528" s="24">
        <v>35827</v>
      </c>
      <c r="B528" s="24">
        <v>35827</v>
      </c>
      <c r="C528" s="23">
        <v>5.51</v>
      </c>
      <c r="D528">
        <v>0</v>
      </c>
      <c r="E528">
        <f t="shared" si="8"/>
        <v>338</v>
      </c>
    </row>
    <row r="529" spans="1:5" x14ac:dyDescent="0.35">
      <c r="A529" s="24">
        <v>35855</v>
      </c>
      <c r="B529" s="24">
        <v>35855</v>
      </c>
      <c r="C529" s="23">
        <v>5.49</v>
      </c>
      <c r="D529">
        <v>1</v>
      </c>
      <c r="E529">
        <f t="shared" si="8"/>
        <v>337</v>
      </c>
    </row>
    <row r="530" spans="1:5" x14ac:dyDescent="0.35">
      <c r="A530" s="24">
        <v>35886</v>
      </c>
      <c r="B530" s="24">
        <v>35886</v>
      </c>
      <c r="C530" s="23">
        <v>5.45</v>
      </c>
      <c r="D530">
        <v>0</v>
      </c>
      <c r="E530">
        <f t="shared" si="8"/>
        <v>336</v>
      </c>
    </row>
    <row r="531" spans="1:5" x14ac:dyDescent="0.35">
      <c r="A531" s="24">
        <v>35916</v>
      </c>
      <c r="B531" s="24">
        <v>35916</v>
      </c>
      <c r="C531" s="23">
        <v>5.49</v>
      </c>
      <c r="D531">
        <v>0</v>
      </c>
      <c r="E531">
        <f t="shared" si="8"/>
        <v>335</v>
      </c>
    </row>
    <row r="532" spans="1:5" x14ac:dyDescent="0.35">
      <c r="A532" s="24">
        <v>35947</v>
      </c>
      <c r="B532" s="24">
        <v>35947</v>
      </c>
      <c r="C532" s="23">
        <v>5.56</v>
      </c>
      <c r="D532">
        <v>0</v>
      </c>
      <c r="E532">
        <f t="shared" si="8"/>
        <v>334</v>
      </c>
    </row>
    <row r="533" spans="1:5" x14ac:dyDescent="0.35">
      <c r="A533" s="24">
        <v>35977</v>
      </c>
      <c r="B533" s="24">
        <v>35977</v>
      </c>
      <c r="C533" s="23">
        <v>5.54</v>
      </c>
      <c r="D533">
        <v>1</v>
      </c>
      <c r="E533">
        <f t="shared" si="8"/>
        <v>333</v>
      </c>
    </row>
    <row r="534" spans="1:5" x14ac:dyDescent="0.35">
      <c r="A534" s="24">
        <v>36008</v>
      </c>
      <c r="B534" s="24">
        <v>36008</v>
      </c>
      <c r="C534" s="23">
        <v>5.55</v>
      </c>
      <c r="D534">
        <v>0</v>
      </c>
      <c r="E534">
        <f t="shared" si="8"/>
        <v>332</v>
      </c>
    </row>
    <row r="535" spans="1:5" x14ac:dyDescent="0.35">
      <c r="A535" s="24">
        <v>36039</v>
      </c>
      <c r="B535" s="24">
        <v>36039</v>
      </c>
      <c r="C535" s="23">
        <v>5.51</v>
      </c>
      <c r="D535">
        <v>0</v>
      </c>
      <c r="E535">
        <f t="shared" si="8"/>
        <v>331</v>
      </c>
    </row>
    <row r="536" spans="1:5" x14ac:dyDescent="0.35">
      <c r="A536" s="24">
        <v>36069</v>
      </c>
      <c r="B536" s="24">
        <v>36069</v>
      </c>
      <c r="C536" s="23">
        <v>5.07</v>
      </c>
      <c r="D536">
        <v>0</v>
      </c>
      <c r="E536">
        <f t="shared" si="8"/>
        <v>330</v>
      </c>
    </row>
    <row r="537" spans="1:5" x14ac:dyDescent="0.35">
      <c r="A537" s="24">
        <v>36100</v>
      </c>
      <c r="B537" s="24">
        <v>36100</v>
      </c>
      <c r="C537" s="23">
        <v>4.83</v>
      </c>
      <c r="D537">
        <v>1</v>
      </c>
      <c r="E537">
        <f t="shared" si="8"/>
        <v>329</v>
      </c>
    </row>
    <row r="538" spans="1:5" x14ac:dyDescent="0.35">
      <c r="A538" s="24">
        <v>36130</v>
      </c>
      <c r="B538" s="24">
        <v>36130</v>
      </c>
      <c r="C538" s="23">
        <v>4.68</v>
      </c>
      <c r="D538">
        <v>0</v>
      </c>
      <c r="E538">
        <f t="shared" si="8"/>
        <v>328</v>
      </c>
    </row>
    <row r="539" spans="1:5" x14ac:dyDescent="0.35">
      <c r="A539" s="24">
        <v>36161</v>
      </c>
      <c r="B539" s="24">
        <v>36161</v>
      </c>
      <c r="C539" s="23">
        <v>4.63</v>
      </c>
      <c r="D539">
        <v>0</v>
      </c>
      <c r="E539">
        <f t="shared" si="8"/>
        <v>327</v>
      </c>
    </row>
    <row r="540" spans="1:5" x14ac:dyDescent="0.35">
      <c r="A540" s="24">
        <v>36192</v>
      </c>
      <c r="B540" s="24">
        <v>36192</v>
      </c>
      <c r="C540" s="23">
        <v>4.76</v>
      </c>
      <c r="D540">
        <v>0</v>
      </c>
      <c r="E540">
        <f t="shared" si="8"/>
        <v>326</v>
      </c>
    </row>
    <row r="541" spans="1:5" x14ac:dyDescent="0.35">
      <c r="A541" s="24">
        <v>36220</v>
      </c>
      <c r="B541" s="24">
        <v>36220</v>
      </c>
      <c r="C541" s="23">
        <v>4.8099999999999996</v>
      </c>
      <c r="D541">
        <v>1</v>
      </c>
      <c r="E541">
        <f t="shared" si="8"/>
        <v>325</v>
      </c>
    </row>
    <row r="542" spans="1:5" x14ac:dyDescent="0.35">
      <c r="A542" s="24">
        <v>36251</v>
      </c>
      <c r="B542" s="24">
        <v>36251</v>
      </c>
      <c r="C542" s="23">
        <v>4.74</v>
      </c>
      <c r="D542">
        <v>0</v>
      </c>
      <c r="E542">
        <f t="shared" si="8"/>
        <v>324</v>
      </c>
    </row>
    <row r="543" spans="1:5" x14ac:dyDescent="0.35">
      <c r="A543" s="24">
        <v>36281</v>
      </c>
      <c r="B543" s="24">
        <v>36281</v>
      </c>
      <c r="C543" s="23">
        <v>4.74</v>
      </c>
      <c r="D543">
        <v>0</v>
      </c>
      <c r="E543">
        <f t="shared" si="8"/>
        <v>323</v>
      </c>
    </row>
    <row r="544" spans="1:5" x14ac:dyDescent="0.35">
      <c r="A544" s="24">
        <v>36312</v>
      </c>
      <c r="B544" s="24">
        <v>36312</v>
      </c>
      <c r="C544" s="23">
        <v>4.76</v>
      </c>
      <c r="D544">
        <v>0</v>
      </c>
      <c r="E544">
        <f t="shared" si="8"/>
        <v>322</v>
      </c>
    </row>
    <row r="545" spans="1:5" x14ac:dyDescent="0.35">
      <c r="A545" s="24">
        <v>36342</v>
      </c>
      <c r="B545" s="24">
        <v>36342</v>
      </c>
      <c r="C545" s="23">
        <v>4.99</v>
      </c>
      <c r="D545">
        <v>1</v>
      </c>
      <c r="E545">
        <f t="shared" si="8"/>
        <v>321</v>
      </c>
    </row>
    <row r="546" spans="1:5" x14ac:dyDescent="0.35">
      <c r="A546" s="24">
        <v>36373</v>
      </c>
      <c r="B546" s="24">
        <v>36373</v>
      </c>
      <c r="C546" s="23">
        <v>5.07</v>
      </c>
      <c r="D546">
        <v>0</v>
      </c>
      <c r="E546">
        <f t="shared" si="8"/>
        <v>320</v>
      </c>
    </row>
    <row r="547" spans="1:5" x14ac:dyDescent="0.35">
      <c r="A547" s="24">
        <v>36404</v>
      </c>
      <c r="B547" s="24">
        <v>36404</v>
      </c>
      <c r="C547" s="23">
        <v>5.22</v>
      </c>
      <c r="D547">
        <v>0</v>
      </c>
      <c r="E547">
        <f t="shared" si="8"/>
        <v>319</v>
      </c>
    </row>
    <row r="548" spans="1:5" x14ac:dyDescent="0.35">
      <c r="A548" s="24">
        <v>36434</v>
      </c>
      <c r="B548" s="24">
        <v>36434</v>
      </c>
      <c r="C548" s="23">
        <v>5.2</v>
      </c>
      <c r="D548">
        <v>0</v>
      </c>
      <c r="E548">
        <f t="shared" si="8"/>
        <v>318</v>
      </c>
    </row>
    <row r="549" spans="1:5" x14ac:dyDescent="0.35">
      <c r="A549" s="24">
        <v>36465</v>
      </c>
      <c r="B549" s="24">
        <v>36465</v>
      </c>
      <c r="C549" s="23">
        <v>5.42</v>
      </c>
      <c r="D549">
        <v>1</v>
      </c>
      <c r="E549">
        <f t="shared" si="8"/>
        <v>317</v>
      </c>
    </row>
    <row r="550" spans="1:5" x14ac:dyDescent="0.35">
      <c r="A550" s="24">
        <v>36495</v>
      </c>
      <c r="B550" s="24">
        <v>36495</v>
      </c>
      <c r="C550" s="23">
        <v>5.3</v>
      </c>
      <c r="D550">
        <v>0</v>
      </c>
      <c r="E550">
        <f t="shared" si="8"/>
        <v>316</v>
      </c>
    </row>
    <row r="551" spans="1:5" x14ac:dyDescent="0.35">
      <c r="A551" s="24">
        <v>36526</v>
      </c>
      <c r="B551" s="24">
        <v>36526</v>
      </c>
      <c r="C551" s="23">
        <v>5.45</v>
      </c>
      <c r="D551">
        <v>0</v>
      </c>
      <c r="E551">
        <f t="shared" si="8"/>
        <v>315</v>
      </c>
    </row>
    <row r="552" spans="1:5" x14ac:dyDescent="0.35">
      <c r="A552" s="24">
        <v>36557</v>
      </c>
      <c r="B552" s="24">
        <v>36557</v>
      </c>
      <c r="C552" s="23">
        <v>5.73</v>
      </c>
      <c r="D552">
        <v>0</v>
      </c>
      <c r="E552">
        <f t="shared" si="8"/>
        <v>314</v>
      </c>
    </row>
    <row r="553" spans="1:5" x14ac:dyDescent="0.35">
      <c r="A553" s="24">
        <v>36586</v>
      </c>
      <c r="B553" s="24">
        <v>36586</v>
      </c>
      <c r="C553" s="23">
        <v>5.85</v>
      </c>
      <c r="D553">
        <v>1</v>
      </c>
      <c r="E553">
        <f t="shared" si="8"/>
        <v>313</v>
      </c>
    </row>
    <row r="554" spans="1:5" x14ac:dyDescent="0.35">
      <c r="A554" s="24">
        <v>36617</v>
      </c>
      <c r="B554" s="24">
        <v>36617</v>
      </c>
      <c r="C554" s="23">
        <v>6.02</v>
      </c>
      <c r="D554">
        <v>0</v>
      </c>
      <c r="E554">
        <f t="shared" si="8"/>
        <v>312</v>
      </c>
    </row>
    <row r="555" spans="1:5" x14ac:dyDescent="0.35">
      <c r="A555" s="24">
        <v>36647</v>
      </c>
      <c r="B555" s="24">
        <v>36647</v>
      </c>
      <c r="C555" s="23">
        <v>6.27</v>
      </c>
      <c r="D555">
        <v>0</v>
      </c>
      <c r="E555">
        <f t="shared" si="8"/>
        <v>311</v>
      </c>
    </row>
    <row r="556" spans="1:5" x14ac:dyDescent="0.35">
      <c r="A556" s="24">
        <v>36678</v>
      </c>
      <c r="B556" s="24">
        <v>36678</v>
      </c>
      <c r="C556" s="23">
        <v>6.53</v>
      </c>
      <c r="D556">
        <v>0</v>
      </c>
      <c r="E556">
        <f t="shared" si="8"/>
        <v>310</v>
      </c>
    </row>
    <row r="557" spans="1:5" x14ac:dyDescent="0.35">
      <c r="A557" s="24">
        <v>36708</v>
      </c>
      <c r="B557" s="24">
        <v>36708</v>
      </c>
      <c r="C557" s="23">
        <v>6.54</v>
      </c>
      <c r="D557">
        <v>1</v>
      </c>
      <c r="E557">
        <f t="shared" si="8"/>
        <v>309</v>
      </c>
    </row>
    <row r="558" spans="1:5" x14ac:dyDescent="0.35">
      <c r="A558" s="24">
        <v>36739</v>
      </c>
      <c r="B558" s="24">
        <v>36739</v>
      </c>
      <c r="C558" s="23">
        <v>6.5</v>
      </c>
      <c r="D558">
        <v>0</v>
      </c>
      <c r="E558">
        <f t="shared" si="8"/>
        <v>308</v>
      </c>
    </row>
    <row r="559" spans="1:5" x14ac:dyDescent="0.35">
      <c r="A559" s="24">
        <v>36770</v>
      </c>
      <c r="B559" s="24">
        <v>36770</v>
      </c>
      <c r="C559" s="23">
        <v>6.52</v>
      </c>
      <c r="D559">
        <v>0</v>
      </c>
      <c r="E559">
        <f t="shared" si="8"/>
        <v>307</v>
      </c>
    </row>
    <row r="560" spans="1:5" x14ac:dyDescent="0.35">
      <c r="A560" s="24">
        <v>36800</v>
      </c>
      <c r="B560" s="24">
        <v>36800</v>
      </c>
      <c r="C560" s="23">
        <v>6.51</v>
      </c>
      <c r="D560">
        <v>0</v>
      </c>
      <c r="E560">
        <f t="shared" si="8"/>
        <v>306</v>
      </c>
    </row>
    <row r="561" spans="1:5" x14ac:dyDescent="0.35">
      <c r="A561" s="24">
        <v>36831</v>
      </c>
      <c r="B561" s="24">
        <v>36831</v>
      </c>
      <c r="C561" s="23">
        <v>6.51</v>
      </c>
      <c r="D561">
        <v>1</v>
      </c>
      <c r="E561">
        <f t="shared" si="8"/>
        <v>305</v>
      </c>
    </row>
    <row r="562" spans="1:5" x14ac:dyDescent="0.35">
      <c r="A562" s="24">
        <v>36861</v>
      </c>
      <c r="B562" s="24">
        <v>36861</v>
      </c>
      <c r="C562" s="23">
        <v>6.4</v>
      </c>
      <c r="D562">
        <v>0</v>
      </c>
      <c r="E562">
        <f t="shared" si="8"/>
        <v>304</v>
      </c>
    </row>
    <row r="563" spans="1:5" x14ac:dyDescent="0.35">
      <c r="A563" s="24">
        <v>36892</v>
      </c>
      <c r="B563" s="24">
        <v>36892</v>
      </c>
      <c r="C563" s="23">
        <v>5.98</v>
      </c>
      <c r="D563">
        <v>0</v>
      </c>
      <c r="E563">
        <f t="shared" si="8"/>
        <v>303</v>
      </c>
    </row>
    <row r="564" spans="1:5" x14ac:dyDescent="0.35">
      <c r="A564" s="24">
        <v>36923</v>
      </c>
      <c r="B564" s="24">
        <v>36923</v>
      </c>
      <c r="C564" s="23">
        <v>5.49</v>
      </c>
      <c r="D564">
        <v>0</v>
      </c>
      <c r="E564">
        <f t="shared" si="8"/>
        <v>302</v>
      </c>
    </row>
    <row r="565" spans="1:5" x14ac:dyDescent="0.35">
      <c r="A565" s="24">
        <v>36951</v>
      </c>
      <c r="B565" s="24">
        <v>36951</v>
      </c>
      <c r="C565" s="23">
        <v>5.31</v>
      </c>
      <c r="D565">
        <v>1</v>
      </c>
      <c r="E565">
        <f t="shared" si="8"/>
        <v>301</v>
      </c>
    </row>
    <row r="566" spans="1:5" x14ac:dyDescent="0.35">
      <c r="A566" s="24">
        <v>36982</v>
      </c>
      <c r="B566" s="24">
        <v>36982</v>
      </c>
      <c r="C566" s="23">
        <v>4.8</v>
      </c>
      <c r="D566">
        <v>0</v>
      </c>
      <c r="E566">
        <f t="shared" si="8"/>
        <v>300</v>
      </c>
    </row>
    <row r="567" spans="1:5" x14ac:dyDescent="0.35">
      <c r="A567" s="24">
        <v>37012</v>
      </c>
      <c r="B567" s="24">
        <v>37012</v>
      </c>
      <c r="C567" s="23">
        <v>4.21</v>
      </c>
      <c r="D567">
        <v>0</v>
      </c>
      <c r="E567">
        <f t="shared" si="8"/>
        <v>299</v>
      </c>
    </row>
    <row r="568" spans="1:5" x14ac:dyDescent="0.35">
      <c r="A568" s="24">
        <v>37043</v>
      </c>
      <c r="B568" s="24">
        <v>37043</v>
      </c>
      <c r="C568" s="23">
        <v>3.97</v>
      </c>
      <c r="D568">
        <v>0</v>
      </c>
      <c r="E568">
        <f t="shared" si="8"/>
        <v>298</v>
      </c>
    </row>
    <row r="569" spans="1:5" x14ac:dyDescent="0.35">
      <c r="A569" s="24">
        <v>37073</v>
      </c>
      <c r="B569" s="24">
        <v>37073</v>
      </c>
      <c r="C569" s="23">
        <v>3.77</v>
      </c>
      <c r="D569">
        <v>1</v>
      </c>
      <c r="E569">
        <f t="shared" si="8"/>
        <v>297</v>
      </c>
    </row>
    <row r="570" spans="1:5" x14ac:dyDescent="0.35">
      <c r="A570" s="24">
        <v>37104</v>
      </c>
      <c r="B570" s="24">
        <v>37104</v>
      </c>
      <c r="C570" s="23">
        <v>3.65</v>
      </c>
      <c r="D570">
        <v>0</v>
      </c>
      <c r="E570">
        <f t="shared" si="8"/>
        <v>296</v>
      </c>
    </row>
    <row r="571" spans="1:5" x14ac:dyDescent="0.35">
      <c r="A571" s="24">
        <v>37135</v>
      </c>
      <c r="B571" s="24">
        <v>37135</v>
      </c>
      <c r="C571" s="23">
        <v>3.07</v>
      </c>
      <c r="D571">
        <v>0</v>
      </c>
      <c r="E571">
        <f t="shared" si="8"/>
        <v>295</v>
      </c>
    </row>
    <row r="572" spans="1:5" x14ac:dyDescent="0.35">
      <c r="A572" s="24">
        <v>37165</v>
      </c>
      <c r="B572" s="24">
        <v>37165</v>
      </c>
      <c r="C572" s="23">
        <v>2.4900000000000002</v>
      </c>
      <c r="D572">
        <v>0</v>
      </c>
      <c r="E572">
        <f t="shared" si="8"/>
        <v>294</v>
      </c>
    </row>
    <row r="573" spans="1:5" x14ac:dyDescent="0.35">
      <c r="A573" s="24">
        <v>37196</v>
      </c>
      <c r="B573" s="24">
        <v>37196</v>
      </c>
      <c r="C573" s="23">
        <v>2.09</v>
      </c>
      <c r="D573">
        <v>1</v>
      </c>
      <c r="E573">
        <f t="shared" si="8"/>
        <v>293</v>
      </c>
    </row>
    <row r="574" spans="1:5" x14ac:dyDescent="0.35">
      <c r="A574" s="24">
        <v>37226</v>
      </c>
      <c r="B574" s="24">
        <v>37226</v>
      </c>
      <c r="C574" s="23">
        <v>1.82</v>
      </c>
      <c r="D574">
        <v>0</v>
      </c>
      <c r="E574">
        <f t="shared" si="8"/>
        <v>292</v>
      </c>
    </row>
    <row r="575" spans="1:5" x14ac:dyDescent="0.35">
      <c r="A575" s="24">
        <v>37257</v>
      </c>
      <c r="B575" s="24">
        <v>37257</v>
      </c>
      <c r="C575" s="23">
        <v>1.73</v>
      </c>
      <c r="D575">
        <v>0</v>
      </c>
      <c r="E575">
        <f t="shared" si="8"/>
        <v>291</v>
      </c>
    </row>
    <row r="576" spans="1:5" x14ac:dyDescent="0.35">
      <c r="A576" s="24">
        <v>37288</v>
      </c>
      <c r="B576" s="24">
        <v>37288</v>
      </c>
      <c r="C576" s="23">
        <v>1.74</v>
      </c>
      <c r="D576">
        <v>0</v>
      </c>
      <c r="E576">
        <f t="shared" si="8"/>
        <v>290</v>
      </c>
    </row>
    <row r="577" spans="1:5" x14ac:dyDescent="0.35">
      <c r="A577" s="24">
        <v>37316</v>
      </c>
      <c r="B577" s="24">
        <v>37316</v>
      </c>
      <c r="C577" s="23">
        <v>1.73</v>
      </c>
      <c r="D577">
        <v>1</v>
      </c>
      <c r="E577">
        <f t="shared" si="8"/>
        <v>289</v>
      </c>
    </row>
    <row r="578" spans="1:5" x14ac:dyDescent="0.35">
      <c r="A578" s="24">
        <v>37347</v>
      </c>
      <c r="B578" s="24">
        <v>37347</v>
      </c>
      <c r="C578" s="23">
        <v>1.75</v>
      </c>
      <c r="D578">
        <v>0</v>
      </c>
      <c r="E578">
        <f t="shared" si="8"/>
        <v>288</v>
      </c>
    </row>
    <row r="579" spans="1:5" x14ac:dyDescent="0.35">
      <c r="A579" s="24">
        <v>37377</v>
      </c>
      <c r="B579" s="24">
        <v>37377</v>
      </c>
      <c r="C579" s="23">
        <v>1.75</v>
      </c>
      <c r="D579">
        <v>0</v>
      </c>
      <c r="E579">
        <f t="shared" si="8"/>
        <v>287</v>
      </c>
    </row>
    <row r="580" spans="1:5" x14ac:dyDescent="0.35">
      <c r="A580" s="24">
        <v>37408</v>
      </c>
      <c r="B580" s="24">
        <v>37408</v>
      </c>
      <c r="C580" s="23">
        <v>1.75</v>
      </c>
      <c r="D580">
        <v>0</v>
      </c>
      <c r="E580">
        <f t="shared" si="8"/>
        <v>286</v>
      </c>
    </row>
    <row r="581" spans="1:5" x14ac:dyDescent="0.35">
      <c r="A581" s="24">
        <v>37438</v>
      </c>
      <c r="B581" s="24">
        <v>37438</v>
      </c>
      <c r="C581" s="23">
        <v>1.73</v>
      </c>
      <c r="D581">
        <v>1</v>
      </c>
      <c r="E581">
        <f t="shared" ref="E581:E644" si="9">E582+1</f>
        <v>285</v>
      </c>
    </row>
    <row r="582" spans="1:5" x14ac:dyDescent="0.35">
      <c r="A582" s="24">
        <v>37469</v>
      </c>
      <c r="B582" s="24">
        <v>37469</v>
      </c>
      <c r="C582" s="23">
        <v>1.74</v>
      </c>
      <c r="D582">
        <v>0</v>
      </c>
      <c r="E582">
        <f t="shared" si="9"/>
        <v>284</v>
      </c>
    </row>
    <row r="583" spans="1:5" x14ac:dyDescent="0.35">
      <c r="A583" s="24">
        <v>37500</v>
      </c>
      <c r="B583" s="24">
        <v>37500</v>
      </c>
      <c r="C583" s="23">
        <v>1.75</v>
      </c>
      <c r="D583">
        <v>0</v>
      </c>
      <c r="E583">
        <f t="shared" si="9"/>
        <v>283</v>
      </c>
    </row>
    <row r="584" spans="1:5" x14ac:dyDescent="0.35">
      <c r="A584" s="24">
        <v>37530</v>
      </c>
      <c r="B584" s="24">
        <v>37530</v>
      </c>
      <c r="C584" s="23">
        <v>1.75</v>
      </c>
      <c r="D584">
        <v>0</v>
      </c>
      <c r="E584">
        <f t="shared" si="9"/>
        <v>282</v>
      </c>
    </row>
    <row r="585" spans="1:5" x14ac:dyDescent="0.35">
      <c r="A585" s="24">
        <v>37561</v>
      </c>
      <c r="B585" s="24">
        <v>37561</v>
      </c>
      <c r="C585" s="23">
        <v>1.34</v>
      </c>
      <c r="D585">
        <v>1</v>
      </c>
      <c r="E585">
        <f t="shared" si="9"/>
        <v>281</v>
      </c>
    </row>
    <row r="586" spans="1:5" x14ac:dyDescent="0.35">
      <c r="A586" s="24">
        <v>37591</v>
      </c>
      <c r="B586" s="24">
        <v>37591</v>
      </c>
      <c r="C586" s="23">
        <v>1.24</v>
      </c>
      <c r="D586">
        <v>0</v>
      </c>
      <c r="E586">
        <f t="shared" si="9"/>
        <v>280</v>
      </c>
    </row>
    <row r="587" spans="1:5" x14ac:dyDescent="0.35">
      <c r="A587" s="24">
        <v>37622</v>
      </c>
      <c r="B587" s="24">
        <v>37622</v>
      </c>
      <c r="C587" s="23">
        <v>1.24</v>
      </c>
      <c r="D587">
        <v>0</v>
      </c>
      <c r="E587">
        <f t="shared" si="9"/>
        <v>279</v>
      </c>
    </row>
    <row r="588" spans="1:5" x14ac:dyDescent="0.35">
      <c r="A588" s="24">
        <v>37653</v>
      </c>
      <c r="B588" s="24">
        <v>37653</v>
      </c>
      <c r="C588" s="23">
        <v>1.26</v>
      </c>
      <c r="D588">
        <v>0</v>
      </c>
      <c r="E588">
        <f t="shared" si="9"/>
        <v>278</v>
      </c>
    </row>
    <row r="589" spans="1:5" x14ac:dyDescent="0.35">
      <c r="A589" s="24">
        <v>37681</v>
      </c>
      <c r="B589" s="24">
        <v>37681</v>
      </c>
      <c r="C589" s="23">
        <v>1.25</v>
      </c>
      <c r="D589">
        <v>1</v>
      </c>
      <c r="E589">
        <f t="shared" si="9"/>
        <v>277</v>
      </c>
    </row>
    <row r="590" spans="1:5" x14ac:dyDescent="0.35">
      <c r="A590" s="24">
        <v>37712</v>
      </c>
      <c r="B590" s="24">
        <v>37712</v>
      </c>
      <c r="C590" s="23">
        <v>1.26</v>
      </c>
      <c r="D590">
        <v>0</v>
      </c>
      <c r="E590">
        <f t="shared" si="9"/>
        <v>276</v>
      </c>
    </row>
    <row r="591" spans="1:5" x14ac:dyDescent="0.35">
      <c r="A591" s="24">
        <v>37742</v>
      </c>
      <c r="B591" s="24">
        <v>37742</v>
      </c>
      <c r="C591" s="23">
        <v>1.26</v>
      </c>
      <c r="D591">
        <v>0</v>
      </c>
      <c r="E591">
        <f t="shared" si="9"/>
        <v>275</v>
      </c>
    </row>
    <row r="592" spans="1:5" x14ac:dyDescent="0.35">
      <c r="A592" s="24">
        <v>37773</v>
      </c>
      <c r="B592" s="24">
        <v>37773</v>
      </c>
      <c r="C592" s="23">
        <v>1.22</v>
      </c>
      <c r="D592">
        <v>0</v>
      </c>
      <c r="E592">
        <f t="shared" si="9"/>
        <v>274</v>
      </c>
    </row>
    <row r="593" spans="1:5" x14ac:dyDescent="0.35">
      <c r="A593" s="24">
        <v>37803</v>
      </c>
      <c r="B593" s="24">
        <v>37803</v>
      </c>
      <c r="C593" s="23">
        <v>1.01</v>
      </c>
      <c r="D593">
        <v>1</v>
      </c>
      <c r="E593">
        <f t="shared" si="9"/>
        <v>273</v>
      </c>
    </row>
    <row r="594" spans="1:5" x14ac:dyDescent="0.35">
      <c r="A594" s="24">
        <v>37834</v>
      </c>
      <c r="B594" s="24">
        <v>37834</v>
      </c>
      <c r="C594" s="23">
        <v>1.03</v>
      </c>
      <c r="D594">
        <v>0</v>
      </c>
      <c r="E594">
        <f t="shared" si="9"/>
        <v>272</v>
      </c>
    </row>
    <row r="595" spans="1:5" x14ac:dyDescent="0.35">
      <c r="A595" s="24">
        <v>37865</v>
      </c>
      <c r="B595" s="24">
        <v>37865</v>
      </c>
      <c r="C595" s="23">
        <v>1.01</v>
      </c>
      <c r="D595">
        <v>0</v>
      </c>
      <c r="E595">
        <f t="shared" si="9"/>
        <v>271</v>
      </c>
    </row>
    <row r="596" spans="1:5" x14ac:dyDescent="0.35">
      <c r="A596" s="24">
        <v>37895</v>
      </c>
      <c r="B596" s="24">
        <v>37895</v>
      </c>
      <c r="C596" s="23">
        <v>1.01</v>
      </c>
      <c r="D596">
        <v>0</v>
      </c>
      <c r="E596">
        <f t="shared" si="9"/>
        <v>270</v>
      </c>
    </row>
    <row r="597" spans="1:5" x14ac:dyDescent="0.35">
      <c r="A597" s="24">
        <v>37926</v>
      </c>
      <c r="B597" s="24">
        <v>37926</v>
      </c>
      <c r="C597" s="23">
        <v>1</v>
      </c>
      <c r="D597">
        <v>1</v>
      </c>
      <c r="E597">
        <f t="shared" si="9"/>
        <v>269</v>
      </c>
    </row>
    <row r="598" spans="1:5" x14ac:dyDescent="0.35">
      <c r="A598" s="24">
        <v>37956</v>
      </c>
      <c r="B598" s="24">
        <v>37956</v>
      </c>
      <c r="C598" s="23">
        <v>0.98</v>
      </c>
      <c r="D598">
        <v>0</v>
      </c>
      <c r="E598">
        <f t="shared" si="9"/>
        <v>268</v>
      </c>
    </row>
    <row r="599" spans="1:5" x14ac:dyDescent="0.35">
      <c r="A599" s="24">
        <v>37987</v>
      </c>
      <c r="B599" s="24">
        <v>37987</v>
      </c>
      <c r="C599" s="23">
        <v>1</v>
      </c>
      <c r="D599">
        <v>0</v>
      </c>
      <c r="E599">
        <f t="shared" si="9"/>
        <v>267</v>
      </c>
    </row>
    <row r="600" spans="1:5" x14ac:dyDescent="0.35">
      <c r="A600" s="24">
        <v>38018</v>
      </c>
      <c r="B600" s="24">
        <v>38018</v>
      </c>
      <c r="C600" s="23">
        <v>1.01</v>
      </c>
      <c r="D600">
        <v>0</v>
      </c>
      <c r="E600">
        <f t="shared" si="9"/>
        <v>266</v>
      </c>
    </row>
    <row r="601" spans="1:5" x14ac:dyDescent="0.35">
      <c r="A601" s="24">
        <v>38047</v>
      </c>
      <c r="B601" s="24">
        <v>38047</v>
      </c>
      <c r="C601" s="23">
        <v>1</v>
      </c>
      <c r="D601">
        <v>1</v>
      </c>
      <c r="E601">
        <f t="shared" si="9"/>
        <v>265</v>
      </c>
    </row>
    <row r="602" spans="1:5" x14ac:dyDescent="0.35">
      <c r="A602" s="24">
        <v>38078</v>
      </c>
      <c r="B602" s="24">
        <v>38078</v>
      </c>
      <c r="C602" s="23">
        <v>1</v>
      </c>
      <c r="D602">
        <v>0</v>
      </c>
      <c r="E602">
        <f t="shared" si="9"/>
        <v>264</v>
      </c>
    </row>
    <row r="603" spans="1:5" x14ac:dyDescent="0.35">
      <c r="A603" s="24">
        <v>38108</v>
      </c>
      <c r="B603" s="24">
        <v>38108</v>
      </c>
      <c r="C603" s="23">
        <v>1</v>
      </c>
      <c r="D603">
        <v>0</v>
      </c>
      <c r="E603">
        <f t="shared" si="9"/>
        <v>263</v>
      </c>
    </row>
    <row r="604" spans="1:5" x14ac:dyDescent="0.35">
      <c r="A604" s="24">
        <v>38139</v>
      </c>
      <c r="B604" s="24">
        <v>38139</v>
      </c>
      <c r="C604" s="23">
        <v>1.03</v>
      </c>
      <c r="D604">
        <v>0</v>
      </c>
      <c r="E604">
        <f t="shared" si="9"/>
        <v>262</v>
      </c>
    </row>
    <row r="605" spans="1:5" x14ac:dyDescent="0.35">
      <c r="A605" s="24">
        <v>38169</v>
      </c>
      <c r="B605" s="24">
        <v>38169</v>
      </c>
      <c r="C605" s="23">
        <v>1.26</v>
      </c>
      <c r="D605">
        <v>1</v>
      </c>
      <c r="E605">
        <f t="shared" si="9"/>
        <v>261</v>
      </c>
    </row>
    <row r="606" spans="1:5" x14ac:dyDescent="0.35">
      <c r="A606" s="24">
        <v>38200</v>
      </c>
      <c r="B606" s="24">
        <v>38200</v>
      </c>
      <c r="C606" s="23">
        <v>1.43</v>
      </c>
      <c r="D606">
        <v>0</v>
      </c>
      <c r="E606">
        <f t="shared" si="9"/>
        <v>260</v>
      </c>
    </row>
    <row r="607" spans="1:5" x14ac:dyDescent="0.35">
      <c r="A607" s="24">
        <v>38231</v>
      </c>
      <c r="B607" s="24">
        <v>38231</v>
      </c>
      <c r="C607" s="23">
        <v>1.61</v>
      </c>
      <c r="D607">
        <v>0</v>
      </c>
      <c r="E607">
        <f t="shared" si="9"/>
        <v>259</v>
      </c>
    </row>
    <row r="608" spans="1:5" x14ac:dyDescent="0.35">
      <c r="A608" s="24">
        <v>38261</v>
      </c>
      <c r="B608" s="24">
        <v>38261</v>
      </c>
      <c r="C608" s="23">
        <v>1.76</v>
      </c>
      <c r="D608">
        <v>0</v>
      </c>
      <c r="E608">
        <f t="shared" si="9"/>
        <v>258</v>
      </c>
    </row>
    <row r="609" spans="1:5" x14ac:dyDescent="0.35">
      <c r="A609" s="24">
        <v>38292</v>
      </c>
      <c r="B609" s="24">
        <v>38292</v>
      </c>
      <c r="C609" s="23">
        <v>1.93</v>
      </c>
      <c r="D609">
        <v>1</v>
      </c>
      <c r="E609">
        <f t="shared" si="9"/>
        <v>257</v>
      </c>
    </row>
    <row r="610" spans="1:5" x14ac:dyDescent="0.35">
      <c r="A610" s="24">
        <v>38322</v>
      </c>
      <c r="B610" s="24">
        <v>38322</v>
      </c>
      <c r="C610" s="23">
        <v>2.16</v>
      </c>
      <c r="D610">
        <v>0</v>
      </c>
      <c r="E610">
        <f t="shared" si="9"/>
        <v>256</v>
      </c>
    </row>
    <row r="611" spans="1:5" x14ac:dyDescent="0.35">
      <c r="A611" s="24">
        <v>38353</v>
      </c>
      <c r="B611" s="24">
        <v>38353</v>
      </c>
      <c r="C611" s="23">
        <v>2.2799999999999998</v>
      </c>
      <c r="D611">
        <v>0</v>
      </c>
      <c r="E611">
        <f t="shared" si="9"/>
        <v>255</v>
      </c>
    </row>
    <row r="612" spans="1:5" x14ac:dyDescent="0.35">
      <c r="A612" s="24">
        <v>38384</v>
      </c>
      <c r="B612" s="24">
        <v>38384</v>
      </c>
      <c r="C612" s="23">
        <v>2.5</v>
      </c>
      <c r="D612">
        <v>0</v>
      </c>
      <c r="E612">
        <f t="shared" si="9"/>
        <v>254</v>
      </c>
    </row>
    <row r="613" spans="1:5" x14ac:dyDescent="0.35">
      <c r="A613" s="24">
        <v>38412</v>
      </c>
      <c r="B613" s="24">
        <v>38412</v>
      </c>
      <c r="C613" s="23">
        <v>2.63</v>
      </c>
      <c r="D613">
        <v>1</v>
      </c>
      <c r="E613">
        <f t="shared" si="9"/>
        <v>253</v>
      </c>
    </row>
    <row r="614" spans="1:5" x14ac:dyDescent="0.35">
      <c r="A614" s="24">
        <v>38443</v>
      </c>
      <c r="B614" s="24">
        <v>38443</v>
      </c>
      <c r="C614" s="23">
        <v>2.79</v>
      </c>
      <c r="D614">
        <v>0</v>
      </c>
      <c r="E614">
        <f t="shared" si="9"/>
        <v>252</v>
      </c>
    </row>
    <row r="615" spans="1:5" x14ac:dyDescent="0.35">
      <c r="A615" s="24">
        <v>38473</v>
      </c>
      <c r="B615" s="24">
        <v>38473</v>
      </c>
      <c r="C615" s="23">
        <v>3</v>
      </c>
      <c r="D615">
        <v>0</v>
      </c>
      <c r="E615">
        <f t="shared" si="9"/>
        <v>251</v>
      </c>
    </row>
    <row r="616" spans="1:5" x14ac:dyDescent="0.35">
      <c r="A616" s="24">
        <v>38504</v>
      </c>
      <c r="B616" s="24">
        <v>38504</v>
      </c>
      <c r="C616" s="23">
        <v>3.04</v>
      </c>
      <c r="D616">
        <v>0</v>
      </c>
      <c r="E616">
        <f t="shared" si="9"/>
        <v>250</v>
      </c>
    </row>
    <row r="617" spans="1:5" x14ac:dyDescent="0.35">
      <c r="A617" s="24">
        <v>38534</v>
      </c>
      <c r="B617" s="24">
        <v>38534</v>
      </c>
      <c r="C617" s="23">
        <v>3.26</v>
      </c>
      <c r="D617">
        <v>1</v>
      </c>
      <c r="E617">
        <f t="shared" si="9"/>
        <v>249</v>
      </c>
    </row>
    <row r="618" spans="1:5" x14ac:dyDescent="0.35">
      <c r="A618" s="24">
        <v>38565</v>
      </c>
      <c r="B618" s="24">
        <v>38565</v>
      </c>
      <c r="C618" s="23">
        <v>3.5</v>
      </c>
      <c r="D618">
        <v>0</v>
      </c>
      <c r="E618">
        <f t="shared" si="9"/>
        <v>248</v>
      </c>
    </row>
    <row r="619" spans="1:5" x14ac:dyDescent="0.35">
      <c r="A619" s="24">
        <v>38596</v>
      </c>
      <c r="B619" s="24">
        <v>38596</v>
      </c>
      <c r="C619" s="23">
        <v>3.62</v>
      </c>
      <c r="D619">
        <v>0</v>
      </c>
      <c r="E619">
        <f t="shared" si="9"/>
        <v>247</v>
      </c>
    </row>
    <row r="620" spans="1:5" x14ac:dyDescent="0.35">
      <c r="A620" s="24">
        <v>38626</v>
      </c>
      <c r="B620" s="24">
        <v>38626</v>
      </c>
      <c r="C620" s="23">
        <v>3.78</v>
      </c>
      <c r="D620">
        <v>0</v>
      </c>
      <c r="E620">
        <f t="shared" si="9"/>
        <v>246</v>
      </c>
    </row>
    <row r="621" spans="1:5" x14ac:dyDescent="0.35">
      <c r="A621" s="24">
        <v>38657</v>
      </c>
      <c r="B621" s="24">
        <v>38657</v>
      </c>
      <c r="C621" s="23">
        <v>4</v>
      </c>
      <c r="D621">
        <v>1</v>
      </c>
      <c r="E621">
        <f t="shared" si="9"/>
        <v>245</v>
      </c>
    </row>
    <row r="622" spans="1:5" x14ac:dyDescent="0.35">
      <c r="A622" s="24">
        <v>38687</v>
      </c>
      <c r="B622" s="24">
        <v>38687</v>
      </c>
      <c r="C622" s="23">
        <v>4.16</v>
      </c>
      <c r="D622">
        <v>0</v>
      </c>
      <c r="E622">
        <f t="shared" si="9"/>
        <v>244</v>
      </c>
    </row>
    <row r="623" spans="1:5" x14ac:dyDescent="0.35">
      <c r="A623" s="24">
        <v>38718</v>
      </c>
      <c r="B623" s="24">
        <v>38718</v>
      </c>
      <c r="C623" s="23">
        <v>4.29</v>
      </c>
      <c r="D623">
        <v>0</v>
      </c>
      <c r="E623">
        <f t="shared" si="9"/>
        <v>243</v>
      </c>
    </row>
    <row r="624" spans="1:5" x14ac:dyDescent="0.35">
      <c r="A624" s="24">
        <v>38749</v>
      </c>
      <c r="B624" s="24">
        <v>38749</v>
      </c>
      <c r="C624" s="23">
        <v>4.49</v>
      </c>
      <c r="D624">
        <v>0</v>
      </c>
      <c r="E624">
        <f t="shared" si="9"/>
        <v>242</v>
      </c>
    </row>
    <row r="625" spans="1:5" x14ac:dyDescent="0.35">
      <c r="A625" s="24">
        <v>38777</v>
      </c>
      <c r="B625" s="24">
        <v>38777</v>
      </c>
      <c r="C625" s="23">
        <v>4.59</v>
      </c>
      <c r="D625">
        <v>1</v>
      </c>
      <c r="E625">
        <f t="shared" si="9"/>
        <v>241</v>
      </c>
    </row>
    <row r="626" spans="1:5" x14ac:dyDescent="0.35">
      <c r="A626" s="24">
        <v>38808</v>
      </c>
      <c r="B626" s="24">
        <v>38808</v>
      </c>
      <c r="C626" s="23">
        <v>4.79</v>
      </c>
      <c r="D626">
        <v>0</v>
      </c>
      <c r="E626">
        <f t="shared" si="9"/>
        <v>240</v>
      </c>
    </row>
    <row r="627" spans="1:5" x14ac:dyDescent="0.35">
      <c r="A627" s="24">
        <v>38838</v>
      </c>
      <c r="B627" s="24">
        <v>38838</v>
      </c>
      <c r="C627" s="23">
        <v>4.9400000000000004</v>
      </c>
      <c r="D627">
        <v>0</v>
      </c>
      <c r="E627">
        <f t="shared" si="9"/>
        <v>239</v>
      </c>
    </row>
    <row r="628" spans="1:5" x14ac:dyDescent="0.35">
      <c r="A628" s="24">
        <v>38869</v>
      </c>
      <c r="B628" s="24">
        <v>38869</v>
      </c>
      <c r="C628" s="23">
        <v>4.99</v>
      </c>
      <c r="D628">
        <v>0</v>
      </c>
      <c r="E628">
        <f t="shared" si="9"/>
        <v>238</v>
      </c>
    </row>
    <row r="629" spans="1:5" x14ac:dyDescent="0.35">
      <c r="A629" s="24">
        <v>38899</v>
      </c>
      <c r="B629" s="24">
        <v>38899</v>
      </c>
      <c r="C629" s="23">
        <v>5.24</v>
      </c>
      <c r="D629">
        <v>1</v>
      </c>
      <c r="E629">
        <f t="shared" si="9"/>
        <v>237</v>
      </c>
    </row>
    <row r="630" spans="1:5" x14ac:dyDescent="0.35">
      <c r="A630" s="24">
        <v>38930</v>
      </c>
      <c r="B630" s="24">
        <v>38930</v>
      </c>
      <c r="C630" s="23">
        <v>5.25</v>
      </c>
      <c r="D630">
        <v>0</v>
      </c>
      <c r="E630">
        <f t="shared" si="9"/>
        <v>236</v>
      </c>
    </row>
    <row r="631" spans="1:5" x14ac:dyDescent="0.35">
      <c r="A631" s="24">
        <v>38961</v>
      </c>
      <c r="B631" s="24">
        <v>38961</v>
      </c>
      <c r="C631" s="23">
        <v>5.25</v>
      </c>
      <c r="D631">
        <v>0</v>
      </c>
      <c r="E631">
        <f t="shared" si="9"/>
        <v>235</v>
      </c>
    </row>
    <row r="632" spans="1:5" x14ac:dyDescent="0.35">
      <c r="A632" s="24">
        <v>38991</v>
      </c>
      <c r="B632" s="24">
        <v>38991</v>
      </c>
      <c r="C632" s="23">
        <v>5.25</v>
      </c>
      <c r="D632">
        <v>0</v>
      </c>
      <c r="E632">
        <f t="shared" si="9"/>
        <v>234</v>
      </c>
    </row>
    <row r="633" spans="1:5" x14ac:dyDescent="0.35">
      <c r="A633" s="24">
        <v>39022</v>
      </c>
      <c r="B633" s="24">
        <v>39022</v>
      </c>
      <c r="C633" s="23">
        <v>5.25</v>
      </c>
      <c r="D633">
        <v>1</v>
      </c>
      <c r="E633">
        <f t="shared" si="9"/>
        <v>233</v>
      </c>
    </row>
    <row r="634" spans="1:5" x14ac:dyDescent="0.35">
      <c r="A634" s="24">
        <v>39052</v>
      </c>
      <c r="B634" s="24">
        <v>39052</v>
      </c>
      <c r="C634" s="23">
        <v>5.24</v>
      </c>
      <c r="D634">
        <v>0</v>
      </c>
      <c r="E634">
        <f t="shared" si="9"/>
        <v>232</v>
      </c>
    </row>
    <row r="635" spans="1:5" x14ac:dyDescent="0.35">
      <c r="A635" s="24">
        <v>39083</v>
      </c>
      <c r="B635" s="24">
        <v>39083</v>
      </c>
      <c r="C635" s="23">
        <v>5.25</v>
      </c>
      <c r="D635">
        <v>0</v>
      </c>
      <c r="E635">
        <f t="shared" si="9"/>
        <v>231</v>
      </c>
    </row>
    <row r="636" spans="1:5" x14ac:dyDescent="0.35">
      <c r="A636" s="24">
        <v>39114</v>
      </c>
      <c r="B636" s="24">
        <v>39114</v>
      </c>
      <c r="C636" s="23">
        <v>5.26</v>
      </c>
      <c r="D636">
        <v>0</v>
      </c>
      <c r="E636">
        <f t="shared" si="9"/>
        <v>230</v>
      </c>
    </row>
    <row r="637" spans="1:5" x14ac:dyDescent="0.35">
      <c r="A637" s="24">
        <v>39142</v>
      </c>
      <c r="B637" s="24">
        <v>39142</v>
      </c>
      <c r="C637" s="23">
        <v>5.26</v>
      </c>
      <c r="D637">
        <v>1</v>
      </c>
      <c r="E637">
        <f t="shared" si="9"/>
        <v>229</v>
      </c>
    </row>
    <row r="638" spans="1:5" x14ac:dyDescent="0.35">
      <c r="A638" s="24">
        <v>39173</v>
      </c>
      <c r="B638" s="24">
        <v>39173</v>
      </c>
      <c r="C638" s="23">
        <v>5.25</v>
      </c>
      <c r="D638">
        <v>0</v>
      </c>
      <c r="E638">
        <f t="shared" si="9"/>
        <v>228</v>
      </c>
    </row>
    <row r="639" spans="1:5" x14ac:dyDescent="0.35">
      <c r="A639" s="24">
        <v>39203</v>
      </c>
      <c r="B639" s="24">
        <v>39203</v>
      </c>
      <c r="C639" s="23">
        <v>5.25</v>
      </c>
      <c r="D639">
        <v>0</v>
      </c>
      <c r="E639">
        <f t="shared" si="9"/>
        <v>227</v>
      </c>
    </row>
    <row r="640" spans="1:5" x14ac:dyDescent="0.35">
      <c r="A640" s="24">
        <v>39234</v>
      </c>
      <c r="B640" s="24">
        <v>39234</v>
      </c>
      <c r="C640" s="23">
        <v>5.25</v>
      </c>
      <c r="D640">
        <v>0</v>
      </c>
      <c r="E640">
        <f t="shared" si="9"/>
        <v>226</v>
      </c>
    </row>
    <row r="641" spans="1:5" x14ac:dyDescent="0.35">
      <c r="A641" s="24">
        <v>39264</v>
      </c>
      <c r="B641" s="24">
        <v>39264</v>
      </c>
      <c r="C641" s="23">
        <v>5.26</v>
      </c>
      <c r="D641">
        <v>1</v>
      </c>
      <c r="E641">
        <f t="shared" si="9"/>
        <v>225</v>
      </c>
    </row>
    <row r="642" spans="1:5" x14ac:dyDescent="0.35">
      <c r="A642" s="24">
        <v>39295</v>
      </c>
      <c r="B642" s="24">
        <v>39295</v>
      </c>
      <c r="C642" s="23">
        <v>5.0199999999999996</v>
      </c>
      <c r="D642">
        <v>0</v>
      </c>
      <c r="E642">
        <f t="shared" si="9"/>
        <v>224</v>
      </c>
    </row>
    <row r="643" spans="1:5" x14ac:dyDescent="0.35">
      <c r="A643" s="24">
        <v>39326</v>
      </c>
      <c r="B643" s="24">
        <v>39326</v>
      </c>
      <c r="C643" s="23">
        <v>4.9400000000000004</v>
      </c>
      <c r="D643">
        <v>0</v>
      </c>
      <c r="E643">
        <f t="shared" si="9"/>
        <v>223</v>
      </c>
    </row>
    <row r="644" spans="1:5" x14ac:dyDescent="0.35">
      <c r="A644" s="24">
        <v>39356</v>
      </c>
      <c r="B644" s="24">
        <v>39356</v>
      </c>
      <c r="C644" s="23">
        <v>4.76</v>
      </c>
      <c r="D644">
        <v>0</v>
      </c>
      <c r="E644">
        <f t="shared" si="9"/>
        <v>222</v>
      </c>
    </row>
    <row r="645" spans="1:5" x14ac:dyDescent="0.35">
      <c r="A645" s="24">
        <v>39387</v>
      </c>
      <c r="B645" s="24">
        <v>39387</v>
      </c>
      <c r="C645" s="23">
        <v>4.49</v>
      </c>
      <c r="D645">
        <v>1</v>
      </c>
      <c r="E645">
        <f t="shared" ref="E645:E708" si="10">E646+1</f>
        <v>221</v>
      </c>
    </row>
    <row r="646" spans="1:5" x14ac:dyDescent="0.35">
      <c r="A646" s="24">
        <v>39417</v>
      </c>
      <c r="B646" s="24">
        <v>39417</v>
      </c>
      <c r="C646" s="23">
        <v>4.24</v>
      </c>
      <c r="D646">
        <v>0</v>
      </c>
      <c r="E646">
        <f t="shared" si="10"/>
        <v>220</v>
      </c>
    </row>
    <row r="647" spans="1:5" x14ac:dyDescent="0.35">
      <c r="A647" s="24">
        <v>39448</v>
      </c>
      <c r="B647" s="24">
        <v>39448</v>
      </c>
      <c r="C647" s="23">
        <v>3.94</v>
      </c>
      <c r="D647">
        <v>0</v>
      </c>
      <c r="E647">
        <f t="shared" si="10"/>
        <v>219</v>
      </c>
    </row>
    <row r="648" spans="1:5" x14ac:dyDescent="0.35">
      <c r="A648" s="24">
        <v>39479</v>
      </c>
      <c r="B648" s="24">
        <v>39479</v>
      </c>
      <c r="C648" s="23">
        <v>2.98</v>
      </c>
      <c r="D648">
        <v>0</v>
      </c>
      <c r="E648">
        <f t="shared" si="10"/>
        <v>218</v>
      </c>
    </row>
    <row r="649" spans="1:5" x14ac:dyDescent="0.35">
      <c r="A649" s="24">
        <v>39508</v>
      </c>
      <c r="B649" s="24">
        <v>39508</v>
      </c>
      <c r="C649" s="23">
        <v>2.61</v>
      </c>
      <c r="D649">
        <v>1</v>
      </c>
      <c r="E649">
        <f t="shared" si="10"/>
        <v>217</v>
      </c>
    </row>
    <row r="650" spans="1:5" x14ac:dyDescent="0.35">
      <c r="A650" s="24">
        <v>39539</v>
      </c>
      <c r="B650" s="24">
        <v>39539</v>
      </c>
      <c r="C650" s="23">
        <v>2.2799999999999998</v>
      </c>
      <c r="D650">
        <v>0</v>
      </c>
      <c r="E650">
        <f t="shared" si="10"/>
        <v>216</v>
      </c>
    </row>
    <row r="651" spans="1:5" x14ac:dyDescent="0.35">
      <c r="A651" s="24">
        <v>39569</v>
      </c>
      <c r="B651" s="24">
        <v>39569</v>
      </c>
      <c r="C651" s="23">
        <v>1.98</v>
      </c>
      <c r="D651">
        <v>0</v>
      </c>
      <c r="E651">
        <f t="shared" si="10"/>
        <v>215</v>
      </c>
    </row>
    <row r="652" spans="1:5" x14ac:dyDescent="0.35">
      <c r="A652" s="24">
        <v>39600</v>
      </c>
      <c r="B652" s="24">
        <v>39600</v>
      </c>
      <c r="C652" s="23">
        <v>2</v>
      </c>
      <c r="D652">
        <v>0</v>
      </c>
      <c r="E652">
        <f t="shared" si="10"/>
        <v>214</v>
      </c>
    </row>
    <row r="653" spans="1:5" x14ac:dyDescent="0.35">
      <c r="A653" s="24">
        <v>39630</v>
      </c>
      <c r="B653" s="24">
        <v>39630</v>
      </c>
      <c r="C653" s="23">
        <v>2.0099999999999998</v>
      </c>
      <c r="D653">
        <v>1</v>
      </c>
      <c r="E653">
        <f t="shared" si="10"/>
        <v>213</v>
      </c>
    </row>
    <row r="654" spans="1:5" x14ac:dyDescent="0.35">
      <c r="A654" s="24">
        <v>39661</v>
      </c>
      <c r="B654" s="24">
        <v>39661</v>
      </c>
      <c r="C654" s="23">
        <v>2</v>
      </c>
      <c r="D654">
        <v>0</v>
      </c>
      <c r="E654">
        <f t="shared" si="10"/>
        <v>212</v>
      </c>
    </row>
    <row r="655" spans="1:5" x14ac:dyDescent="0.35">
      <c r="A655" s="24">
        <v>39692</v>
      </c>
      <c r="B655" s="24">
        <v>39692</v>
      </c>
      <c r="C655" s="23">
        <v>1.81</v>
      </c>
      <c r="D655">
        <v>0</v>
      </c>
      <c r="E655">
        <f t="shared" si="10"/>
        <v>211</v>
      </c>
    </row>
    <row r="656" spans="1:5" x14ac:dyDescent="0.35">
      <c r="A656" s="24">
        <v>39722</v>
      </c>
      <c r="B656" s="24">
        <v>39722</v>
      </c>
      <c r="C656" s="23">
        <v>0.97</v>
      </c>
      <c r="D656">
        <v>0</v>
      </c>
      <c r="E656">
        <f t="shared" si="10"/>
        <v>210</v>
      </c>
    </row>
    <row r="657" spans="1:5" x14ac:dyDescent="0.35">
      <c r="A657" s="24">
        <v>39753</v>
      </c>
      <c r="B657" s="24">
        <v>39753</v>
      </c>
      <c r="C657" s="23">
        <v>0.39</v>
      </c>
      <c r="D657">
        <v>1</v>
      </c>
      <c r="E657">
        <f t="shared" si="10"/>
        <v>209</v>
      </c>
    </row>
    <row r="658" spans="1:5" x14ac:dyDescent="0.35">
      <c r="A658" s="24">
        <v>39783</v>
      </c>
      <c r="B658" s="24">
        <v>39783</v>
      </c>
      <c r="C658" s="23">
        <v>0.16</v>
      </c>
      <c r="D658">
        <v>0</v>
      </c>
      <c r="E658">
        <f t="shared" si="10"/>
        <v>208</v>
      </c>
    </row>
    <row r="659" spans="1:5" x14ac:dyDescent="0.35">
      <c r="A659" s="24">
        <v>39814</v>
      </c>
      <c r="B659" s="24">
        <v>39814</v>
      </c>
      <c r="C659" s="23">
        <v>0.15</v>
      </c>
      <c r="D659">
        <v>0</v>
      </c>
      <c r="E659">
        <f t="shared" si="10"/>
        <v>207</v>
      </c>
    </row>
    <row r="660" spans="1:5" x14ac:dyDescent="0.35">
      <c r="A660" s="24">
        <v>39845</v>
      </c>
      <c r="B660" s="24">
        <v>39845</v>
      </c>
      <c r="C660" s="23">
        <v>0.22</v>
      </c>
      <c r="D660">
        <v>0</v>
      </c>
      <c r="E660">
        <f t="shared" si="10"/>
        <v>206</v>
      </c>
    </row>
    <row r="661" spans="1:5" x14ac:dyDescent="0.35">
      <c r="A661" s="24">
        <v>39873</v>
      </c>
      <c r="B661" s="24">
        <v>39873</v>
      </c>
      <c r="C661" s="23">
        <v>0.18</v>
      </c>
      <c r="D661">
        <v>1</v>
      </c>
      <c r="E661">
        <f t="shared" si="10"/>
        <v>205</v>
      </c>
    </row>
    <row r="662" spans="1:5" x14ac:dyDescent="0.35">
      <c r="A662" s="24">
        <v>39904</v>
      </c>
      <c r="B662" s="24">
        <v>39904</v>
      </c>
      <c r="C662" s="23">
        <v>0.15</v>
      </c>
      <c r="D662">
        <v>0</v>
      </c>
      <c r="E662">
        <f t="shared" si="10"/>
        <v>204</v>
      </c>
    </row>
    <row r="663" spans="1:5" x14ac:dyDescent="0.35">
      <c r="A663" s="24">
        <v>39934</v>
      </c>
      <c r="B663" s="24">
        <v>39934</v>
      </c>
      <c r="C663" s="23">
        <v>0.18</v>
      </c>
      <c r="D663">
        <v>0</v>
      </c>
      <c r="E663">
        <f t="shared" si="10"/>
        <v>203</v>
      </c>
    </row>
    <row r="664" spans="1:5" x14ac:dyDescent="0.35">
      <c r="A664" s="24">
        <v>39965</v>
      </c>
      <c r="B664" s="24">
        <v>39965</v>
      </c>
      <c r="C664" s="23">
        <v>0.21</v>
      </c>
      <c r="D664">
        <v>0</v>
      </c>
      <c r="E664">
        <f t="shared" si="10"/>
        <v>202</v>
      </c>
    </row>
    <row r="665" spans="1:5" x14ac:dyDescent="0.35">
      <c r="A665" s="24">
        <v>39995</v>
      </c>
      <c r="B665" s="24">
        <v>39995</v>
      </c>
      <c r="C665" s="23">
        <v>0.16</v>
      </c>
      <c r="D665">
        <v>1</v>
      </c>
      <c r="E665">
        <f t="shared" si="10"/>
        <v>201</v>
      </c>
    </row>
    <row r="666" spans="1:5" x14ac:dyDescent="0.35">
      <c r="A666" s="24">
        <v>40026</v>
      </c>
      <c r="B666" s="24">
        <v>40026</v>
      </c>
      <c r="C666" s="23">
        <v>0.16</v>
      </c>
      <c r="D666">
        <v>0</v>
      </c>
      <c r="E666">
        <f t="shared" si="10"/>
        <v>200</v>
      </c>
    </row>
    <row r="667" spans="1:5" x14ac:dyDescent="0.35">
      <c r="A667" s="24">
        <v>40057</v>
      </c>
      <c r="B667" s="24">
        <v>40057</v>
      </c>
      <c r="C667" s="23">
        <v>0.15</v>
      </c>
      <c r="D667">
        <v>0</v>
      </c>
      <c r="E667">
        <f t="shared" si="10"/>
        <v>199</v>
      </c>
    </row>
    <row r="668" spans="1:5" x14ac:dyDescent="0.35">
      <c r="A668" s="24">
        <v>40087</v>
      </c>
      <c r="B668" s="24">
        <v>40087</v>
      </c>
      <c r="C668" s="23">
        <v>0.12</v>
      </c>
      <c r="D668">
        <v>0</v>
      </c>
      <c r="E668">
        <f t="shared" si="10"/>
        <v>198</v>
      </c>
    </row>
    <row r="669" spans="1:5" x14ac:dyDescent="0.35">
      <c r="A669" s="24">
        <v>40118</v>
      </c>
      <c r="B669" s="24">
        <v>40118</v>
      </c>
      <c r="C669" s="23">
        <v>0.12</v>
      </c>
      <c r="D669">
        <v>1</v>
      </c>
      <c r="E669">
        <f t="shared" si="10"/>
        <v>197</v>
      </c>
    </row>
    <row r="670" spans="1:5" x14ac:dyDescent="0.35">
      <c r="A670" s="24">
        <v>40148</v>
      </c>
      <c r="B670" s="24">
        <v>40148</v>
      </c>
      <c r="C670" s="23">
        <v>0.12</v>
      </c>
      <c r="D670">
        <v>0</v>
      </c>
      <c r="E670">
        <f t="shared" si="10"/>
        <v>196</v>
      </c>
    </row>
    <row r="671" spans="1:5" x14ac:dyDescent="0.35">
      <c r="A671" s="24">
        <v>40179</v>
      </c>
      <c r="B671" s="24">
        <v>40179</v>
      </c>
      <c r="C671" s="23">
        <v>0.11</v>
      </c>
      <c r="D671">
        <v>0</v>
      </c>
      <c r="E671">
        <f t="shared" si="10"/>
        <v>195</v>
      </c>
    </row>
    <row r="672" spans="1:5" x14ac:dyDescent="0.35">
      <c r="A672" s="24">
        <v>40210</v>
      </c>
      <c r="B672" s="24">
        <v>40210</v>
      </c>
      <c r="C672" s="23">
        <v>0.13</v>
      </c>
      <c r="D672">
        <v>0</v>
      </c>
      <c r="E672">
        <f t="shared" si="10"/>
        <v>194</v>
      </c>
    </row>
    <row r="673" spans="1:5" x14ac:dyDescent="0.35">
      <c r="A673" s="24">
        <v>40238</v>
      </c>
      <c r="B673" s="24">
        <v>40238</v>
      </c>
      <c r="C673" s="23">
        <v>0.16</v>
      </c>
      <c r="D673">
        <v>1</v>
      </c>
      <c r="E673">
        <f t="shared" si="10"/>
        <v>193</v>
      </c>
    </row>
    <row r="674" spans="1:5" x14ac:dyDescent="0.35">
      <c r="A674" s="24">
        <v>40269</v>
      </c>
      <c r="B674" s="24">
        <v>40269</v>
      </c>
      <c r="C674" s="23">
        <v>0.2</v>
      </c>
      <c r="D674">
        <v>0</v>
      </c>
      <c r="E674">
        <f t="shared" si="10"/>
        <v>192</v>
      </c>
    </row>
    <row r="675" spans="1:5" x14ac:dyDescent="0.35">
      <c r="A675" s="24">
        <v>40299</v>
      </c>
      <c r="B675" s="24">
        <v>40299</v>
      </c>
      <c r="C675" s="23">
        <v>0.2</v>
      </c>
      <c r="D675">
        <v>0</v>
      </c>
      <c r="E675">
        <f t="shared" si="10"/>
        <v>191</v>
      </c>
    </row>
    <row r="676" spans="1:5" x14ac:dyDescent="0.35">
      <c r="A676" s="24">
        <v>40330</v>
      </c>
      <c r="B676" s="24">
        <v>40330</v>
      </c>
      <c r="C676" s="23">
        <v>0.18</v>
      </c>
      <c r="D676">
        <v>0</v>
      </c>
      <c r="E676">
        <f t="shared" si="10"/>
        <v>190</v>
      </c>
    </row>
    <row r="677" spans="1:5" x14ac:dyDescent="0.35">
      <c r="A677" s="24">
        <v>40360</v>
      </c>
      <c r="B677" s="24">
        <v>40360</v>
      </c>
      <c r="C677" s="23">
        <v>0.18</v>
      </c>
      <c r="D677">
        <v>1</v>
      </c>
      <c r="E677">
        <f t="shared" si="10"/>
        <v>189</v>
      </c>
    </row>
    <row r="678" spans="1:5" x14ac:dyDescent="0.35">
      <c r="A678" s="24">
        <v>40391</v>
      </c>
      <c r="B678" s="24">
        <v>40391</v>
      </c>
      <c r="C678" s="23">
        <v>0.19</v>
      </c>
      <c r="D678">
        <v>0</v>
      </c>
      <c r="E678">
        <f t="shared" si="10"/>
        <v>188</v>
      </c>
    </row>
    <row r="679" spans="1:5" x14ac:dyDescent="0.35">
      <c r="A679" s="24">
        <v>40422</v>
      </c>
      <c r="B679" s="24">
        <v>40422</v>
      </c>
      <c r="C679" s="23">
        <v>0.19</v>
      </c>
      <c r="D679">
        <v>0</v>
      </c>
      <c r="E679">
        <f t="shared" si="10"/>
        <v>187</v>
      </c>
    </row>
    <row r="680" spans="1:5" x14ac:dyDescent="0.35">
      <c r="A680" s="24">
        <v>40452</v>
      </c>
      <c r="B680" s="24">
        <v>40452</v>
      </c>
      <c r="C680" s="23">
        <v>0.19</v>
      </c>
      <c r="D680">
        <v>0</v>
      </c>
      <c r="E680">
        <f t="shared" si="10"/>
        <v>186</v>
      </c>
    </row>
    <row r="681" spans="1:5" x14ac:dyDescent="0.35">
      <c r="A681" s="24">
        <v>40483</v>
      </c>
      <c r="B681" s="24">
        <v>40483</v>
      </c>
      <c r="C681" s="23">
        <v>0.19</v>
      </c>
      <c r="D681">
        <v>1</v>
      </c>
      <c r="E681">
        <f t="shared" si="10"/>
        <v>185</v>
      </c>
    </row>
    <row r="682" spans="1:5" x14ac:dyDescent="0.35">
      <c r="A682" s="24">
        <v>40513</v>
      </c>
      <c r="B682" s="24">
        <v>40513</v>
      </c>
      <c r="C682" s="23">
        <v>0.18</v>
      </c>
      <c r="D682">
        <v>0</v>
      </c>
      <c r="E682">
        <f t="shared" si="10"/>
        <v>184</v>
      </c>
    </row>
    <row r="683" spans="1:5" x14ac:dyDescent="0.35">
      <c r="A683" s="24">
        <v>40544</v>
      </c>
      <c r="B683" s="24">
        <v>40544</v>
      </c>
      <c r="C683" s="23">
        <v>0.17</v>
      </c>
      <c r="D683">
        <v>0</v>
      </c>
      <c r="E683">
        <f t="shared" si="10"/>
        <v>183</v>
      </c>
    </row>
    <row r="684" spans="1:5" x14ac:dyDescent="0.35">
      <c r="A684" s="24">
        <v>40575</v>
      </c>
      <c r="B684" s="24">
        <v>40575</v>
      </c>
      <c r="C684" s="23">
        <v>0.16</v>
      </c>
      <c r="D684">
        <v>0</v>
      </c>
      <c r="E684">
        <f t="shared" si="10"/>
        <v>182</v>
      </c>
    </row>
    <row r="685" spans="1:5" x14ac:dyDescent="0.35">
      <c r="A685" s="24">
        <v>40603</v>
      </c>
      <c r="B685" s="24">
        <v>40603</v>
      </c>
      <c r="C685" s="23">
        <v>0.14000000000000001</v>
      </c>
      <c r="D685">
        <v>1</v>
      </c>
      <c r="E685">
        <f t="shared" si="10"/>
        <v>181</v>
      </c>
    </row>
    <row r="686" spans="1:5" x14ac:dyDescent="0.35">
      <c r="A686" s="24">
        <v>40634</v>
      </c>
      <c r="B686" s="24">
        <v>40634</v>
      </c>
      <c r="C686" s="23">
        <v>0.1</v>
      </c>
      <c r="D686">
        <v>0</v>
      </c>
      <c r="E686">
        <f t="shared" si="10"/>
        <v>180</v>
      </c>
    </row>
    <row r="687" spans="1:5" x14ac:dyDescent="0.35">
      <c r="A687" s="24">
        <v>40664</v>
      </c>
      <c r="B687" s="24">
        <v>40664</v>
      </c>
      <c r="C687" s="23">
        <v>0.09</v>
      </c>
      <c r="D687">
        <v>0</v>
      </c>
      <c r="E687">
        <f t="shared" si="10"/>
        <v>179</v>
      </c>
    </row>
    <row r="688" spans="1:5" x14ac:dyDescent="0.35">
      <c r="A688" s="24">
        <v>40695</v>
      </c>
      <c r="B688" s="24">
        <v>40695</v>
      </c>
      <c r="C688" s="23">
        <v>0.09</v>
      </c>
      <c r="D688">
        <v>0</v>
      </c>
      <c r="E688">
        <f t="shared" si="10"/>
        <v>178</v>
      </c>
    </row>
    <row r="689" spans="1:5" x14ac:dyDescent="0.35">
      <c r="A689" s="24">
        <v>40725</v>
      </c>
      <c r="B689" s="24">
        <v>40725</v>
      </c>
      <c r="C689" s="23">
        <v>7.0000000000000007E-2</v>
      </c>
      <c r="D689">
        <v>1</v>
      </c>
      <c r="E689">
        <f t="shared" si="10"/>
        <v>177</v>
      </c>
    </row>
    <row r="690" spans="1:5" x14ac:dyDescent="0.35">
      <c r="A690" s="24">
        <v>40756</v>
      </c>
      <c r="B690" s="24">
        <v>40756</v>
      </c>
      <c r="C690" s="23">
        <v>0.1</v>
      </c>
      <c r="D690">
        <v>0</v>
      </c>
      <c r="E690">
        <f t="shared" si="10"/>
        <v>176</v>
      </c>
    </row>
    <row r="691" spans="1:5" x14ac:dyDescent="0.35">
      <c r="A691" s="24">
        <v>40787</v>
      </c>
      <c r="B691" s="24">
        <v>40787</v>
      </c>
      <c r="C691" s="23">
        <v>0.08</v>
      </c>
      <c r="D691">
        <v>0</v>
      </c>
      <c r="E691">
        <f t="shared" si="10"/>
        <v>175</v>
      </c>
    </row>
    <row r="692" spans="1:5" x14ac:dyDescent="0.35">
      <c r="A692" s="24">
        <v>40817</v>
      </c>
      <c r="B692" s="24">
        <v>40817</v>
      </c>
      <c r="C692" s="23">
        <v>7.0000000000000007E-2</v>
      </c>
      <c r="D692">
        <v>0</v>
      </c>
      <c r="E692">
        <f t="shared" si="10"/>
        <v>174</v>
      </c>
    </row>
    <row r="693" spans="1:5" x14ac:dyDescent="0.35">
      <c r="A693" s="24">
        <v>40848</v>
      </c>
      <c r="B693" s="24">
        <v>40848</v>
      </c>
      <c r="C693" s="23">
        <v>0.08</v>
      </c>
      <c r="D693">
        <v>1</v>
      </c>
      <c r="E693">
        <f t="shared" si="10"/>
        <v>173</v>
      </c>
    </row>
    <row r="694" spans="1:5" x14ac:dyDescent="0.35">
      <c r="A694" s="24">
        <v>40878</v>
      </c>
      <c r="B694" s="24">
        <v>40878</v>
      </c>
      <c r="C694" s="23">
        <v>7.0000000000000007E-2</v>
      </c>
      <c r="D694">
        <v>0</v>
      </c>
      <c r="E694">
        <f t="shared" si="10"/>
        <v>172</v>
      </c>
    </row>
    <row r="695" spans="1:5" x14ac:dyDescent="0.35">
      <c r="A695" s="24">
        <v>40909</v>
      </c>
      <c r="B695" s="24">
        <v>40909</v>
      </c>
      <c r="C695" s="23">
        <v>0.08</v>
      </c>
      <c r="D695">
        <v>0</v>
      </c>
      <c r="E695">
        <f t="shared" si="10"/>
        <v>171</v>
      </c>
    </row>
    <row r="696" spans="1:5" x14ac:dyDescent="0.35">
      <c r="A696" s="24">
        <v>40940</v>
      </c>
      <c r="B696" s="24">
        <v>40940</v>
      </c>
      <c r="C696" s="23">
        <v>0.1</v>
      </c>
      <c r="D696">
        <v>0</v>
      </c>
      <c r="E696">
        <f t="shared" si="10"/>
        <v>170</v>
      </c>
    </row>
    <row r="697" spans="1:5" x14ac:dyDescent="0.35">
      <c r="A697" s="24">
        <v>40969</v>
      </c>
      <c r="B697" s="24">
        <v>40969</v>
      </c>
      <c r="C697" s="23">
        <v>0.13</v>
      </c>
      <c r="D697">
        <v>1</v>
      </c>
      <c r="E697">
        <f t="shared" si="10"/>
        <v>169</v>
      </c>
    </row>
    <row r="698" spans="1:5" x14ac:dyDescent="0.35">
      <c r="A698" s="24">
        <v>41000</v>
      </c>
      <c r="B698" s="24">
        <v>41000</v>
      </c>
      <c r="C698" s="23">
        <v>0.14000000000000001</v>
      </c>
      <c r="D698">
        <v>0</v>
      </c>
      <c r="E698">
        <f t="shared" si="10"/>
        <v>168</v>
      </c>
    </row>
    <row r="699" spans="1:5" x14ac:dyDescent="0.35">
      <c r="A699" s="24">
        <v>41030</v>
      </c>
      <c r="B699" s="24">
        <v>41030</v>
      </c>
      <c r="C699" s="23">
        <v>0.16</v>
      </c>
      <c r="D699">
        <v>0</v>
      </c>
      <c r="E699">
        <f t="shared" si="10"/>
        <v>167</v>
      </c>
    </row>
    <row r="700" spans="1:5" x14ac:dyDescent="0.35">
      <c r="A700" s="24">
        <v>41061</v>
      </c>
      <c r="B700" s="24">
        <v>41061</v>
      </c>
      <c r="C700" s="23">
        <v>0.16</v>
      </c>
      <c r="D700">
        <v>0</v>
      </c>
      <c r="E700">
        <f t="shared" si="10"/>
        <v>166</v>
      </c>
    </row>
    <row r="701" spans="1:5" x14ac:dyDescent="0.35">
      <c r="A701" s="24">
        <v>41091</v>
      </c>
      <c r="B701" s="24">
        <v>41091</v>
      </c>
      <c r="C701" s="23">
        <v>0.16</v>
      </c>
      <c r="D701">
        <v>1</v>
      </c>
      <c r="E701">
        <f t="shared" si="10"/>
        <v>165</v>
      </c>
    </row>
    <row r="702" spans="1:5" x14ac:dyDescent="0.35">
      <c r="A702" s="24">
        <v>41122</v>
      </c>
      <c r="B702" s="24">
        <v>41122</v>
      </c>
      <c r="C702" s="23">
        <v>0.13</v>
      </c>
      <c r="D702">
        <v>0</v>
      </c>
      <c r="E702">
        <f t="shared" si="10"/>
        <v>164</v>
      </c>
    </row>
    <row r="703" spans="1:5" x14ac:dyDescent="0.35">
      <c r="A703" s="24">
        <v>41153</v>
      </c>
      <c r="B703" s="24">
        <v>41153</v>
      </c>
      <c r="C703" s="23">
        <v>0.14000000000000001</v>
      </c>
      <c r="D703">
        <v>0</v>
      </c>
      <c r="E703">
        <f t="shared" si="10"/>
        <v>163</v>
      </c>
    </row>
    <row r="704" spans="1:5" x14ac:dyDescent="0.35">
      <c r="A704" s="24">
        <v>41183</v>
      </c>
      <c r="B704" s="24">
        <v>41183</v>
      </c>
      <c r="C704" s="23">
        <v>0.16</v>
      </c>
      <c r="D704">
        <v>0</v>
      </c>
      <c r="E704">
        <f t="shared" si="10"/>
        <v>162</v>
      </c>
    </row>
    <row r="705" spans="1:5" x14ac:dyDescent="0.35">
      <c r="A705" s="24">
        <v>41214</v>
      </c>
      <c r="B705" s="24">
        <v>41214</v>
      </c>
      <c r="C705" s="23">
        <v>0.16</v>
      </c>
      <c r="D705">
        <v>1</v>
      </c>
      <c r="E705">
        <f t="shared" si="10"/>
        <v>161</v>
      </c>
    </row>
    <row r="706" spans="1:5" x14ac:dyDescent="0.35">
      <c r="A706" s="24">
        <v>41244</v>
      </c>
      <c r="B706" s="24">
        <v>41244</v>
      </c>
      <c r="C706" s="23">
        <v>0.16</v>
      </c>
      <c r="D706">
        <v>0</v>
      </c>
      <c r="E706">
        <f t="shared" si="10"/>
        <v>160</v>
      </c>
    </row>
    <row r="707" spans="1:5" x14ac:dyDescent="0.35">
      <c r="A707" s="24">
        <v>41275</v>
      </c>
      <c r="B707" s="24">
        <v>41275</v>
      </c>
      <c r="C707" s="23">
        <v>0.14000000000000001</v>
      </c>
      <c r="D707">
        <v>0</v>
      </c>
      <c r="E707">
        <f t="shared" si="10"/>
        <v>159</v>
      </c>
    </row>
    <row r="708" spans="1:5" x14ac:dyDescent="0.35">
      <c r="A708" s="24">
        <v>41306</v>
      </c>
      <c r="B708" s="24">
        <v>41306</v>
      </c>
      <c r="C708" s="23">
        <v>0.15</v>
      </c>
      <c r="D708">
        <v>0</v>
      </c>
      <c r="E708">
        <f t="shared" si="10"/>
        <v>158</v>
      </c>
    </row>
    <row r="709" spans="1:5" x14ac:dyDescent="0.35">
      <c r="A709" s="24">
        <v>41334</v>
      </c>
      <c r="B709" s="24">
        <v>41334</v>
      </c>
      <c r="C709" s="23">
        <v>0.14000000000000001</v>
      </c>
      <c r="D709">
        <v>1</v>
      </c>
      <c r="E709">
        <f t="shared" ref="E709:E772" si="11">E710+1</f>
        <v>157</v>
      </c>
    </row>
    <row r="710" spans="1:5" x14ac:dyDescent="0.35">
      <c r="A710" s="24">
        <v>41365</v>
      </c>
      <c r="B710" s="24">
        <v>41365</v>
      </c>
      <c r="C710" s="23">
        <v>0.15</v>
      </c>
      <c r="D710">
        <v>0</v>
      </c>
      <c r="E710">
        <f t="shared" si="11"/>
        <v>156</v>
      </c>
    </row>
    <row r="711" spans="1:5" x14ac:dyDescent="0.35">
      <c r="A711" s="24">
        <v>41395</v>
      </c>
      <c r="B711" s="24">
        <v>41395</v>
      </c>
      <c r="C711" s="23">
        <v>0.11</v>
      </c>
      <c r="D711">
        <v>0</v>
      </c>
      <c r="E711">
        <f t="shared" si="11"/>
        <v>155</v>
      </c>
    </row>
    <row r="712" spans="1:5" x14ac:dyDescent="0.35">
      <c r="A712" s="24">
        <v>41426</v>
      </c>
      <c r="B712" s="24">
        <v>41426</v>
      </c>
      <c r="C712" s="23">
        <v>0.09</v>
      </c>
      <c r="D712">
        <v>0</v>
      </c>
      <c r="E712">
        <f t="shared" si="11"/>
        <v>154</v>
      </c>
    </row>
    <row r="713" spans="1:5" x14ac:dyDescent="0.35">
      <c r="A713" s="24">
        <v>41456</v>
      </c>
      <c r="B713" s="24">
        <v>41456</v>
      </c>
      <c r="C713" s="23">
        <v>0.09</v>
      </c>
      <c r="D713">
        <v>1</v>
      </c>
      <c r="E713">
        <f t="shared" si="11"/>
        <v>153</v>
      </c>
    </row>
    <row r="714" spans="1:5" x14ac:dyDescent="0.35">
      <c r="A714" s="24">
        <v>41487</v>
      </c>
      <c r="B714" s="24">
        <v>41487</v>
      </c>
      <c r="C714" s="23">
        <v>0.08</v>
      </c>
      <c r="D714">
        <v>0</v>
      </c>
      <c r="E714">
        <f t="shared" si="11"/>
        <v>152</v>
      </c>
    </row>
    <row r="715" spans="1:5" x14ac:dyDescent="0.35">
      <c r="A715" s="24">
        <v>41518</v>
      </c>
      <c r="B715" s="24">
        <v>41518</v>
      </c>
      <c r="C715" s="23">
        <v>0.08</v>
      </c>
      <c r="D715">
        <v>0</v>
      </c>
      <c r="E715">
        <f t="shared" si="11"/>
        <v>151</v>
      </c>
    </row>
    <row r="716" spans="1:5" x14ac:dyDescent="0.35">
      <c r="A716" s="24">
        <v>41548</v>
      </c>
      <c r="B716" s="24">
        <v>41548</v>
      </c>
      <c r="C716" s="23">
        <v>0.09</v>
      </c>
      <c r="D716">
        <v>0</v>
      </c>
      <c r="E716">
        <f t="shared" si="11"/>
        <v>150</v>
      </c>
    </row>
    <row r="717" spans="1:5" x14ac:dyDescent="0.35">
      <c r="A717" s="24">
        <v>41579</v>
      </c>
      <c r="B717" s="24">
        <v>41579</v>
      </c>
      <c r="C717" s="23">
        <v>0.08</v>
      </c>
      <c r="D717">
        <v>1</v>
      </c>
      <c r="E717">
        <f t="shared" si="11"/>
        <v>149</v>
      </c>
    </row>
    <row r="718" spans="1:5" x14ac:dyDescent="0.35">
      <c r="A718" s="24">
        <v>41609</v>
      </c>
      <c r="B718" s="24">
        <v>41609</v>
      </c>
      <c r="C718" s="23">
        <v>0.09</v>
      </c>
      <c r="D718">
        <v>0</v>
      </c>
      <c r="E718">
        <f t="shared" si="11"/>
        <v>148</v>
      </c>
    </row>
    <row r="719" spans="1:5" x14ac:dyDescent="0.35">
      <c r="A719" s="24">
        <v>41640</v>
      </c>
      <c r="B719" s="24">
        <v>41640</v>
      </c>
      <c r="C719" s="23">
        <v>7.0000000000000007E-2</v>
      </c>
      <c r="D719">
        <v>0</v>
      </c>
      <c r="E719">
        <f t="shared" si="11"/>
        <v>147</v>
      </c>
    </row>
    <row r="720" spans="1:5" x14ac:dyDescent="0.35">
      <c r="A720" s="24">
        <v>41671</v>
      </c>
      <c r="B720" s="24">
        <v>41671</v>
      </c>
      <c r="C720" s="23">
        <v>7.0000000000000007E-2</v>
      </c>
      <c r="D720">
        <v>0</v>
      </c>
      <c r="E720">
        <f t="shared" si="11"/>
        <v>146</v>
      </c>
    </row>
    <row r="721" spans="1:5" x14ac:dyDescent="0.35">
      <c r="A721" s="24">
        <v>41699</v>
      </c>
      <c r="B721" s="24">
        <v>41699</v>
      </c>
      <c r="C721" s="23">
        <v>0.08</v>
      </c>
      <c r="D721">
        <v>1</v>
      </c>
      <c r="E721">
        <f t="shared" si="11"/>
        <v>145</v>
      </c>
    </row>
    <row r="722" spans="1:5" x14ac:dyDescent="0.35">
      <c r="A722" s="24">
        <v>41730</v>
      </c>
      <c r="B722" s="24">
        <v>41730</v>
      </c>
      <c r="C722" s="23">
        <v>0.09</v>
      </c>
      <c r="D722">
        <v>0</v>
      </c>
      <c r="E722">
        <f t="shared" si="11"/>
        <v>144</v>
      </c>
    </row>
    <row r="723" spans="1:5" x14ac:dyDescent="0.35">
      <c r="A723" s="24">
        <v>41760</v>
      </c>
      <c r="B723" s="24">
        <v>41760</v>
      </c>
      <c r="C723" s="23">
        <v>0.09</v>
      </c>
      <c r="D723">
        <v>0</v>
      </c>
      <c r="E723">
        <f t="shared" si="11"/>
        <v>143</v>
      </c>
    </row>
    <row r="724" spans="1:5" x14ac:dyDescent="0.35">
      <c r="A724" s="24">
        <v>41791</v>
      </c>
      <c r="B724" s="24">
        <v>41791</v>
      </c>
      <c r="C724" s="23">
        <v>0.1</v>
      </c>
      <c r="D724">
        <v>0</v>
      </c>
      <c r="E724">
        <f t="shared" si="11"/>
        <v>142</v>
      </c>
    </row>
    <row r="725" spans="1:5" x14ac:dyDescent="0.35">
      <c r="A725" s="24">
        <v>41821</v>
      </c>
      <c r="B725" s="24">
        <v>41821</v>
      </c>
      <c r="C725" s="23">
        <v>0.09</v>
      </c>
      <c r="D725">
        <v>1</v>
      </c>
      <c r="E725">
        <f t="shared" si="11"/>
        <v>141</v>
      </c>
    </row>
    <row r="726" spans="1:5" x14ac:dyDescent="0.35">
      <c r="A726" s="24">
        <v>41852</v>
      </c>
      <c r="B726" s="24">
        <v>41852</v>
      </c>
      <c r="C726" s="23">
        <v>0.09</v>
      </c>
      <c r="D726">
        <v>0</v>
      </c>
      <c r="E726">
        <f t="shared" si="11"/>
        <v>140</v>
      </c>
    </row>
    <row r="727" spans="1:5" x14ac:dyDescent="0.35">
      <c r="A727" s="24">
        <v>41883</v>
      </c>
      <c r="B727" s="24">
        <v>41883</v>
      </c>
      <c r="C727" s="23">
        <v>0.09</v>
      </c>
      <c r="D727">
        <v>0</v>
      </c>
      <c r="E727">
        <f t="shared" si="11"/>
        <v>139</v>
      </c>
    </row>
    <row r="728" spans="1:5" x14ac:dyDescent="0.35">
      <c r="A728" s="24">
        <v>41913</v>
      </c>
      <c r="B728" s="24">
        <v>41913</v>
      </c>
      <c r="C728" s="23">
        <v>0.09</v>
      </c>
      <c r="D728">
        <v>0</v>
      </c>
      <c r="E728">
        <f t="shared" si="11"/>
        <v>138</v>
      </c>
    </row>
    <row r="729" spans="1:5" x14ac:dyDescent="0.35">
      <c r="A729" s="24">
        <v>41944</v>
      </c>
      <c r="B729" s="24">
        <v>41944</v>
      </c>
      <c r="C729" s="23">
        <v>0.09</v>
      </c>
      <c r="D729">
        <v>1</v>
      </c>
      <c r="E729">
        <f t="shared" si="11"/>
        <v>137</v>
      </c>
    </row>
    <row r="730" spans="1:5" x14ac:dyDescent="0.35">
      <c r="A730" s="24">
        <v>41974</v>
      </c>
      <c r="B730" s="24">
        <v>41974</v>
      </c>
      <c r="C730" s="23">
        <v>0.12</v>
      </c>
      <c r="D730">
        <v>0</v>
      </c>
      <c r="E730">
        <f t="shared" si="11"/>
        <v>136</v>
      </c>
    </row>
    <row r="731" spans="1:5" x14ac:dyDescent="0.35">
      <c r="A731" s="24">
        <v>42005</v>
      </c>
      <c r="B731" s="24">
        <v>42005</v>
      </c>
      <c r="C731" s="23">
        <v>0.11</v>
      </c>
      <c r="D731">
        <v>0</v>
      </c>
      <c r="E731">
        <f t="shared" si="11"/>
        <v>135</v>
      </c>
    </row>
    <row r="732" spans="1:5" x14ac:dyDescent="0.35">
      <c r="A732" s="24">
        <v>42036</v>
      </c>
      <c r="B732" s="24">
        <v>42036</v>
      </c>
      <c r="C732" s="23">
        <v>0.11</v>
      </c>
      <c r="D732">
        <v>0</v>
      </c>
      <c r="E732">
        <f t="shared" si="11"/>
        <v>134</v>
      </c>
    </row>
    <row r="733" spans="1:5" x14ac:dyDescent="0.35">
      <c r="A733" s="24">
        <v>42064</v>
      </c>
      <c r="B733" s="24">
        <v>42064</v>
      </c>
      <c r="C733" s="23">
        <v>0.11</v>
      </c>
      <c r="D733">
        <v>1</v>
      </c>
      <c r="E733">
        <f t="shared" si="11"/>
        <v>133</v>
      </c>
    </row>
    <row r="734" spans="1:5" x14ac:dyDescent="0.35">
      <c r="A734" s="24">
        <v>42095</v>
      </c>
      <c r="B734" s="24">
        <v>42095</v>
      </c>
      <c r="C734" s="23">
        <v>0.12</v>
      </c>
      <c r="D734">
        <v>0</v>
      </c>
      <c r="E734">
        <f t="shared" si="11"/>
        <v>132</v>
      </c>
    </row>
    <row r="735" spans="1:5" x14ac:dyDescent="0.35">
      <c r="A735" s="24">
        <v>42125</v>
      </c>
      <c r="B735" s="24">
        <v>42125</v>
      </c>
      <c r="C735" s="23">
        <v>0.12</v>
      </c>
      <c r="D735">
        <v>0</v>
      </c>
      <c r="E735">
        <f t="shared" si="11"/>
        <v>131</v>
      </c>
    </row>
    <row r="736" spans="1:5" x14ac:dyDescent="0.35">
      <c r="A736" s="24">
        <v>42156</v>
      </c>
      <c r="B736" s="24">
        <v>42156</v>
      </c>
      <c r="C736" s="23">
        <v>0.13</v>
      </c>
      <c r="D736">
        <v>0</v>
      </c>
      <c r="E736">
        <f t="shared" si="11"/>
        <v>130</v>
      </c>
    </row>
    <row r="737" spans="1:5" x14ac:dyDescent="0.35">
      <c r="A737" s="24">
        <v>42186</v>
      </c>
      <c r="B737" s="24">
        <v>42186</v>
      </c>
      <c r="C737" s="23">
        <v>0.13</v>
      </c>
      <c r="D737">
        <v>1</v>
      </c>
      <c r="E737">
        <f t="shared" si="11"/>
        <v>129</v>
      </c>
    </row>
    <row r="738" spans="1:5" x14ac:dyDescent="0.35">
      <c r="A738" s="24">
        <v>42217</v>
      </c>
      <c r="B738" s="24">
        <v>42217</v>
      </c>
      <c r="C738" s="23">
        <v>0.14000000000000001</v>
      </c>
      <c r="D738">
        <v>0</v>
      </c>
      <c r="E738">
        <f t="shared" si="11"/>
        <v>128</v>
      </c>
    </row>
    <row r="739" spans="1:5" x14ac:dyDescent="0.35">
      <c r="A739" s="24">
        <v>42248</v>
      </c>
      <c r="B739" s="24">
        <v>42248</v>
      </c>
      <c r="C739" s="23">
        <v>0.14000000000000001</v>
      </c>
      <c r="D739">
        <v>0</v>
      </c>
      <c r="E739">
        <f t="shared" si="11"/>
        <v>127</v>
      </c>
    </row>
    <row r="740" spans="1:5" x14ac:dyDescent="0.35">
      <c r="A740" s="24">
        <v>42278</v>
      </c>
      <c r="B740" s="24">
        <v>42278</v>
      </c>
      <c r="C740" s="23">
        <v>0.12</v>
      </c>
      <c r="D740">
        <v>0</v>
      </c>
      <c r="E740">
        <f t="shared" si="11"/>
        <v>126</v>
      </c>
    </row>
    <row r="741" spans="1:5" x14ac:dyDescent="0.35">
      <c r="A741" s="24">
        <v>42309</v>
      </c>
      <c r="B741" s="24">
        <v>42309</v>
      </c>
      <c r="C741" s="23">
        <v>0.12</v>
      </c>
      <c r="D741">
        <v>1</v>
      </c>
      <c r="E741">
        <f t="shared" si="11"/>
        <v>125</v>
      </c>
    </row>
    <row r="742" spans="1:5" x14ac:dyDescent="0.35">
      <c r="A742" s="24">
        <v>42339</v>
      </c>
      <c r="B742" s="24">
        <v>42339</v>
      </c>
      <c r="C742" s="23">
        <v>0.24</v>
      </c>
      <c r="D742">
        <v>0</v>
      </c>
      <c r="E742">
        <f t="shared" si="11"/>
        <v>124</v>
      </c>
    </row>
    <row r="743" spans="1:5" x14ac:dyDescent="0.35">
      <c r="A743" s="24">
        <v>42370</v>
      </c>
      <c r="B743" s="24">
        <v>42370</v>
      </c>
      <c r="C743" s="23">
        <v>0.34</v>
      </c>
      <c r="D743">
        <v>0</v>
      </c>
      <c r="E743">
        <f t="shared" si="11"/>
        <v>123</v>
      </c>
    </row>
    <row r="744" spans="1:5" x14ac:dyDescent="0.35">
      <c r="A744" s="24">
        <v>42401</v>
      </c>
      <c r="B744" s="24">
        <v>42401</v>
      </c>
      <c r="C744" s="23">
        <v>0.38</v>
      </c>
      <c r="D744">
        <v>0</v>
      </c>
      <c r="E744">
        <f t="shared" si="11"/>
        <v>122</v>
      </c>
    </row>
    <row r="745" spans="1:5" x14ac:dyDescent="0.35">
      <c r="A745" s="24">
        <v>42430</v>
      </c>
      <c r="B745" s="24">
        <v>42430</v>
      </c>
      <c r="C745" s="23">
        <v>0.36</v>
      </c>
      <c r="D745">
        <v>1</v>
      </c>
      <c r="E745">
        <f t="shared" si="11"/>
        <v>121</v>
      </c>
    </row>
    <row r="746" spans="1:5" x14ac:dyDescent="0.35">
      <c r="A746" s="24">
        <v>42461</v>
      </c>
      <c r="B746" s="24">
        <v>42461</v>
      </c>
      <c r="C746" s="23">
        <v>0.37</v>
      </c>
      <c r="D746">
        <v>0</v>
      </c>
      <c r="E746">
        <f t="shared" si="11"/>
        <v>120</v>
      </c>
    </row>
    <row r="747" spans="1:5" x14ac:dyDescent="0.35">
      <c r="A747" s="24">
        <v>42491</v>
      </c>
      <c r="B747" s="24">
        <v>42491</v>
      </c>
      <c r="C747" s="23">
        <v>0.37</v>
      </c>
      <c r="D747">
        <v>0</v>
      </c>
      <c r="E747">
        <f t="shared" si="11"/>
        <v>119</v>
      </c>
    </row>
    <row r="748" spans="1:5" x14ac:dyDescent="0.35">
      <c r="A748" s="24">
        <v>42522</v>
      </c>
      <c r="B748" s="24">
        <v>42522</v>
      </c>
      <c r="C748" s="23">
        <v>0.38</v>
      </c>
      <c r="D748">
        <v>0</v>
      </c>
      <c r="E748">
        <f t="shared" si="11"/>
        <v>118</v>
      </c>
    </row>
    <row r="749" spans="1:5" x14ac:dyDescent="0.35">
      <c r="A749" s="24">
        <v>42552</v>
      </c>
      <c r="B749" s="24">
        <v>42552</v>
      </c>
      <c r="C749" s="23">
        <v>0.39</v>
      </c>
      <c r="D749">
        <v>1</v>
      </c>
      <c r="E749">
        <f t="shared" si="11"/>
        <v>117</v>
      </c>
    </row>
    <row r="750" spans="1:5" x14ac:dyDescent="0.35">
      <c r="A750" s="24">
        <v>42583</v>
      </c>
      <c r="B750" s="24">
        <v>42583</v>
      </c>
      <c r="C750" s="23">
        <v>0.4</v>
      </c>
      <c r="D750">
        <v>0</v>
      </c>
      <c r="E750">
        <f t="shared" si="11"/>
        <v>116</v>
      </c>
    </row>
    <row r="751" spans="1:5" x14ac:dyDescent="0.35">
      <c r="A751" s="24">
        <v>42614</v>
      </c>
      <c r="B751" s="24">
        <v>42614</v>
      </c>
      <c r="C751" s="23">
        <v>0.4</v>
      </c>
      <c r="D751">
        <v>0</v>
      </c>
      <c r="E751">
        <f t="shared" si="11"/>
        <v>115</v>
      </c>
    </row>
    <row r="752" spans="1:5" x14ac:dyDescent="0.35">
      <c r="A752" s="24">
        <v>42644</v>
      </c>
      <c r="B752" s="24">
        <v>42644</v>
      </c>
      <c r="C752" s="23">
        <v>0.4</v>
      </c>
      <c r="D752">
        <v>0</v>
      </c>
      <c r="E752">
        <f t="shared" si="11"/>
        <v>114</v>
      </c>
    </row>
    <row r="753" spans="1:5" x14ac:dyDescent="0.35">
      <c r="A753" s="24">
        <v>42675</v>
      </c>
      <c r="B753" s="24">
        <v>42675</v>
      </c>
      <c r="C753" s="23">
        <v>0.41</v>
      </c>
      <c r="D753">
        <v>1</v>
      </c>
      <c r="E753">
        <f t="shared" si="11"/>
        <v>113</v>
      </c>
    </row>
    <row r="754" spans="1:5" x14ac:dyDescent="0.35">
      <c r="A754" s="24">
        <v>42705</v>
      </c>
      <c r="B754" s="24">
        <v>42705</v>
      </c>
      <c r="C754" s="23">
        <v>0.54</v>
      </c>
      <c r="D754">
        <v>0</v>
      </c>
      <c r="E754">
        <f t="shared" si="11"/>
        <v>112</v>
      </c>
    </row>
    <row r="755" spans="1:5" x14ac:dyDescent="0.35">
      <c r="A755" s="24">
        <v>42736</v>
      </c>
      <c r="B755" s="24">
        <v>42736</v>
      </c>
      <c r="C755" s="23">
        <v>0.65</v>
      </c>
      <c r="D755">
        <v>0</v>
      </c>
      <c r="E755">
        <f t="shared" si="11"/>
        <v>111</v>
      </c>
    </row>
    <row r="756" spans="1:5" x14ac:dyDescent="0.35">
      <c r="A756" s="24">
        <v>42767</v>
      </c>
      <c r="B756" s="24">
        <v>42767</v>
      </c>
      <c r="C756" s="23">
        <v>0.66</v>
      </c>
      <c r="D756">
        <v>0</v>
      </c>
      <c r="E756">
        <f t="shared" si="11"/>
        <v>110</v>
      </c>
    </row>
    <row r="757" spans="1:5" x14ac:dyDescent="0.35">
      <c r="A757" s="24">
        <v>42795</v>
      </c>
      <c r="B757" s="24">
        <v>42795</v>
      </c>
      <c r="C757" s="23">
        <v>0.79</v>
      </c>
      <c r="D757">
        <v>1</v>
      </c>
      <c r="E757">
        <f t="shared" si="11"/>
        <v>109</v>
      </c>
    </row>
    <row r="758" spans="1:5" x14ac:dyDescent="0.35">
      <c r="A758" s="24">
        <v>42826</v>
      </c>
      <c r="B758" s="24">
        <v>42826</v>
      </c>
      <c r="C758" s="23">
        <v>0.9</v>
      </c>
      <c r="D758">
        <v>0</v>
      </c>
      <c r="E758">
        <f t="shared" si="11"/>
        <v>108</v>
      </c>
    </row>
    <row r="759" spans="1:5" x14ac:dyDescent="0.35">
      <c r="A759" s="24">
        <v>42856</v>
      </c>
      <c r="B759" s="24">
        <v>42856</v>
      </c>
      <c r="C759" s="23">
        <v>0.91</v>
      </c>
      <c r="D759">
        <v>0</v>
      </c>
      <c r="E759">
        <f t="shared" si="11"/>
        <v>107</v>
      </c>
    </row>
    <row r="760" spans="1:5" x14ac:dyDescent="0.35">
      <c r="A760" s="24">
        <v>42887</v>
      </c>
      <c r="B760" s="24">
        <v>42887</v>
      </c>
      <c r="C760" s="23">
        <v>1.04</v>
      </c>
      <c r="D760">
        <v>0</v>
      </c>
      <c r="E760">
        <f t="shared" si="11"/>
        <v>106</v>
      </c>
    </row>
    <row r="761" spans="1:5" x14ac:dyDescent="0.35">
      <c r="A761" s="24">
        <v>42917</v>
      </c>
      <c r="B761" s="24">
        <v>42917</v>
      </c>
      <c r="C761" s="23">
        <v>1.1499999999999999</v>
      </c>
      <c r="D761">
        <v>1</v>
      </c>
      <c r="E761">
        <f t="shared" si="11"/>
        <v>105</v>
      </c>
    </row>
    <row r="762" spans="1:5" x14ac:dyDescent="0.35">
      <c r="A762" s="24">
        <v>42948</v>
      </c>
      <c r="B762" s="24">
        <v>42948</v>
      </c>
      <c r="C762" s="23">
        <v>1.1599999999999999</v>
      </c>
      <c r="D762">
        <v>0</v>
      </c>
      <c r="E762">
        <f t="shared" si="11"/>
        <v>104</v>
      </c>
    </row>
    <row r="763" spans="1:5" x14ac:dyDescent="0.35">
      <c r="A763" s="24">
        <v>42979</v>
      </c>
      <c r="B763" s="24">
        <v>42979</v>
      </c>
      <c r="C763" s="23">
        <v>1.1499999999999999</v>
      </c>
      <c r="D763">
        <v>0</v>
      </c>
      <c r="E763">
        <f t="shared" si="11"/>
        <v>103</v>
      </c>
    </row>
    <row r="764" spans="1:5" x14ac:dyDescent="0.35">
      <c r="A764" s="24">
        <v>43009</v>
      </c>
      <c r="B764" s="24">
        <v>43009</v>
      </c>
      <c r="C764" s="23">
        <v>1.1499999999999999</v>
      </c>
      <c r="D764">
        <v>0</v>
      </c>
      <c r="E764">
        <f t="shared" si="11"/>
        <v>102</v>
      </c>
    </row>
    <row r="765" spans="1:5" x14ac:dyDescent="0.35">
      <c r="A765" s="24">
        <v>43040</v>
      </c>
      <c r="B765" s="24">
        <v>43040</v>
      </c>
      <c r="C765" s="23">
        <v>1.1599999999999999</v>
      </c>
      <c r="D765">
        <v>1</v>
      </c>
      <c r="E765">
        <f t="shared" si="11"/>
        <v>101</v>
      </c>
    </row>
    <row r="766" spans="1:5" x14ac:dyDescent="0.35">
      <c r="A766" s="24">
        <v>43070</v>
      </c>
      <c r="B766" s="24">
        <v>43070</v>
      </c>
      <c r="C766" s="23">
        <v>1.3</v>
      </c>
      <c r="D766">
        <v>0</v>
      </c>
      <c r="E766">
        <f t="shared" si="11"/>
        <v>100</v>
      </c>
    </row>
    <row r="767" spans="1:5" x14ac:dyDescent="0.35">
      <c r="A767" s="24">
        <v>43101</v>
      </c>
      <c r="B767" s="24">
        <v>43101</v>
      </c>
      <c r="C767" s="23">
        <v>1.41</v>
      </c>
      <c r="D767">
        <v>0</v>
      </c>
      <c r="E767">
        <f t="shared" si="11"/>
        <v>99</v>
      </c>
    </row>
    <row r="768" spans="1:5" x14ac:dyDescent="0.35">
      <c r="A768" s="24">
        <v>43132</v>
      </c>
      <c r="B768" s="24">
        <v>43132</v>
      </c>
      <c r="C768" s="23">
        <v>1.42</v>
      </c>
      <c r="D768">
        <v>0</v>
      </c>
      <c r="E768">
        <f t="shared" si="11"/>
        <v>98</v>
      </c>
    </row>
    <row r="769" spans="1:5" x14ac:dyDescent="0.35">
      <c r="A769" s="24">
        <v>43160</v>
      </c>
      <c r="B769" s="24">
        <v>43160</v>
      </c>
      <c r="C769" s="23">
        <v>1.51</v>
      </c>
      <c r="D769">
        <v>1</v>
      </c>
      <c r="E769">
        <f t="shared" si="11"/>
        <v>97</v>
      </c>
    </row>
    <row r="770" spans="1:5" x14ac:dyDescent="0.35">
      <c r="A770" s="24">
        <v>43191</v>
      </c>
      <c r="B770" s="24">
        <v>43191</v>
      </c>
      <c r="C770" s="23">
        <v>1.69</v>
      </c>
      <c r="D770">
        <v>0</v>
      </c>
      <c r="E770">
        <f t="shared" si="11"/>
        <v>96</v>
      </c>
    </row>
    <row r="771" spans="1:5" x14ac:dyDescent="0.35">
      <c r="A771" s="24">
        <v>43221</v>
      </c>
      <c r="B771" s="24">
        <v>43221</v>
      </c>
      <c r="C771" s="23">
        <v>1.7</v>
      </c>
      <c r="D771">
        <v>0</v>
      </c>
      <c r="E771">
        <f t="shared" si="11"/>
        <v>95</v>
      </c>
    </row>
    <row r="772" spans="1:5" x14ac:dyDescent="0.35">
      <c r="A772" s="24">
        <v>43252</v>
      </c>
      <c r="B772" s="24">
        <v>43252</v>
      </c>
      <c r="C772" s="23">
        <v>1.82</v>
      </c>
      <c r="D772">
        <v>0</v>
      </c>
      <c r="E772">
        <f t="shared" si="11"/>
        <v>94</v>
      </c>
    </row>
    <row r="773" spans="1:5" x14ac:dyDescent="0.35">
      <c r="A773" s="24">
        <v>43282</v>
      </c>
      <c r="B773" s="24">
        <v>43282</v>
      </c>
      <c r="C773" s="23">
        <v>1.91</v>
      </c>
      <c r="D773">
        <v>1</v>
      </c>
      <c r="E773">
        <f t="shared" ref="E773:E836" si="12">E774+1</f>
        <v>93</v>
      </c>
    </row>
    <row r="774" spans="1:5" x14ac:dyDescent="0.35">
      <c r="A774" s="24">
        <v>43313</v>
      </c>
      <c r="B774" s="24">
        <v>43313</v>
      </c>
      <c r="C774" s="23">
        <v>1.91</v>
      </c>
      <c r="D774">
        <v>0</v>
      </c>
      <c r="E774">
        <f t="shared" si="12"/>
        <v>92</v>
      </c>
    </row>
    <row r="775" spans="1:5" x14ac:dyDescent="0.35">
      <c r="A775" s="24">
        <v>43344</v>
      </c>
      <c r="B775" s="24">
        <v>43344</v>
      </c>
      <c r="C775" s="23">
        <v>1.95</v>
      </c>
      <c r="D775">
        <v>0</v>
      </c>
      <c r="E775">
        <f t="shared" si="12"/>
        <v>91</v>
      </c>
    </row>
    <row r="776" spans="1:5" x14ac:dyDescent="0.35">
      <c r="A776" s="24">
        <v>43374</v>
      </c>
      <c r="B776" s="24">
        <v>43374</v>
      </c>
      <c r="C776" s="23">
        <v>2.19</v>
      </c>
      <c r="D776">
        <v>0</v>
      </c>
      <c r="E776">
        <f t="shared" si="12"/>
        <v>90</v>
      </c>
    </row>
    <row r="777" spans="1:5" x14ac:dyDescent="0.35">
      <c r="A777" s="24">
        <v>43405</v>
      </c>
      <c r="B777" s="24">
        <v>43405</v>
      </c>
      <c r="C777" s="23">
        <v>2.2000000000000002</v>
      </c>
      <c r="D777">
        <v>1</v>
      </c>
      <c r="E777">
        <f t="shared" si="12"/>
        <v>89</v>
      </c>
    </row>
    <row r="778" spans="1:5" x14ac:dyDescent="0.35">
      <c r="A778" s="24">
        <v>43435</v>
      </c>
      <c r="B778" s="24">
        <v>43435</v>
      </c>
      <c r="C778" s="23">
        <v>2.27</v>
      </c>
      <c r="D778">
        <v>0</v>
      </c>
      <c r="E778">
        <f t="shared" si="12"/>
        <v>88</v>
      </c>
    </row>
    <row r="779" spans="1:5" x14ac:dyDescent="0.35">
      <c r="A779" s="24">
        <v>43466</v>
      </c>
      <c r="B779" s="24">
        <v>43466</v>
      </c>
      <c r="C779" s="23">
        <v>2.4</v>
      </c>
      <c r="D779">
        <v>0</v>
      </c>
      <c r="E779">
        <f t="shared" si="12"/>
        <v>87</v>
      </c>
    </row>
    <row r="780" spans="1:5" x14ac:dyDescent="0.35">
      <c r="A780" s="24">
        <v>43497</v>
      </c>
      <c r="B780" s="24">
        <v>43497</v>
      </c>
      <c r="C780" s="23">
        <v>2.4</v>
      </c>
      <c r="D780">
        <v>0</v>
      </c>
      <c r="E780">
        <f t="shared" si="12"/>
        <v>86</v>
      </c>
    </row>
    <row r="781" spans="1:5" x14ac:dyDescent="0.35">
      <c r="A781" s="24">
        <v>43525</v>
      </c>
      <c r="B781" s="24">
        <v>43525</v>
      </c>
      <c r="C781" s="23">
        <v>2.41</v>
      </c>
      <c r="D781">
        <v>1</v>
      </c>
      <c r="E781">
        <f t="shared" si="12"/>
        <v>85</v>
      </c>
    </row>
    <row r="782" spans="1:5" x14ac:dyDescent="0.35">
      <c r="A782" s="24">
        <v>43556</v>
      </c>
      <c r="B782" s="24">
        <v>43556</v>
      </c>
      <c r="C782" s="23">
        <v>2.42</v>
      </c>
      <c r="D782">
        <v>0</v>
      </c>
      <c r="E782">
        <f t="shared" si="12"/>
        <v>84</v>
      </c>
    </row>
    <row r="783" spans="1:5" x14ac:dyDescent="0.35">
      <c r="A783" s="24">
        <v>43586</v>
      </c>
      <c r="B783" s="24">
        <v>43586</v>
      </c>
      <c r="C783" s="23">
        <v>2.39</v>
      </c>
      <c r="D783">
        <v>0</v>
      </c>
      <c r="E783">
        <f t="shared" si="12"/>
        <v>83</v>
      </c>
    </row>
    <row r="784" spans="1:5" x14ac:dyDescent="0.35">
      <c r="A784" s="24">
        <v>43617</v>
      </c>
      <c r="B784" s="24">
        <v>43617</v>
      </c>
      <c r="C784" s="23">
        <v>2.38</v>
      </c>
      <c r="D784">
        <v>0</v>
      </c>
      <c r="E784">
        <f t="shared" si="12"/>
        <v>82</v>
      </c>
    </row>
    <row r="785" spans="1:5" x14ac:dyDescent="0.35">
      <c r="A785" s="24">
        <v>43647</v>
      </c>
      <c r="B785" s="24">
        <v>43647</v>
      </c>
      <c r="C785" s="23">
        <v>2.4</v>
      </c>
      <c r="D785">
        <v>1</v>
      </c>
      <c r="E785">
        <f t="shared" si="12"/>
        <v>81</v>
      </c>
    </row>
    <row r="786" spans="1:5" x14ac:dyDescent="0.35">
      <c r="A786" s="24">
        <v>43678</v>
      </c>
      <c r="B786" s="24">
        <v>43678</v>
      </c>
      <c r="C786" s="23">
        <v>2.13</v>
      </c>
      <c r="D786">
        <v>0</v>
      </c>
      <c r="E786">
        <f t="shared" si="12"/>
        <v>80</v>
      </c>
    </row>
    <row r="787" spans="1:5" x14ac:dyDescent="0.35">
      <c r="A787" s="24">
        <v>43709</v>
      </c>
      <c r="B787" s="24">
        <v>43709</v>
      </c>
      <c r="C787" s="23">
        <v>2.04</v>
      </c>
      <c r="D787">
        <v>0</v>
      </c>
      <c r="E787">
        <f t="shared" si="12"/>
        <v>79</v>
      </c>
    </row>
    <row r="788" spans="1:5" x14ac:dyDescent="0.35">
      <c r="A788" s="24">
        <v>43739</v>
      </c>
      <c r="B788" s="24">
        <v>43739</v>
      </c>
      <c r="C788" s="23">
        <v>1.83</v>
      </c>
      <c r="D788">
        <v>0</v>
      </c>
      <c r="E788">
        <f t="shared" si="12"/>
        <v>78</v>
      </c>
    </row>
    <row r="789" spans="1:5" x14ac:dyDescent="0.35">
      <c r="A789" s="24">
        <v>43770</v>
      </c>
      <c r="B789" s="24">
        <v>43770</v>
      </c>
      <c r="C789" s="23">
        <v>1.55</v>
      </c>
      <c r="D789">
        <v>1</v>
      </c>
      <c r="E789">
        <f t="shared" si="12"/>
        <v>77</v>
      </c>
    </row>
    <row r="790" spans="1:5" x14ac:dyDescent="0.35">
      <c r="A790" s="24">
        <v>43800</v>
      </c>
      <c r="B790" s="24">
        <v>43800</v>
      </c>
      <c r="C790" s="23">
        <v>1.55</v>
      </c>
      <c r="D790">
        <v>0</v>
      </c>
      <c r="E790">
        <f t="shared" si="12"/>
        <v>76</v>
      </c>
    </row>
    <row r="791" spans="1:5" x14ac:dyDescent="0.35">
      <c r="A791" s="24">
        <v>43831</v>
      </c>
      <c r="B791" s="24">
        <v>43831</v>
      </c>
      <c r="C791" s="23">
        <v>1.55</v>
      </c>
      <c r="D791">
        <v>0</v>
      </c>
      <c r="E791">
        <f t="shared" si="12"/>
        <v>75</v>
      </c>
    </row>
    <row r="792" spans="1:5" x14ac:dyDescent="0.35">
      <c r="A792" s="24">
        <v>43862</v>
      </c>
      <c r="B792" s="24">
        <v>43862</v>
      </c>
      <c r="C792" s="23">
        <v>1.58</v>
      </c>
      <c r="D792">
        <v>0</v>
      </c>
      <c r="E792">
        <f t="shared" si="12"/>
        <v>74</v>
      </c>
    </row>
    <row r="793" spans="1:5" x14ac:dyDescent="0.35">
      <c r="A793" s="24">
        <v>43891</v>
      </c>
      <c r="B793" s="24">
        <v>43891</v>
      </c>
      <c r="C793" s="23">
        <v>0.65</v>
      </c>
      <c r="D793">
        <v>1</v>
      </c>
      <c r="E793">
        <f t="shared" si="12"/>
        <v>73</v>
      </c>
    </row>
    <row r="794" spans="1:5" x14ac:dyDescent="0.35">
      <c r="A794" s="24">
        <v>43922</v>
      </c>
      <c r="B794" s="24">
        <v>43922</v>
      </c>
      <c r="C794" s="23">
        <v>0.05</v>
      </c>
      <c r="D794">
        <v>0</v>
      </c>
      <c r="E794">
        <f t="shared" si="12"/>
        <v>72</v>
      </c>
    </row>
    <row r="795" spans="1:5" x14ac:dyDescent="0.35">
      <c r="A795" s="24">
        <v>43952</v>
      </c>
      <c r="B795" s="24">
        <v>43952</v>
      </c>
      <c r="C795" s="23">
        <v>0.05</v>
      </c>
      <c r="D795">
        <v>0</v>
      </c>
      <c r="E795">
        <f t="shared" si="12"/>
        <v>71</v>
      </c>
    </row>
    <row r="796" spans="1:5" x14ac:dyDescent="0.35">
      <c r="A796" s="24">
        <v>43983</v>
      </c>
      <c r="B796" s="24">
        <v>43983</v>
      </c>
      <c r="C796" s="23">
        <v>0.08</v>
      </c>
      <c r="D796">
        <v>0</v>
      </c>
      <c r="E796">
        <f t="shared" si="12"/>
        <v>70</v>
      </c>
    </row>
    <row r="797" spans="1:5" x14ac:dyDescent="0.35">
      <c r="A797" s="24">
        <v>44013</v>
      </c>
      <c r="B797" s="24">
        <v>44013</v>
      </c>
      <c r="C797" s="23">
        <v>0.09</v>
      </c>
      <c r="D797">
        <v>1</v>
      </c>
      <c r="E797">
        <f t="shared" si="12"/>
        <v>69</v>
      </c>
    </row>
    <row r="798" spans="1:5" x14ac:dyDescent="0.35">
      <c r="A798" s="24">
        <v>44044</v>
      </c>
      <c r="B798" s="24">
        <v>44044</v>
      </c>
      <c r="C798" s="23">
        <v>0.1</v>
      </c>
      <c r="D798">
        <v>0</v>
      </c>
      <c r="E798">
        <f t="shared" si="12"/>
        <v>68</v>
      </c>
    </row>
    <row r="799" spans="1:5" x14ac:dyDescent="0.35">
      <c r="A799" s="24">
        <v>44075</v>
      </c>
      <c r="B799" s="24">
        <v>44075</v>
      </c>
      <c r="C799" s="23">
        <v>0.09</v>
      </c>
      <c r="D799">
        <v>0</v>
      </c>
      <c r="E799">
        <f t="shared" si="12"/>
        <v>67</v>
      </c>
    </row>
    <row r="800" spans="1:5" x14ac:dyDescent="0.35">
      <c r="A800" s="24">
        <v>44105</v>
      </c>
      <c r="B800" s="24">
        <v>44105</v>
      </c>
      <c r="C800" s="23">
        <v>0.09</v>
      </c>
      <c r="D800">
        <v>0</v>
      </c>
      <c r="E800">
        <f t="shared" si="12"/>
        <v>66</v>
      </c>
    </row>
    <row r="801" spans="1:5" x14ac:dyDescent="0.35">
      <c r="A801" s="24">
        <v>44136</v>
      </c>
      <c r="B801" s="24">
        <v>44136</v>
      </c>
      <c r="C801" s="23">
        <v>0.09</v>
      </c>
      <c r="D801">
        <v>1</v>
      </c>
      <c r="E801">
        <f t="shared" si="12"/>
        <v>65</v>
      </c>
    </row>
    <row r="802" spans="1:5" x14ac:dyDescent="0.35">
      <c r="A802" s="24">
        <v>44166</v>
      </c>
      <c r="B802" s="24">
        <v>44166</v>
      </c>
      <c r="C802" s="23">
        <v>0.09</v>
      </c>
      <c r="D802">
        <v>0</v>
      </c>
      <c r="E802">
        <f t="shared" si="12"/>
        <v>64</v>
      </c>
    </row>
    <row r="803" spans="1:5" x14ac:dyDescent="0.35">
      <c r="A803" s="24">
        <v>44197</v>
      </c>
      <c r="B803" s="24">
        <v>44197</v>
      </c>
      <c r="C803" s="23">
        <v>0.09</v>
      </c>
      <c r="D803">
        <v>0</v>
      </c>
      <c r="E803">
        <f t="shared" si="12"/>
        <v>63</v>
      </c>
    </row>
    <row r="804" spans="1:5" x14ac:dyDescent="0.35">
      <c r="A804" s="24">
        <v>44228</v>
      </c>
      <c r="B804" s="24">
        <v>44228</v>
      </c>
      <c r="C804" s="23">
        <v>0.08</v>
      </c>
      <c r="D804">
        <v>0</v>
      </c>
      <c r="E804">
        <f t="shared" si="12"/>
        <v>62</v>
      </c>
    </row>
    <row r="805" spans="1:5" x14ac:dyDescent="0.35">
      <c r="A805" s="24">
        <v>44256</v>
      </c>
      <c r="B805" s="24">
        <v>44256</v>
      </c>
      <c r="C805" s="23">
        <v>7.0000000000000007E-2</v>
      </c>
      <c r="D805">
        <v>1</v>
      </c>
      <c r="E805">
        <f t="shared" si="12"/>
        <v>61</v>
      </c>
    </row>
    <row r="806" spans="1:5" x14ac:dyDescent="0.35">
      <c r="A806" s="24">
        <v>44287</v>
      </c>
      <c r="B806" s="24">
        <v>44287</v>
      </c>
      <c r="C806" s="23">
        <v>7.0000000000000007E-2</v>
      </c>
      <c r="D806">
        <v>0</v>
      </c>
      <c r="E806">
        <f t="shared" si="12"/>
        <v>60</v>
      </c>
    </row>
    <row r="807" spans="1:5" x14ac:dyDescent="0.35">
      <c r="A807" s="24">
        <v>44317</v>
      </c>
      <c r="B807" s="24">
        <v>44317</v>
      </c>
      <c r="C807" s="23">
        <v>0.06</v>
      </c>
      <c r="D807">
        <v>0</v>
      </c>
      <c r="E807">
        <f t="shared" si="12"/>
        <v>59</v>
      </c>
    </row>
    <row r="808" spans="1:5" x14ac:dyDescent="0.35">
      <c r="A808" s="24">
        <v>44348</v>
      </c>
      <c r="B808" s="24">
        <v>44348</v>
      </c>
      <c r="C808" s="23">
        <v>0.08</v>
      </c>
      <c r="D808">
        <v>0</v>
      </c>
      <c r="E808">
        <f t="shared" si="12"/>
        <v>58</v>
      </c>
    </row>
    <row r="809" spans="1:5" x14ac:dyDescent="0.35">
      <c r="A809" s="24">
        <v>44378</v>
      </c>
      <c r="B809" s="24">
        <v>44378</v>
      </c>
      <c r="C809" s="23">
        <v>0.1</v>
      </c>
      <c r="D809">
        <v>1</v>
      </c>
      <c r="E809">
        <f t="shared" si="12"/>
        <v>57</v>
      </c>
    </row>
    <row r="810" spans="1:5" x14ac:dyDescent="0.35">
      <c r="A810" s="24">
        <v>44409</v>
      </c>
      <c r="B810" s="24">
        <v>44409</v>
      </c>
      <c r="C810" s="23">
        <v>0.09</v>
      </c>
      <c r="D810">
        <v>0</v>
      </c>
      <c r="E810">
        <f t="shared" si="12"/>
        <v>56</v>
      </c>
    </row>
    <row r="811" spans="1:5" x14ac:dyDescent="0.35">
      <c r="A811" s="24">
        <v>44440</v>
      </c>
      <c r="B811" s="24">
        <v>44440</v>
      </c>
      <c r="C811" s="23">
        <v>0.08</v>
      </c>
      <c r="D811">
        <v>0</v>
      </c>
      <c r="E811">
        <f t="shared" si="12"/>
        <v>55</v>
      </c>
    </row>
    <row r="812" spans="1:5" x14ac:dyDescent="0.35">
      <c r="A812" s="24">
        <v>44470</v>
      </c>
      <c r="B812" s="24">
        <v>44470</v>
      </c>
      <c r="C812" s="23">
        <v>0.08</v>
      </c>
      <c r="D812">
        <v>0</v>
      </c>
      <c r="E812">
        <f t="shared" si="12"/>
        <v>54</v>
      </c>
    </row>
    <row r="813" spans="1:5" x14ac:dyDescent="0.35">
      <c r="A813" s="24">
        <v>44501</v>
      </c>
      <c r="B813" s="24">
        <v>44501</v>
      </c>
      <c r="C813" s="23">
        <v>0.08</v>
      </c>
      <c r="D813">
        <v>1</v>
      </c>
      <c r="E813">
        <f t="shared" si="12"/>
        <v>53</v>
      </c>
    </row>
    <row r="814" spans="1:5" x14ac:dyDescent="0.35">
      <c r="A814" s="24">
        <v>44531</v>
      </c>
      <c r="B814" s="24">
        <v>44531</v>
      </c>
      <c r="C814" s="23">
        <v>0.08</v>
      </c>
      <c r="D814">
        <v>0</v>
      </c>
      <c r="E814">
        <f t="shared" si="12"/>
        <v>52</v>
      </c>
    </row>
    <row r="815" spans="1:5" x14ac:dyDescent="0.35">
      <c r="A815" s="24">
        <v>44562</v>
      </c>
      <c r="B815" s="24">
        <v>44562</v>
      </c>
      <c r="C815" s="23">
        <v>0.08</v>
      </c>
      <c r="D815">
        <v>0</v>
      </c>
      <c r="E815">
        <f t="shared" si="12"/>
        <v>51</v>
      </c>
    </row>
    <row r="816" spans="1:5" x14ac:dyDescent="0.35">
      <c r="A816" s="24">
        <v>44593</v>
      </c>
      <c r="B816" s="24">
        <v>44593</v>
      </c>
      <c r="C816" s="23">
        <v>0.08</v>
      </c>
      <c r="D816">
        <v>0</v>
      </c>
      <c r="E816">
        <f t="shared" si="12"/>
        <v>50</v>
      </c>
    </row>
    <row r="817" spans="1:5" x14ac:dyDescent="0.35">
      <c r="A817" s="24">
        <v>44621</v>
      </c>
      <c r="B817" s="24">
        <v>44621</v>
      </c>
      <c r="C817" s="23">
        <v>0.2</v>
      </c>
      <c r="D817">
        <v>1</v>
      </c>
      <c r="E817">
        <f t="shared" si="12"/>
        <v>49</v>
      </c>
    </row>
    <row r="818" spans="1:5" x14ac:dyDescent="0.35">
      <c r="A818" s="24">
        <v>44652</v>
      </c>
      <c r="B818" s="24">
        <v>44652</v>
      </c>
      <c r="C818" s="23">
        <v>0.33</v>
      </c>
      <c r="D818">
        <v>0</v>
      </c>
      <c r="E818">
        <f t="shared" si="12"/>
        <v>48</v>
      </c>
    </row>
    <row r="819" spans="1:5" x14ac:dyDescent="0.35">
      <c r="A819" s="24">
        <v>44682</v>
      </c>
      <c r="B819" s="24">
        <v>44682</v>
      </c>
      <c r="C819" s="23">
        <v>0.77</v>
      </c>
      <c r="D819">
        <v>0</v>
      </c>
      <c r="E819">
        <f t="shared" si="12"/>
        <v>47</v>
      </c>
    </row>
    <row r="820" spans="1:5" x14ac:dyDescent="0.35">
      <c r="A820" s="24">
        <v>44713</v>
      </c>
      <c r="B820" s="24">
        <v>44713</v>
      </c>
      <c r="C820" s="23">
        <v>1.21</v>
      </c>
      <c r="D820">
        <v>0</v>
      </c>
      <c r="E820">
        <f t="shared" si="12"/>
        <v>46</v>
      </c>
    </row>
    <row r="821" spans="1:5" x14ac:dyDescent="0.35">
      <c r="A821" s="24">
        <v>44743</v>
      </c>
      <c r="B821" s="24">
        <v>44743</v>
      </c>
      <c r="C821" s="23">
        <v>1.68</v>
      </c>
      <c r="D821">
        <v>1</v>
      </c>
      <c r="E821">
        <f t="shared" si="12"/>
        <v>45</v>
      </c>
    </row>
    <row r="822" spans="1:5" x14ac:dyDescent="0.35">
      <c r="A822" s="24">
        <v>44774</v>
      </c>
      <c r="B822" s="24">
        <v>44774</v>
      </c>
      <c r="C822" s="23">
        <v>2.33</v>
      </c>
      <c r="D822">
        <v>0</v>
      </c>
      <c r="E822">
        <f t="shared" si="12"/>
        <v>44</v>
      </c>
    </row>
    <row r="823" spans="1:5" x14ac:dyDescent="0.35">
      <c r="A823" s="24">
        <v>44805</v>
      </c>
      <c r="B823" s="24">
        <v>44805</v>
      </c>
      <c r="C823" s="23">
        <v>2.56</v>
      </c>
      <c r="D823">
        <v>0</v>
      </c>
      <c r="E823">
        <f t="shared" si="12"/>
        <v>43</v>
      </c>
    </row>
    <row r="824" spans="1:5" x14ac:dyDescent="0.35">
      <c r="A824" s="24">
        <v>44835</v>
      </c>
      <c r="B824" s="24">
        <v>44835</v>
      </c>
      <c r="C824" s="23">
        <v>3.08</v>
      </c>
      <c r="D824">
        <v>0</v>
      </c>
      <c r="E824">
        <f t="shared" si="12"/>
        <v>42</v>
      </c>
    </row>
    <row r="825" spans="1:5" x14ac:dyDescent="0.35">
      <c r="A825" s="24">
        <v>44866</v>
      </c>
      <c r="B825" s="24">
        <v>44866</v>
      </c>
      <c r="C825" s="23">
        <v>3.78</v>
      </c>
      <c r="D825">
        <v>1</v>
      </c>
      <c r="E825">
        <f t="shared" si="12"/>
        <v>41</v>
      </c>
    </row>
    <row r="826" spans="1:5" x14ac:dyDescent="0.35">
      <c r="A826" s="24">
        <v>44896</v>
      </c>
      <c r="B826" s="24">
        <v>44896</v>
      </c>
      <c r="C826" s="23">
        <v>4.0999999999999996</v>
      </c>
      <c r="D826">
        <v>0</v>
      </c>
      <c r="E826">
        <f t="shared" si="12"/>
        <v>40</v>
      </c>
    </row>
    <row r="827" spans="1:5" x14ac:dyDescent="0.35">
      <c r="A827" s="24">
        <v>44927</v>
      </c>
      <c r="B827" s="24">
        <v>44927</v>
      </c>
      <c r="C827" s="23">
        <v>4.33</v>
      </c>
      <c r="D827">
        <v>0</v>
      </c>
      <c r="E827">
        <f t="shared" si="12"/>
        <v>39</v>
      </c>
    </row>
    <row r="828" spans="1:5" x14ac:dyDescent="0.35">
      <c r="A828" s="24">
        <v>44958</v>
      </c>
      <c r="B828" s="24">
        <v>44958</v>
      </c>
      <c r="C828" s="23">
        <v>4.57</v>
      </c>
      <c r="D828">
        <v>0</v>
      </c>
      <c r="E828">
        <f t="shared" si="12"/>
        <v>38</v>
      </c>
    </row>
    <row r="829" spans="1:5" x14ac:dyDescent="0.35">
      <c r="A829" s="24">
        <v>44986</v>
      </c>
      <c r="B829" s="24">
        <v>44986</v>
      </c>
      <c r="C829" s="23">
        <v>4.6500000000000004</v>
      </c>
      <c r="D829">
        <v>1</v>
      </c>
      <c r="E829">
        <f t="shared" si="12"/>
        <v>37</v>
      </c>
    </row>
    <row r="830" spans="1:5" x14ac:dyDescent="0.35">
      <c r="A830" s="24">
        <v>45017</v>
      </c>
      <c r="B830" s="24">
        <v>45017</v>
      </c>
      <c r="C830" s="23">
        <v>4.83</v>
      </c>
      <c r="D830">
        <v>0</v>
      </c>
      <c r="E830">
        <f t="shared" si="12"/>
        <v>36</v>
      </c>
    </row>
    <row r="831" spans="1:5" x14ac:dyDescent="0.35">
      <c r="A831" s="24">
        <v>45047</v>
      </c>
      <c r="B831" s="24">
        <v>45047</v>
      </c>
      <c r="C831" s="23">
        <v>5.0599999999999996</v>
      </c>
      <c r="D831">
        <v>0</v>
      </c>
      <c r="E831">
        <f t="shared" si="12"/>
        <v>35</v>
      </c>
    </row>
    <row r="832" spans="1:5" x14ac:dyDescent="0.35">
      <c r="A832" s="24">
        <v>45078</v>
      </c>
      <c r="B832" s="24">
        <v>45078</v>
      </c>
      <c r="C832" s="23">
        <v>5.08</v>
      </c>
      <c r="D832">
        <v>0</v>
      </c>
      <c r="E832">
        <f t="shared" si="12"/>
        <v>34</v>
      </c>
    </row>
    <row r="833" spans="1:5" x14ac:dyDescent="0.35">
      <c r="A833" s="24">
        <v>45108</v>
      </c>
      <c r="B833" s="24">
        <v>45108</v>
      </c>
      <c r="C833" s="23">
        <v>5.12</v>
      </c>
      <c r="D833">
        <v>1</v>
      </c>
      <c r="E833">
        <f t="shared" si="12"/>
        <v>33</v>
      </c>
    </row>
    <row r="834" spans="1:5" x14ac:dyDescent="0.35">
      <c r="A834" s="24">
        <v>45139</v>
      </c>
      <c r="B834" s="24">
        <v>45139</v>
      </c>
      <c r="C834" s="23">
        <v>5.33</v>
      </c>
      <c r="D834">
        <v>0</v>
      </c>
      <c r="E834">
        <f t="shared" si="12"/>
        <v>32</v>
      </c>
    </row>
    <row r="835" spans="1:5" x14ac:dyDescent="0.35">
      <c r="A835" s="24">
        <v>45170</v>
      </c>
      <c r="B835" s="24">
        <v>45170</v>
      </c>
      <c r="C835" s="23">
        <v>5.33</v>
      </c>
      <c r="D835">
        <v>0</v>
      </c>
      <c r="E835">
        <f t="shared" si="12"/>
        <v>31</v>
      </c>
    </row>
    <row r="836" spans="1:5" x14ac:dyDescent="0.35">
      <c r="A836" s="24">
        <v>45200</v>
      </c>
      <c r="B836" s="24">
        <v>45200</v>
      </c>
      <c r="C836" s="23">
        <v>5.33</v>
      </c>
      <c r="D836">
        <v>0</v>
      </c>
      <c r="E836">
        <f t="shared" si="12"/>
        <v>30</v>
      </c>
    </row>
    <row r="837" spans="1:5" x14ac:dyDescent="0.35">
      <c r="A837" s="24">
        <v>45231</v>
      </c>
      <c r="B837" s="24">
        <v>45231</v>
      </c>
      <c r="C837" s="23">
        <v>5.33</v>
      </c>
      <c r="D837">
        <v>1</v>
      </c>
      <c r="E837">
        <f t="shared" ref="E837:E863" si="13">E838+1</f>
        <v>29</v>
      </c>
    </row>
    <row r="838" spans="1:5" x14ac:dyDescent="0.35">
      <c r="A838" s="24">
        <v>45261</v>
      </c>
      <c r="B838" s="24">
        <v>45261</v>
      </c>
      <c r="C838" s="23">
        <v>5.33</v>
      </c>
      <c r="D838">
        <v>0</v>
      </c>
      <c r="E838">
        <f t="shared" si="13"/>
        <v>28</v>
      </c>
    </row>
    <row r="839" spans="1:5" x14ac:dyDescent="0.35">
      <c r="A839" s="24">
        <v>45292</v>
      </c>
      <c r="B839" s="24">
        <v>45292</v>
      </c>
      <c r="C839" s="23">
        <v>5.33</v>
      </c>
      <c r="D839">
        <v>0</v>
      </c>
      <c r="E839">
        <f t="shared" si="13"/>
        <v>27</v>
      </c>
    </row>
    <row r="840" spans="1:5" x14ac:dyDescent="0.35">
      <c r="A840" s="24">
        <v>45323</v>
      </c>
      <c r="B840" s="24">
        <v>45323</v>
      </c>
      <c r="C840" s="23">
        <v>5.33</v>
      </c>
      <c r="D840">
        <v>0</v>
      </c>
      <c r="E840">
        <f t="shared" si="13"/>
        <v>26</v>
      </c>
    </row>
    <row r="841" spans="1:5" x14ac:dyDescent="0.35">
      <c r="A841" s="24">
        <v>45352</v>
      </c>
      <c r="B841" s="24">
        <v>45352</v>
      </c>
      <c r="C841" s="23">
        <v>5.33</v>
      </c>
      <c r="D841">
        <v>1</v>
      </c>
      <c r="E841">
        <f t="shared" si="13"/>
        <v>25</v>
      </c>
    </row>
    <row r="842" spans="1:5" x14ac:dyDescent="0.35">
      <c r="A842" s="24">
        <v>45383</v>
      </c>
      <c r="B842" s="24">
        <v>45383</v>
      </c>
      <c r="C842" s="23">
        <v>5.33</v>
      </c>
      <c r="D842">
        <v>0</v>
      </c>
      <c r="E842">
        <f t="shared" si="13"/>
        <v>24</v>
      </c>
    </row>
    <row r="843" spans="1:5" x14ac:dyDescent="0.35">
      <c r="A843" s="24">
        <v>45413</v>
      </c>
      <c r="B843" s="24">
        <v>45413</v>
      </c>
      <c r="C843" s="23">
        <v>5.33</v>
      </c>
      <c r="D843">
        <v>0</v>
      </c>
      <c r="E843">
        <f t="shared" si="13"/>
        <v>23</v>
      </c>
    </row>
    <row r="844" spans="1:5" x14ac:dyDescent="0.35">
      <c r="A844" s="24">
        <v>45444</v>
      </c>
      <c r="B844" s="24">
        <v>45444</v>
      </c>
      <c r="C844" s="23">
        <v>5.33</v>
      </c>
      <c r="D844">
        <v>0</v>
      </c>
      <c r="E844">
        <f t="shared" si="13"/>
        <v>22</v>
      </c>
    </row>
    <row r="845" spans="1:5" x14ac:dyDescent="0.35">
      <c r="A845" s="24">
        <v>45474</v>
      </c>
      <c r="B845" s="24">
        <v>45474</v>
      </c>
      <c r="C845" s="23">
        <v>5.33</v>
      </c>
      <c r="D845">
        <v>1</v>
      </c>
      <c r="E845">
        <f t="shared" si="13"/>
        <v>21</v>
      </c>
    </row>
    <row r="846" spans="1:5" x14ac:dyDescent="0.35">
      <c r="A846" s="24">
        <v>45505</v>
      </c>
      <c r="B846" s="24">
        <v>45505</v>
      </c>
      <c r="C846" s="23">
        <v>5.33</v>
      </c>
      <c r="D846">
        <v>0</v>
      </c>
      <c r="E846">
        <f t="shared" si="13"/>
        <v>20</v>
      </c>
    </row>
    <row r="847" spans="1:5" x14ac:dyDescent="0.35">
      <c r="A847" s="24">
        <v>45536</v>
      </c>
      <c r="B847" s="24">
        <v>45536</v>
      </c>
      <c r="C847" s="23">
        <v>5.13</v>
      </c>
      <c r="D847">
        <v>0</v>
      </c>
      <c r="E847">
        <f t="shared" si="13"/>
        <v>19</v>
      </c>
    </row>
    <row r="848" spans="1:5" x14ac:dyDescent="0.35">
      <c r="A848" s="24">
        <v>45566</v>
      </c>
      <c r="B848" s="24">
        <v>45566</v>
      </c>
      <c r="C848" s="23">
        <v>4.83</v>
      </c>
      <c r="D848">
        <v>0</v>
      </c>
      <c r="E848">
        <f t="shared" si="13"/>
        <v>18</v>
      </c>
    </row>
    <row r="849" spans="1:5" x14ac:dyDescent="0.35">
      <c r="A849" s="24">
        <v>45597</v>
      </c>
      <c r="B849" s="24">
        <v>45597</v>
      </c>
      <c r="C849" s="23">
        <v>4.6399999999999997</v>
      </c>
      <c r="D849">
        <v>1</v>
      </c>
      <c r="E849">
        <f t="shared" si="13"/>
        <v>17</v>
      </c>
    </row>
    <row r="850" spans="1:5" x14ac:dyDescent="0.35">
      <c r="A850" s="24">
        <v>45627</v>
      </c>
      <c r="B850" s="24">
        <v>45627</v>
      </c>
      <c r="C850" s="23">
        <v>4.4800000000000004</v>
      </c>
      <c r="D850">
        <v>0</v>
      </c>
      <c r="E850">
        <f t="shared" si="13"/>
        <v>16</v>
      </c>
    </row>
    <row r="851" spans="1:5" x14ac:dyDescent="0.35">
      <c r="A851" s="24">
        <v>45658</v>
      </c>
      <c r="B851" s="24">
        <v>45658</v>
      </c>
      <c r="C851" s="23">
        <v>4.33</v>
      </c>
      <c r="D851">
        <v>0</v>
      </c>
      <c r="E851">
        <f t="shared" si="13"/>
        <v>15</v>
      </c>
    </row>
    <row r="852" spans="1:5" x14ac:dyDescent="0.35">
      <c r="A852" s="24">
        <v>45689</v>
      </c>
      <c r="B852" s="24">
        <v>45689</v>
      </c>
      <c r="C852" s="23">
        <v>4.33</v>
      </c>
      <c r="D852">
        <v>0</v>
      </c>
      <c r="E852">
        <f t="shared" si="13"/>
        <v>14</v>
      </c>
    </row>
    <row r="853" spans="1:5" x14ac:dyDescent="0.35">
      <c r="A853" s="24">
        <v>45717</v>
      </c>
      <c r="B853" s="24">
        <v>45717</v>
      </c>
      <c r="C853" s="23">
        <v>4.33</v>
      </c>
      <c r="D853">
        <v>1</v>
      </c>
      <c r="E853">
        <f t="shared" si="13"/>
        <v>13</v>
      </c>
    </row>
    <row r="854" spans="1:5" x14ac:dyDescent="0.35">
      <c r="A854" s="24">
        <v>45748</v>
      </c>
      <c r="B854" s="24">
        <v>45748</v>
      </c>
      <c r="C854" s="23">
        <v>4.33</v>
      </c>
      <c r="D854">
        <v>0</v>
      </c>
      <c r="E854">
        <f t="shared" si="13"/>
        <v>12</v>
      </c>
    </row>
    <row r="855" spans="1:5" x14ac:dyDescent="0.35">
      <c r="A855" s="24">
        <v>45778</v>
      </c>
      <c r="B855" s="24">
        <v>45778</v>
      </c>
      <c r="C855" s="23">
        <v>4.33</v>
      </c>
      <c r="D855">
        <v>0</v>
      </c>
      <c r="E855">
        <f t="shared" si="13"/>
        <v>11</v>
      </c>
    </row>
    <row r="856" spans="1:5" x14ac:dyDescent="0.35">
      <c r="A856" s="24">
        <v>45809</v>
      </c>
      <c r="B856" s="24">
        <v>45809</v>
      </c>
      <c r="C856" s="23">
        <v>4.33</v>
      </c>
      <c r="D856">
        <v>0</v>
      </c>
      <c r="E856">
        <f t="shared" si="13"/>
        <v>10</v>
      </c>
    </row>
    <row r="857" spans="1:5" x14ac:dyDescent="0.35">
      <c r="A857" s="24">
        <v>45839</v>
      </c>
      <c r="B857" s="24">
        <v>45839</v>
      </c>
      <c r="C857" s="23">
        <v>4.33</v>
      </c>
      <c r="D857">
        <v>1</v>
      </c>
      <c r="E857">
        <f t="shared" si="13"/>
        <v>9</v>
      </c>
    </row>
    <row r="858" spans="1:5" x14ac:dyDescent="0.35">
      <c r="A858" s="24">
        <v>45870</v>
      </c>
      <c r="B858" s="24">
        <v>45870</v>
      </c>
      <c r="C858" s="23">
        <v>4.33</v>
      </c>
      <c r="D858">
        <v>0</v>
      </c>
      <c r="E858">
        <f t="shared" si="13"/>
        <v>8</v>
      </c>
    </row>
    <row r="859" spans="1:5" x14ac:dyDescent="0.35">
      <c r="A859" s="24">
        <v>45901</v>
      </c>
      <c r="B859" s="24">
        <v>45901</v>
      </c>
      <c r="C859" s="23">
        <v>4.22</v>
      </c>
      <c r="D859">
        <v>0</v>
      </c>
      <c r="E859">
        <f t="shared" si="13"/>
        <v>7</v>
      </c>
    </row>
    <row r="860" spans="1:5" x14ac:dyDescent="0.35">
      <c r="A860" s="24">
        <v>45931</v>
      </c>
      <c r="B860" s="24">
        <v>45931</v>
      </c>
      <c r="C860" s="23">
        <v>4.09</v>
      </c>
      <c r="D860">
        <v>0</v>
      </c>
      <c r="E860">
        <f t="shared" si="13"/>
        <v>6</v>
      </c>
    </row>
    <row r="861" spans="1:5" x14ac:dyDescent="0.35">
      <c r="A861" s="24">
        <v>45962</v>
      </c>
      <c r="B861" s="24">
        <v>45962</v>
      </c>
      <c r="C861" s="23">
        <v>3.88</v>
      </c>
      <c r="D861">
        <v>1</v>
      </c>
      <c r="E861">
        <f t="shared" si="13"/>
        <v>5</v>
      </c>
    </row>
    <row r="862" spans="1:5" x14ac:dyDescent="0.35">
      <c r="A862" s="24">
        <v>45992</v>
      </c>
      <c r="B862" s="24">
        <v>45992</v>
      </c>
      <c r="C862" s="23">
        <v>3.72</v>
      </c>
      <c r="D862">
        <v>0</v>
      </c>
      <c r="E862">
        <f t="shared" si="13"/>
        <v>4</v>
      </c>
    </row>
    <row r="863" spans="1:5" x14ac:dyDescent="0.35">
      <c r="A863" s="24">
        <v>46023</v>
      </c>
      <c r="B863" s="24">
        <v>46023</v>
      </c>
      <c r="C863" s="23">
        <v>3.64</v>
      </c>
      <c r="D863">
        <v>0</v>
      </c>
      <c r="E863">
        <f t="shared" si="13"/>
        <v>3</v>
      </c>
    </row>
    <row r="864" spans="1:5" x14ac:dyDescent="0.35">
      <c r="A864" s="24">
        <v>46054</v>
      </c>
      <c r="B864" s="24">
        <v>46054</v>
      </c>
      <c r="C864" s="23">
        <v>3.64</v>
      </c>
      <c r="D864">
        <v>0</v>
      </c>
      <c r="E864">
        <f>E865+1</f>
        <v>2</v>
      </c>
    </row>
    <row r="865" spans="1:5" x14ac:dyDescent="0.35">
      <c r="A865" s="24">
        <v>46082</v>
      </c>
      <c r="B865" s="24">
        <v>46082</v>
      </c>
      <c r="C865" s="23">
        <v>3.64</v>
      </c>
      <c r="D865">
        <v>0</v>
      </c>
      <c r="E865">
        <v>1</v>
      </c>
    </row>
    <row r="866" spans="1:5" x14ac:dyDescent="0.35">
      <c r="A866" s="24">
        <v>46113</v>
      </c>
      <c r="B866" s="24">
        <v>46113</v>
      </c>
      <c r="C866" s="23">
        <v>3.64</v>
      </c>
      <c r="D866">
        <v>1</v>
      </c>
    </row>
  </sheetData>
  <autoFilter ref="A4:H866" xr:uid="{C0193D46-5AA3-47C8-BC56-6015193B551C}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3578-12CE-4BA4-A4FE-3A30F506DFF0}">
  <dimension ref="A1:BG8"/>
  <sheetViews>
    <sheetView workbookViewId="0">
      <selection activeCell="A7" sqref="A7"/>
    </sheetView>
  </sheetViews>
  <sheetFormatPr defaultRowHeight="14.5" x14ac:dyDescent="0.35"/>
  <cols>
    <col min="1" max="1" width="17" customWidth="1"/>
    <col min="2" max="2" width="10" bestFit="1" customWidth="1"/>
  </cols>
  <sheetData>
    <row r="1" spans="1:59" x14ac:dyDescent="0.35"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</row>
    <row r="2" spans="1:59" x14ac:dyDescent="0.35">
      <c r="A2" t="s">
        <v>92</v>
      </c>
      <c r="B2">
        <v>599728767</v>
      </c>
      <c r="C2">
        <v>605540781</v>
      </c>
      <c r="D2">
        <v>611584621</v>
      </c>
      <c r="E2">
        <v>617678053</v>
      </c>
      <c r="F2">
        <v>623698030</v>
      </c>
      <c r="G2">
        <v>629500499</v>
      </c>
      <c r="H2">
        <v>634339310</v>
      </c>
      <c r="I2">
        <v>639017055</v>
      </c>
      <c r="J2">
        <v>643449685</v>
      </c>
      <c r="K2">
        <v>647750653</v>
      </c>
      <c r="L2">
        <v>651504792</v>
      </c>
      <c r="M2">
        <v>655236057</v>
      </c>
      <c r="N2">
        <v>659487789</v>
      </c>
      <c r="O2">
        <v>663574354</v>
      </c>
      <c r="P2">
        <v>667445192</v>
      </c>
      <c r="Q2">
        <v>671144830</v>
      </c>
      <c r="R2">
        <v>674731401</v>
      </c>
      <c r="S2">
        <v>678106983</v>
      </c>
      <c r="T2">
        <v>681413881</v>
      </c>
      <c r="U2">
        <v>684705324</v>
      </c>
      <c r="V2">
        <v>688118451</v>
      </c>
      <c r="W2">
        <v>691333943</v>
      </c>
      <c r="X2">
        <v>693992403</v>
      </c>
      <c r="Y2">
        <v>696407894</v>
      </c>
      <c r="Z2">
        <v>699003784</v>
      </c>
      <c r="AA2">
        <v>701703378</v>
      </c>
      <c r="AB2">
        <v>704503174</v>
      </c>
      <c r="AC2">
        <v>707350770</v>
      </c>
      <c r="AD2">
        <v>710271210</v>
      </c>
      <c r="AE2">
        <v>713206952</v>
      </c>
      <c r="AF2">
        <v>723231199</v>
      </c>
      <c r="AG2">
        <v>725156004</v>
      </c>
      <c r="AH2">
        <v>726816663</v>
      </c>
      <c r="AI2">
        <v>728212749</v>
      </c>
      <c r="AJ2">
        <v>728942232</v>
      </c>
      <c r="AK2">
        <v>729354297</v>
      </c>
      <c r="AL2">
        <v>729485346</v>
      </c>
      <c r="AM2">
        <v>729525219</v>
      </c>
      <c r="AN2">
        <v>729417543</v>
      </c>
      <c r="AO2">
        <v>729184302</v>
      </c>
      <c r="AP2">
        <v>728726864</v>
      </c>
      <c r="AQ2">
        <v>728400910</v>
      </c>
      <c r="AR2">
        <v>728500157</v>
      </c>
      <c r="AS2">
        <v>729257273</v>
      </c>
      <c r="AT2">
        <v>730267708</v>
      </c>
      <c r="AU2">
        <v>731310642</v>
      </c>
      <c r="AV2">
        <v>732383260</v>
      </c>
      <c r="AW2">
        <v>733844962</v>
      </c>
      <c r="AX2">
        <v>735505044</v>
      </c>
      <c r="AY2">
        <v>736939367</v>
      </c>
      <c r="AZ2">
        <v>737992808</v>
      </c>
      <c r="BA2">
        <v>737689599</v>
      </c>
      <c r="BB2">
        <v>738971586</v>
      </c>
      <c r="BC2">
        <v>740750467</v>
      </c>
      <c r="BD2">
        <v>742508792</v>
      </c>
      <c r="BE2">
        <v>744239631</v>
      </c>
      <c r="BF2">
        <v>745920941</v>
      </c>
      <c r="BG2">
        <v>746940738</v>
      </c>
    </row>
    <row r="3" spans="1:59" x14ac:dyDescent="0.35">
      <c r="A3" t="s">
        <v>93</v>
      </c>
      <c r="B3">
        <v>274107909</v>
      </c>
      <c r="C3">
        <v>279608477</v>
      </c>
      <c r="D3">
        <v>284990400</v>
      </c>
      <c r="E3">
        <v>290303294</v>
      </c>
      <c r="F3">
        <v>295612941</v>
      </c>
      <c r="G3">
        <v>300719322</v>
      </c>
      <c r="H3">
        <v>305716236</v>
      </c>
      <c r="I3">
        <v>310632063</v>
      </c>
      <c r="J3">
        <v>315400792</v>
      </c>
      <c r="K3">
        <v>320149678</v>
      </c>
      <c r="L3">
        <v>325374007</v>
      </c>
      <c r="M3">
        <v>331237575</v>
      </c>
      <c r="N3">
        <v>336395843</v>
      </c>
      <c r="O3">
        <v>341385046</v>
      </c>
      <c r="P3">
        <v>346356970</v>
      </c>
      <c r="Q3">
        <v>351508500</v>
      </c>
      <c r="R3">
        <v>356553562</v>
      </c>
      <c r="S3">
        <v>361689456</v>
      </c>
      <c r="T3">
        <v>366927432</v>
      </c>
      <c r="U3">
        <v>372299446</v>
      </c>
      <c r="V3">
        <v>377473185</v>
      </c>
      <c r="W3">
        <v>382727572</v>
      </c>
      <c r="X3">
        <v>387949091</v>
      </c>
      <c r="Y3">
        <v>393062657</v>
      </c>
      <c r="Z3">
        <v>398071532</v>
      </c>
      <c r="AA3">
        <v>403132630</v>
      </c>
      <c r="AB3">
        <v>408313738</v>
      </c>
      <c r="AC3">
        <v>413518755</v>
      </c>
      <c r="AD3">
        <v>418770083</v>
      </c>
      <c r="AE3">
        <v>424272831</v>
      </c>
      <c r="AF3">
        <v>430198572</v>
      </c>
      <c r="AG3">
        <v>436609841</v>
      </c>
      <c r="AH3">
        <v>443186119</v>
      </c>
      <c r="AI3">
        <v>449617715</v>
      </c>
      <c r="AJ3">
        <v>455839537</v>
      </c>
      <c r="AK3">
        <v>461965272</v>
      </c>
      <c r="AL3">
        <v>468041453</v>
      </c>
      <c r="AM3">
        <v>474220916</v>
      </c>
      <c r="AN3">
        <v>480279303</v>
      </c>
      <c r="AO3">
        <v>486265096</v>
      </c>
      <c r="AP3">
        <v>492198264</v>
      </c>
      <c r="AQ3">
        <v>497844214</v>
      </c>
      <c r="AR3">
        <v>503328730</v>
      </c>
      <c r="AS3">
        <v>508587980</v>
      </c>
      <c r="AT3">
        <v>514101917</v>
      </c>
      <c r="AU3">
        <v>519677435</v>
      </c>
      <c r="AV3">
        <v>525471912</v>
      </c>
      <c r="AW3">
        <v>531283904</v>
      </c>
      <c r="AX3">
        <v>537177993</v>
      </c>
      <c r="AY3">
        <v>542921055</v>
      </c>
      <c r="AZ3">
        <v>548528997</v>
      </c>
      <c r="BA3">
        <v>553757037</v>
      </c>
      <c r="BB3">
        <v>559053023</v>
      </c>
      <c r="BC3">
        <v>564216113</v>
      </c>
      <c r="BD3">
        <v>569466474</v>
      </c>
      <c r="BE3">
        <v>574619781</v>
      </c>
      <c r="BF3">
        <v>579843739</v>
      </c>
      <c r="BG3">
        <v>584782446</v>
      </c>
    </row>
    <row r="4" spans="1:59" x14ac:dyDescent="0.35">
      <c r="A4" t="s">
        <v>94</v>
      </c>
      <c r="B4">
        <v>148651511</v>
      </c>
      <c r="C4">
        <v>152700667</v>
      </c>
      <c r="D4">
        <v>156862361</v>
      </c>
      <c r="E4">
        <v>161115035</v>
      </c>
      <c r="F4">
        <v>165429189</v>
      </c>
      <c r="G4">
        <v>169782211</v>
      </c>
      <c r="H4">
        <v>174169737</v>
      </c>
      <c r="I4">
        <v>178594015</v>
      </c>
      <c r="J4">
        <v>183048023</v>
      </c>
      <c r="K4">
        <v>187525478</v>
      </c>
      <c r="L4">
        <v>192024013</v>
      </c>
      <c r="M4">
        <v>196537732</v>
      </c>
      <c r="N4">
        <v>201072551</v>
      </c>
      <c r="O4">
        <v>205653019</v>
      </c>
      <c r="P4">
        <v>210312688</v>
      </c>
      <c r="Q4">
        <v>215076285</v>
      </c>
      <c r="R4">
        <v>219947926</v>
      </c>
      <c r="S4">
        <v>224921543</v>
      </c>
      <c r="T4">
        <v>229997747</v>
      </c>
      <c r="U4">
        <v>235174373</v>
      </c>
      <c r="V4">
        <v>240446419</v>
      </c>
      <c r="W4">
        <v>245814900</v>
      </c>
      <c r="X4">
        <v>251271113</v>
      </c>
      <c r="Y4">
        <v>256787342</v>
      </c>
      <c r="Z4">
        <v>262327538</v>
      </c>
      <c r="AA4">
        <v>267863559</v>
      </c>
      <c r="AB4">
        <v>273382475</v>
      </c>
      <c r="AC4">
        <v>278883358</v>
      </c>
      <c r="AD4">
        <v>284364788</v>
      </c>
      <c r="AE4">
        <v>289829995</v>
      </c>
      <c r="AF4">
        <v>295280439</v>
      </c>
      <c r="AG4">
        <v>300706713</v>
      </c>
      <c r="AH4">
        <v>306101381</v>
      </c>
      <c r="AI4">
        <v>311470189</v>
      </c>
      <c r="AJ4">
        <v>316822704</v>
      </c>
      <c r="AK4">
        <v>322162422</v>
      </c>
      <c r="AL4">
        <v>327490755</v>
      </c>
      <c r="AM4">
        <v>332794491</v>
      </c>
      <c r="AN4">
        <v>338045088</v>
      </c>
      <c r="AO4">
        <v>343204899</v>
      </c>
      <c r="AP4">
        <v>348245826</v>
      </c>
      <c r="AQ4">
        <v>353160147</v>
      </c>
      <c r="AR4">
        <v>357951719</v>
      </c>
      <c r="AS4">
        <v>362619722</v>
      </c>
      <c r="AT4">
        <v>367167054</v>
      </c>
      <c r="AU4">
        <v>371598749</v>
      </c>
      <c r="AV4">
        <v>375909963</v>
      </c>
      <c r="AW4">
        <v>380105938</v>
      </c>
      <c r="AX4">
        <v>384214554</v>
      </c>
      <c r="AY4">
        <v>388272882</v>
      </c>
      <c r="AZ4">
        <v>392200507</v>
      </c>
      <c r="BA4">
        <v>396272340</v>
      </c>
      <c r="BB4">
        <v>400315907</v>
      </c>
      <c r="BC4">
        <v>404321311</v>
      </c>
      <c r="BD4">
        <v>408271864</v>
      </c>
      <c r="BE4">
        <v>412155398</v>
      </c>
      <c r="BF4">
        <v>415967283</v>
      </c>
      <c r="BG4">
        <v>419712493</v>
      </c>
    </row>
    <row r="5" spans="1:59" x14ac:dyDescent="0.35">
      <c r="A5" t="s">
        <v>91</v>
      </c>
      <c r="B5">
        <v>282962801</v>
      </c>
      <c r="C5">
        <v>289804906</v>
      </c>
      <c r="D5">
        <v>296899168</v>
      </c>
      <c r="E5">
        <v>304243902</v>
      </c>
      <c r="F5">
        <v>311834464</v>
      </c>
      <c r="G5">
        <v>319670091</v>
      </c>
      <c r="H5">
        <v>327757548</v>
      </c>
      <c r="I5">
        <v>336108576</v>
      </c>
      <c r="J5">
        <v>344734523</v>
      </c>
      <c r="K5">
        <v>353648883</v>
      </c>
      <c r="L5">
        <v>362866749</v>
      </c>
      <c r="M5">
        <v>372392922</v>
      </c>
      <c r="N5">
        <v>382242866</v>
      </c>
      <c r="O5">
        <v>392446730</v>
      </c>
      <c r="P5">
        <v>403043547</v>
      </c>
      <c r="Q5">
        <v>414062735</v>
      </c>
      <c r="R5">
        <v>425515936</v>
      </c>
      <c r="S5">
        <v>437404337</v>
      </c>
      <c r="T5">
        <v>449724385</v>
      </c>
      <c r="U5">
        <v>462479947</v>
      </c>
      <c r="V5">
        <v>475661437</v>
      </c>
      <c r="W5">
        <v>489260034</v>
      </c>
      <c r="X5">
        <v>503271364</v>
      </c>
      <c r="Y5">
        <v>517696750</v>
      </c>
      <c r="Z5">
        <v>532544800</v>
      </c>
      <c r="AA5">
        <v>547806342</v>
      </c>
      <c r="AB5">
        <v>563487523</v>
      </c>
      <c r="AC5">
        <v>579567195</v>
      </c>
      <c r="AD5">
        <v>595970378</v>
      </c>
      <c r="AE5">
        <v>612610898</v>
      </c>
      <c r="AF5">
        <v>629422212</v>
      </c>
      <c r="AG5">
        <v>646391288</v>
      </c>
      <c r="AH5">
        <v>663532815</v>
      </c>
      <c r="AI5">
        <v>680861298</v>
      </c>
      <c r="AJ5">
        <v>698411221</v>
      </c>
      <c r="AK5">
        <v>716203914</v>
      </c>
      <c r="AL5">
        <v>734266451</v>
      </c>
      <c r="AM5">
        <v>752618184</v>
      </c>
      <c r="AN5">
        <v>771291222</v>
      </c>
      <c r="AO5">
        <v>790332311</v>
      </c>
      <c r="AP5">
        <v>809778881</v>
      </c>
      <c r="AQ5">
        <v>829656741</v>
      </c>
      <c r="AR5">
        <v>850010369</v>
      </c>
      <c r="AS5">
        <v>870914812</v>
      </c>
      <c r="AT5">
        <v>892466739</v>
      </c>
      <c r="AU5">
        <v>914742174</v>
      </c>
      <c r="AV5">
        <v>937768817</v>
      </c>
      <c r="AW5">
        <v>961556269</v>
      </c>
      <c r="AX5">
        <v>986138494</v>
      </c>
      <c r="AY5">
        <v>1011540481</v>
      </c>
      <c r="AZ5">
        <v>1037780290</v>
      </c>
      <c r="BA5">
        <v>1064861709</v>
      </c>
      <c r="BB5">
        <v>1089525787</v>
      </c>
      <c r="BC5">
        <v>1118176688</v>
      </c>
      <c r="BD5">
        <v>1147512960</v>
      </c>
      <c r="BE5">
        <v>1177462092</v>
      </c>
      <c r="BF5">
        <v>1207999977</v>
      </c>
      <c r="BG5">
        <v>1239112130</v>
      </c>
    </row>
    <row r="6" spans="1:59" x14ac:dyDescent="0.35">
      <c r="A6" t="s">
        <v>95</v>
      </c>
      <c r="B6">
        <v>593457984</v>
      </c>
      <c r="C6">
        <v>609552107</v>
      </c>
      <c r="D6">
        <v>624529588</v>
      </c>
      <c r="E6">
        <v>639892199</v>
      </c>
      <c r="F6">
        <v>655710649</v>
      </c>
      <c r="G6">
        <v>671993411</v>
      </c>
      <c r="H6">
        <v>688624729</v>
      </c>
      <c r="I6">
        <v>705593099</v>
      </c>
      <c r="J6">
        <v>722253660</v>
      </c>
      <c r="K6">
        <v>740906594</v>
      </c>
      <c r="L6">
        <v>758698351</v>
      </c>
      <c r="M6">
        <v>776839675</v>
      </c>
      <c r="N6">
        <v>794979486</v>
      </c>
      <c r="O6">
        <v>812664212</v>
      </c>
      <c r="P6">
        <v>831923987</v>
      </c>
      <c r="Q6">
        <v>851044275</v>
      </c>
      <c r="R6">
        <v>869510285</v>
      </c>
      <c r="S6">
        <v>888612457</v>
      </c>
      <c r="T6">
        <v>908093123</v>
      </c>
      <c r="U6">
        <v>928074533</v>
      </c>
      <c r="V6">
        <v>948670183</v>
      </c>
      <c r="W6">
        <v>970003231</v>
      </c>
      <c r="X6">
        <v>991896708</v>
      </c>
      <c r="Y6">
        <v>1014157105</v>
      </c>
      <c r="Z6">
        <v>1036610770</v>
      </c>
      <c r="AA6">
        <v>1059207247</v>
      </c>
      <c r="AB6">
        <v>1082046798</v>
      </c>
      <c r="AC6">
        <v>1105001496</v>
      </c>
      <c r="AD6">
        <v>1128038835</v>
      </c>
      <c r="AE6">
        <v>1151042613</v>
      </c>
      <c r="AF6">
        <v>1176121556</v>
      </c>
      <c r="AG6">
        <v>1199463646</v>
      </c>
      <c r="AH6">
        <v>1220495550</v>
      </c>
      <c r="AI6">
        <v>1243250367</v>
      </c>
      <c r="AJ6">
        <v>1265672585</v>
      </c>
      <c r="AK6">
        <v>1289392761</v>
      </c>
      <c r="AL6">
        <v>1311201714</v>
      </c>
      <c r="AM6">
        <v>1332719121</v>
      </c>
      <c r="AN6">
        <v>1353912687</v>
      </c>
      <c r="AO6">
        <v>1374880065</v>
      </c>
      <c r="AP6">
        <v>1396148605</v>
      </c>
      <c r="AQ6">
        <v>1417600165</v>
      </c>
      <c r="AR6">
        <v>1438978911</v>
      </c>
      <c r="AS6">
        <v>1460308367</v>
      </c>
      <c r="AT6">
        <v>1481525275</v>
      </c>
      <c r="AU6">
        <v>1502742818</v>
      </c>
      <c r="AV6">
        <v>1524306416</v>
      </c>
      <c r="AW6">
        <v>1545884222</v>
      </c>
      <c r="AX6">
        <v>1568095453</v>
      </c>
      <c r="AY6">
        <v>1590474798</v>
      </c>
      <c r="AZ6">
        <v>1612945414</v>
      </c>
      <c r="BA6">
        <v>1635473124</v>
      </c>
      <c r="BB6">
        <v>1657764920</v>
      </c>
      <c r="BC6">
        <v>1680308464</v>
      </c>
      <c r="BD6">
        <v>1702994985</v>
      </c>
      <c r="BE6">
        <v>1725579006</v>
      </c>
      <c r="BF6">
        <v>1748020029</v>
      </c>
      <c r="BG6">
        <v>1770146244</v>
      </c>
    </row>
    <row r="7" spans="1:59" x14ac:dyDescent="0.35">
      <c r="A7" t="s">
        <v>89</v>
      </c>
      <c r="B7">
        <v>670313396</v>
      </c>
      <c r="C7">
        <v>663668562</v>
      </c>
      <c r="D7">
        <v>669251383</v>
      </c>
      <c r="E7">
        <v>685940145</v>
      </c>
      <c r="F7">
        <v>702053161</v>
      </c>
      <c r="G7">
        <v>718986128</v>
      </c>
      <c r="H7">
        <v>739243092</v>
      </c>
      <c r="I7">
        <v>758496218</v>
      </c>
      <c r="J7">
        <v>778545700</v>
      </c>
      <c r="K7">
        <v>800129739</v>
      </c>
      <c r="L7">
        <v>822520194</v>
      </c>
      <c r="M7">
        <v>845399038</v>
      </c>
      <c r="N7">
        <v>866402367</v>
      </c>
      <c r="O7">
        <v>886428547</v>
      </c>
      <c r="P7">
        <v>904972085</v>
      </c>
      <c r="Q7">
        <v>921098228</v>
      </c>
      <c r="R7">
        <v>935442075</v>
      </c>
      <c r="S7">
        <v>948275378</v>
      </c>
      <c r="T7">
        <v>961067671</v>
      </c>
      <c r="U7">
        <v>974170140</v>
      </c>
      <c r="V7">
        <v>986536171</v>
      </c>
      <c r="W7">
        <v>999311773</v>
      </c>
      <c r="X7">
        <v>1014145658</v>
      </c>
      <c r="Y7">
        <v>1028916031</v>
      </c>
      <c r="Z7">
        <v>1042494818</v>
      </c>
      <c r="AA7">
        <v>1056779703</v>
      </c>
      <c r="AB7">
        <v>1072610191</v>
      </c>
      <c r="AC7">
        <v>1089923680</v>
      </c>
      <c r="AD7">
        <v>1107578373</v>
      </c>
      <c r="AE7">
        <v>1124668983</v>
      </c>
      <c r="AF7">
        <v>1141233308</v>
      </c>
      <c r="AG7">
        <v>1156885626</v>
      </c>
      <c r="AH7">
        <v>1171132811</v>
      </c>
      <c r="AI7">
        <v>1184711199</v>
      </c>
      <c r="AJ7">
        <v>1198248198</v>
      </c>
      <c r="AK7">
        <v>1211396613</v>
      </c>
      <c r="AL7">
        <v>1224378873</v>
      </c>
      <c r="AM7">
        <v>1236965652</v>
      </c>
      <c r="AN7">
        <v>1248888316</v>
      </c>
      <c r="AO7">
        <v>1259759883</v>
      </c>
      <c r="AP7">
        <v>1269737782</v>
      </c>
      <c r="AQ7">
        <v>1279002238</v>
      </c>
      <c r="AR7">
        <v>1287592921</v>
      </c>
      <c r="AS7">
        <v>1295590965</v>
      </c>
      <c r="AT7">
        <v>1303330097</v>
      </c>
      <c r="AU7">
        <v>1311016058</v>
      </c>
      <c r="AV7">
        <v>1318370899</v>
      </c>
      <c r="AW7">
        <v>1325305811</v>
      </c>
      <c r="AX7">
        <v>1332128039</v>
      </c>
      <c r="AY7">
        <v>1338759200</v>
      </c>
      <c r="AZ7">
        <v>1345267419</v>
      </c>
      <c r="BA7">
        <v>1351752432</v>
      </c>
      <c r="BB7">
        <v>1358409139</v>
      </c>
      <c r="BC7">
        <v>1365136272</v>
      </c>
      <c r="BD7">
        <v>1372089708</v>
      </c>
      <c r="BE7">
        <v>1379113385</v>
      </c>
      <c r="BF7">
        <v>1386614436</v>
      </c>
      <c r="BG7">
        <v>1394409285</v>
      </c>
    </row>
    <row r="8" spans="1:59" x14ac:dyDescent="0.35">
      <c r="A8" t="s">
        <v>90</v>
      </c>
      <c r="B8">
        <v>450547679</v>
      </c>
      <c r="C8">
        <v>459642165</v>
      </c>
      <c r="D8">
        <v>469077190</v>
      </c>
      <c r="E8">
        <v>478825608</v>
      </c>
      <c r="F8">
        <v>488848135</v>
      </c>
      <c r="G8">
        <v>499123324</v>
      </c>
      <c r="H8">
        <v>509631500</v>
      </c>
      <c r="I8">
        <v>520400576</v>
      </c>
      <c r="J8">
        <v>531513824</v>
      </c>
      <c r="K8">
        <v>543084336</v>
      </c>
      <c r="L8">
        <v>555189792</v>
      </c>
      <c r="M8">
        <v>567868018</v>
      </c>
      <c r="N8">
        <v>581087256</v>
      </c>
      <c r="O8">
        <v>594770134</v>
      </c>
      <c r="P8">
        <v>608802600</v>
      </c>
      <c r="Q8">
        <v>623102897</v>
      </c>
      <c r="R8">
        <v>637630087</v>
      </c>
      <c r="S8">
        <v>652408776</v>
      </c>
      <c r="T8">
        <v>667499806</v>
      </c>
      <c r="U8">
        <v>682995354</v>
      </c>
      <c r="V8">
        <v>698952844</v>
      </c>
      <c r="W8">
        <v>715384993</v>
      </c>
      <c r="X8">
        <v>732239504</v>
      </c>
      <c r="Y8">
        <v>749428958</v>
      </c>
      <c r="Z8">
        <v>766833410</v>
      </c>
      <c r="AA8">
        <v>784360008</v>
      </c>
      <c r="AB8">
        <v>801975244</v>
      </c>
      <c r="AC8">
        <v>819682102</v>
      </c>
      <c r="AD8">
        <v>837468930</v>
      </c>
      <c r="AE8">
        <v>855334678</v>
      </c>
      <c r="AF8">
        <v>873277798</v>
      </c>
      <c r="AG8">
        <v>891273209</v>
      </c>
      <c r="AH8">
        <v>909307016</v>
      </c>
      <c r="AI8">
        <v>927403860</v>
      </c>
      <c r="AJ8">
        <v>945601831</v>
      </c>
      <c r="AK8">
        <v>963922588</v>
      </c>
      <c r="AL8">
        <v>982365243</v>
      </c>
      <c r="AM8">
        <v>1000900030</v>
      </c>
      <c r="AN8">
        <v>1019483581</v>
      </c>
      <c r="AO8">
        <v>1038058156</v>
      </c>
      <c r="AP8">
        <v>1056575549</v>
      </c>
      <c r="AQ8">
        <v>1075000085</v>
      </c>
      <c r="AR8">
        <v>1093317189</v>
      </c>
      <c r="AS8">
        <v>1111523144</v>
      </c>
      <c r="AT8">
        <v>1129623456</v>
      </c>
      <c r="AU8">
        <v>1147609927</v>
      </c>
      <c r="AV8">
        <v>1165486291</v>
      </c>
      <c r="AW8">
        <v>1183209472</v>
      </c>
      <c r="AX8">
        <v>1200669765</v>
      </c>
      <c r="AY8">
        <v>1217726215</v>
      </c>
      <c r="AZ8">
        <v>1234281170</v>
      </c>
      <c r="BA8">
        <v>1250288729</v>
      </c>
      <c r="BB8">
        <v>1265782790</v>
      </c>
      <c r="BC8">
        <v>1280846129</v>
      </c>
      <c r="BD8">
        <v>1295604184</v>
      </c>
      <c r="BE8">
        <v>1310152403</v>
      </c>
      <c r="BF8">
        <v>1324509589</v>
      </c>
      <c r="BG8">
        <v>1338658835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0092-C587-44D4-86BE-BD279C668C9D}">
  <dimension ref="A1:L17"/>
  <sheetViews>
    <sheetView workbookViewId="0">
      <selection activeCell="T14" sqref="T14"/>
    </sheetView>
  </sheetViews>
  <sheetFormatPr defaultRowHeight="14.5" x14ac:dyDescent="0.35"/>
  <cols>
    <col min="1" max="1" width="26.81640625" bestFit="1" customWidth="1"/>
    <col min="2" max="2" width="15" bestFit="1" customWidth="1"/>
    <col min="4" max="4" width="11.26953125" bestFit="1" customWidth="1"/>
    <col min="5" max="5" width="14.7265625" bestFit="1" customWidth="1"/>
    <col min="6" max="6" width="8.453125" bestFit="1" customWidth="1"/>
    <col min="10" max="10" width="26.81640625" bestFit="1" customWidth="1"/>
    <col min="11" max="11" width="14.26953125" bestFit="1" customWidth="1"/>
  </cols>
  <sheetData>
    <row r="1" spans="1:12" ht="18.5" x14ac:dyDescent="0.45">
      <c r="A1" s="25" t="s">
        <v>96</v>
      </c>
    </row>
    <row r="3" spans="1:12" x14ac:dyDescent="0.35">
      <c r="A3" s="27" t="s">
        <v>25</v>
      </c>
      <c r="B3" s="28" t="s">
        <v>97</v>
      </c>
      <c r="D3" s="26" t="s">
        <v>110</v>
      </c>
      <c r="E3" s="26" t="s">
        <v>111</v>
      </c>
      <c r="F3" s="26" t="s">
        <v>112</v>
      </c>
      <c r="G3" s="26" t="s">
        <v>113</v>
      </c>
      <c r="J3" t="s">
        <v>25</v>
      </c>
      <c r="K3" t="s">
        <v>97</v>
      </c>
    </row>
    <row r="4" spans="1:12" x14ac:dyDescent="0.35">
      <c r="A4" s="29" t="s">
        <v>1</v>
      </c>
      <c r="B4" s="30">
        <v>12500</v>
      </c>
      <c r="D4" t="s">
        <v>1</v>
      </c>
      <c r="E4">
        <v>0</v>
      </c>
      <c r="F4">
        <v>12500</v>
      </c>
      <c r="G4">
        <v>0</v>
      </c>
      <c r="J4" t="s">
        <v>1</v>
      </c>
      <c r="K4" s="21">
        <v>12500000</v>
      </c>
    </row>
    <row r="5" spans="1:12" x14ac:dyDescent="0.35">
      <c r="A5" t="s">
        <v>98</v>
      </c>
      <c r="B5" s="31">
        <v>-4800</v>
      </c>
      <c r="D5" t="s">
        <v>114</v>
      </c>
      <c r="E5" s="31">
        <f>E4+F4+G4</f>
        <v>12500</v>
      </c>
      <c r="F5">
        <v>0</v>
      </c>
      <c r="G5">
        <v>4800</v>
      </c>
      <c r="J5" t="s">
        <v>114</v>
      </c>
      <c r="K5" s="21">
        <v>-4800000</v>
      </c>
      <c r="L5" s="33">
        <f>K5/K4</f>
        <v>-0.38400000000000001</v>
      </c>
    </row>
    <row r="6" spans="1:12" x14ac:dyDescent="0.35">
      <c r="A6" s="29" t="s">
        <v>99</v>
      </c>
      <c r="B6" s="30">
        <f>B4+B5</f>
        <v>7700</v>
      </c>
      <c r="D6" t="s">
        <v>99</v>
      </c>
      <c r="E6">
        <v>0</v>
      </c>
      <c r="F6" s="31">
        <f>E5+F5-G5</f>
        <v>7700</v>
      </c>
      <c r="G6">
        <v>0</v>
      </c>
      <c r="J6" t="s">
        <v>123</v>
      </c>
      <c r="K6" s="21">
        <v>-420000</v>
      </c>
    </row>
    <row r="7" spans="1:12" x14ac:dyDescent="0.35">
      <c r="A7" t="s">
        <v>100</v>
      </c>
      <c r="B7" s="31">
        <v>-1900</v>
      </c>
      <c r="D7" t="s">
        <v>115</v>
      </c>
      <c r="E7" s="31">
        <f>E6+F6+G6</f>
        <v>7700</v>
      </c>
      <c r="F7">
        <v>0</v>
      </c>
      <c r="G7">
        <v>1900</v>
      </c>
      <c r="J7" t="s">
        <v>115</v>
      </c>
      <c r="K7" s="21">
        <v>-1200000</v>
      </c>
    </row>
    <row r="8" spans="1:12" x14ac:dyDescent="0.35">
      <c r="A8" t="s">
        <v>101</v>
      </c>
      <c r="B8" s="31">
        <v>-1200</v>
      </c>
      <c r="D8" t="s">
        <v>116</v>
      </c>
      <c r="E8" s="31">
        <f>E7+F7-G7</f>
        <v>5800</v>
      </c>
      <c r="F8">
        <v>0</v>
      </c>
      <c r="G8">
        <v>1200</v>
      </c>
      <c r="J8" t="s">
        <v>117</v>
      </c>
      <c r="K8" s="21">
        <v>-850000</v>
      </c>
    </row>
    <row r="9" spans="1:12" x14ac:dyDescent="0.35">
      <c r="A9" t="s">
        <v>102</v>
      </c>
      <c r="B9" s="31">
        <v>-850</v>
      </c>
      <c r="D9" t="s">
        <v>117</v>
      </c>
      <c r="E9" s="31">
        <f>E8+F8-G8</f>
        <v>4600</v>
      </c>
      <c r="F9">
        <v>0</v>
      </c>
      <c r="G9">
        <v>850</v>
      </c>
      <c r="J9" t="s">
        <v>119</v>
      </c>
      <c r="K9" s="21">
        <v>-280000</v>
      </c>
    </row>
    <row r="10" spans="1:12" x14ac:dyDescent="0.35">
      <c r="A10" s="29" t="s">
        <v>103</v>
      </c>
      <c r="B10" s="30">
        <f>B6+B7+B8+B9</f>
        <v>3750</v>
      </c>
      <c r="D10" t="s">
        <v>103</v>
      </c>
      <c r="E10">
        <v>0</v>
      </c>
      <c r="F10" s="31">
        <f>E9+F9-G9</f>
        <v>3750</v>
      </c>
      <c r="G10">
        <v>0</v>
      </c>
      <c r="J10" t="s">
        <v>124</v>
      </c>
      <c r="K10" s="21">
        <v>540000</v>
      </c>
    </row>
    <row r="11" spans="1:12" x14ac:dyDescent="0.35">
      <c r="A11" t="s">
        <v>104</v>
      </c>
      <c r="B11" s="31">
        <v>-420</v>
      </c>
      <c r="D11" t="s">
        <v>118</v>
      </c>
      <c r="E11" s="31">
        <f>E10+F10+G10</f>
        <v>3750</v>
      </c>
      <c r="F11">
        <v>0</v>
      </c>
      <c r="G11">
        <v>420</v>
      </c>
      <c r="J11" t="s">
        <v>116</v>
      </c>
      <c r="K11" s="21">
        <v>-1900000</v>
      </c>
    </row>
    <row r="12" spans="1:12" x14ac:dyDescent="0.35">
      <c r="A12" s="29" t="s">
        <v>105</v>
      </c>
      <c r="B12" s="30">
        <f>B10+B11</f>
        <v>3330</v>
      </c>
      <c r="D12" t="s">
        <v>105</v>
      </c>
      <c r="E12">
        <v>0</v>
      </c>
      <c r="F12" s="31">
        <f>E11+F11-G11</f>
        <v>3330</v>
      </c>
      <c r="G12">
        <v>0</v>
      </c>
      <c r="J12" t="s">
        <v>109</v>
      </c>
      <c r="K12" s="21">
        <v>-740000</v>
      </c>
    </row>
    <row r="13" spans="1:12" x14ac:dyDescent="0.35">
      <c r="A13" t="s">
        <v>106</v>
      </c>
      <c r="B13" s="31">
        <v>-280</v>
      </c>
      <c r="D13" t="s">
        <v>119</v>
      </c>
      <c r="E13" s="31">
        <f>E12+F12+G12</f>
        <v>3330</v>
      </c>
      <c r="F13">
        <v>0</v>
      </c>
      <c r="G13">
        <v>280</v>
      </c>
      <c r="J13" t="s">
        <v>29</v>
      </c>
      <c r="K13" s="21">
        <f>SUM(K4:K12)</f>
        <v>2850000</v>
      </c>
    </row>
    <row r="14" spans="1:12" x14ac:dyDescent="0.35">
      <c r="A14" s="29" t="s">
        <v>107</v>
      </c>
      <c r="B14" s="30">
        <v>65</v>
      </c>
      <c r="D14" t="s">
        <v>120</v>
      </c>
      <c r="E14" s="31">
        <f>E13+F13-G13</f>
        <v>3050</v>
      </c>
      <c r="F14" s="31">
        <v>65</v>
      </c>
      <c r="G14">
        <v>0</v>
      </c>
    </row>
    <row r="15" spans="1:12" x14ac:dyDescent="0.35">
      <c r="A15" s="29" t="s">
        <v>108</v>
      </c>
      <c r="B15" s="30">
        <f>B12+B13+B14</f>
        <v>3115</v>
      </c>
      <c r="D15" t="s">
        <v>121</v>
      </c>
      <c r="E15">
        <v>0</v>
      </c>
      <c r="F15" s="31">
        <f>E14+F14+G14</f>
        <v>3115</v>
      </c>
      <c r="G15">
        <v>0</v>
      </c>
      <c r="K15" s="31"/>
    </row>
    <row r="16" spans="1:12" x14ac:dyDescent="0.35">
      <c r="A16" s="29" t="s">
        <v>109</v>
      </c>
      <c r="B16" s="30">
        <v>-740</v>
      </c>
      <c r="D16" t="s">
        <v>122</v>
      </c>
      <c r="E16" s="31">
        <f>E15+F15+G15</f>
        <v>3115</v>
      </c>
      <c r="F16" s="31">
        <v>0</v>
      </c>
      <c r="G16">
        <v>740</v>
      </c>
      <c r="K16" s="31"/>
    </row>
    <row r="17" spans="1:11" x14ac:dyDescent="0.35">
      <c r="A17" s="26" t="s">
        <v>29</v>
      </c>
      <c r="B17" s="32">
        <f>B15+B16</f>
        <v>2375</v>
      </c>
      <c r="D17" t="s">
        <v>29</v>
      </c>
      <c r="E17">
        <v>0</v>
      </c>
      <c r="F17" s="31">
        <f>E16+F16-G16</f>
        <v>2375</v>
      </c>
      <c r="G17">
        <v>0</v>
      </c>
      <c r="K17" s="31"/>
    </row>
  </sheetData>
  <sortState xmlns:xlrd2="http://schemas.microsoft.com/office/spreadsheetml/2017/richdata2" ref="J7:K17">
    <sortCondition ref="J7:J17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E1BE-6D65-4732-8DCF-31E0D2C77CF4}">
  <dimension ref="A1:K31"/>
  <sheetViews>
    <sheetView tabSelected="1" workbookViewId="0">
      <selection activeCell="D2" sqref="D2:D31"/>
    </sheetView>
  </sheetViews>
  <sheetFormatPr defaultRowHeight="14.5" x14ac:dyDescent="0.35"/>
  <cols>
    <col min="1" max="1" width="7" bestFit="1" customWidth="1"/>
    <col min="2" max="2" width="9.54296875" bestFit="1" customWidth="1"/>
    <col min="3" max="3" width="10.90625" bestFit="1" customWidth="1"/>
    <col min="5" max="5" width="5" bestFit="1" customWidth="1"/>
    <col min="6" max="6" width="9.54296875" bestFit="1" customWidth="1"/>
    <col min="7" max="7" width="10.90625" bestFit="1" customWidth="1"/>
    <col min="9" max="9" width="6.81640625" bestFit="1" customWidth="1"/>
    <col min="10" max="10" width="9.54296875" bestFit="1" customWidth="1"/>
    <col min="11" max="11" width="10.90625" bestFit="1" customWidth="1"/>
  </cols>
  <sheetData>
    <row r="1" spans="1:11" x14ac:dyDescent="0.35">
      <c r="A1" s="34" t="s">
        <v>125</v>
      </c>
      <c r="B1" s="34" t="s">
        <v>126</v>
      </c>
      <c r="C1" s="34" t="s">
        <v>127</v>
      </c>
      <c r="E1" s="34" t="s">
        <v>128</v>
      </c>
      <c r="F1" s="34" t="s">
        <v>126</v>
      </c>
      <c r="G1" s="34" t="s">
        <v>127</v>
      </c>
      <c r="I1" s="35" t="s">
        <v>129</v>
      </c>
      <c r="J1" s="35" t="s">
        <v>126</v>
      </c>
      <c r="K1" s="35" t="s">
        <v>127</v>
      </c>
    </row>
    <row r="2" spans="1:11" x14ac:dyDescent="0.35">
      <c r="A2" t="s">
        <v>128</v>
      </c>
      <c r="B2">
        <v>177.8</v>
      </c>
      <c r="C2">
        <v>78.017887639999998</v>
      </c>
      <c r="E2" t="s">
        <v>128</v>
      </c>
      <c r="F2">
        <f>B2</f>
        <v>177.8</v>
      </c>
      <c r="G2">
        <f>C2</f>
        <v>78.017887639999998</v>
      </c>
      <c r="I2" t="s">
        <v>129</v>
      </c>
      <c r="J2">
        <f>B17</f>
        <v>162.56</v>
      </c>
      <c r="K2">
        <f>C17</f>
        <v>58.967008100000001</v>
      </c>
    </row>
    <row r="3" spans="1:11" x14ac:dyDescent="0.35">
      <c r="A3" t="s">
        <v>128</v>
      </c>
      <c r="B3">
        <v>172.72</v>
      </c>
      <c r="C3">
        <v>71.667594460000004</v>
      </c>
      <c r="E3" t="s">
        <v>128</v>
      </c>
      <c r="F3">
        <f>B3</f>
        <v>172.72</v>
      </c>
      <c r="G3">
        <f>C3</f>
        <v>71.667594460000004</v>
      </c>
      <c r="I3" t="s">
        <v>129</v>
      </c>
      <c r="J3">
        <f>B18</f>
        <v>157.47999999999999</v>
      </c>
      <c r="K3">
        <f>C18</f>
        <v>53.523899660000005</v>
      </c>
    </row>
    <row r="4" spans="1:11" x14ac:dyDescent="0.35">
      <c r="A4" t="s">
        <v>128</v>
      </c>
      <c r="B4">
        <v>187.96</v>
      </c>
      <c r="C4">
        <v>95.254397699999998</v>
      </c>
      <c r="E4" t="s">
        <v>128</v>
      </c>
      <c r="F4">
        <f>B4</f>
        <v>187.96</v>
      </c>
      <c r="G4">
        <f>C4</f>
        <v>95.254397699999998</v>
      </c>
      <c r="I4" t="s">
        <v>129</v>
      </c>
      <c r="J4">
        <f>B19</f>
        <v>167.64000000000001</v>
      </c>
      <c r="K4">
        <f>C19</f>
        <v>64.410116540000004</v>
      </c>
    </row>
    <row r="5" spans="1:11" x14ac:dyDescent="0.35">
      <c r="A5" t="s">
        <v>128</v>
      </c>
      <c r="B5">
        <v>182.88</v>
      </c>
      <c r="C5">
        <v>88.450512150000009</v>
      </c>
      <c r="E5" t="s">
        <v>128</v>
      </c>
      <c r="F5">
        <f>B5</f>
        <v>182.88</v>
      </c>
      <c r="G5">
        <f>C5</f>
        <v>88.450512150000009</v>
      </c>
      <c r="I5" t="s">
        <v>129</v>
      </c>
      <c r="J5">
        <f>B20</f>
        <v>172.72</v>
      </c>
      <c r="K5">
        <f>C20</f>
        <v>70.306817350000003</v>
      </c>
    </row>
    <row r="6" spans="1:11" x14ac:dyDescent="0.35">
      <c r="A6" t="s">
        <v>128</v>
      </c>
      <c r="B6">
        <v>165.1</v>
      </c>
      <c r="C6">
        <v>65.770893650000005</v>
      </c>
      <c r="E6" t="s">
        <v>128</v>
      </c>
      <c r="F6">
        <f>B6</f>
        <v>165.1</v>
      </c>
      <c r="G6">
        <f>C6</f>
        <v>65.770893650000005</v>
      </c>
      <c r="I6" t="s">
        <v>129</v>
      </c>
      <c r="J6">
        <f>B21</f>
        <v>152.4</v>
      </c>
      <c r="K6">
        <f>C21</f>
        <v>50.802345440000003</v>
      </c>
    </row>
    <row r="7" spans="1:11" x14ac:dyDescent="0.35">
      <c r="A7" t="s">
        <v>128</v>
      </c>
      <c r="B7">
        <v>180.34</v>
      </c>
      <c r="C7">
        <v>81.646626600000005</v>
      </c>
      <c r="E7" t="s">
        <v>128</v>
      </c>
      <c r="F7">
        <f>B7</f>
        <v>180.34</v>
      </c>
      <c r="G7">
        <f>C7</f>
        <v>81.646626600000005</v>
      </c>
      <c r="I7" t="s">
        <v>129</v>
      </c>
      <c r="J7">
        <f>B22</f>
        <v>165.1</v>
      </c>
      <c r="K7">
        <f>C22</f>
        <v>62.595747060000001</v>
      </c>
    </row>
    <row r="8" spans="1:11" x14ac:dyDescent="0.35">
      <c r="A8" t="s">
        <v>128</v>
      </c>
      <c r="B8">
        <v>185.42000000000002</v>
      </c>
      <c r="C8">
        <v>92.986435850000007</v>
      </c>
      <c r="E8" t="s">
        <v>128</v>
      </c>
      <c r="F8">
        <f>B8</f>
        <v>185.42000000000002</v>
      </c>
      <c r="G8">
        <f>C8</f>
        <v>92.986435850000007</v>
      </c>
      <c r="I8" t="s">
        <v>129</v>
      </c>
      <c r="J8">
        <f>B23</f>
        <v>160.02000000000001</v>
      </c>
      <c r="K8">
        <f>C23</f>
        <v>56.699046250000002</v>
      </c>
    </row>
    <row r="9" spans="1:11" x14ac:dyDescent="0.35">
      <c r="A9" t="s">
        <v>128</v>
      </c>
      <c r="B9">
        <v>175.26</v>
      </c>
      <c r="C9">
        <v>73.93555631000001</v>
      </c>
      <c r="E9" t="s">
        <v>128</v>
      </c>
      <c r="F9">
        <f>B9</f>
        <v>175.26</v>
      </c>
      <c r="G9">
        <f>C9</f>
        <v>73.93555631000001</v>
      </c>
      <c r="I9" t="s">
        <v>129</v>
      </c>
      <c r="J9">
        <f>B24</f>
        <v>170.18</v>
      </c>
      <c r="K9">
        <f>C24</f>
        <v>67.131670760000006</v>
      </c>
    </row>
    <row r="10" spans="1:11" x14ac:dyDescent="0.35">
      <c r="A10" t="s">
        <v>128</v>
      </c>
      <c r="B10">
        <v>193.04</v>
      </c>
      <c r="C10">
        <v>102.05828325</v>
      </c>
      <c r="E10" t="s">
        <v>128</v>
      </c>
      <c r="F10">
        <f>B10</f>
        <v>193.04</v>
      </c>
      <c r="G10">
        <f>C10</f>
        <v>102.05828325</v>
      </c>
      <c r="I10" t="s">
        <v>129</v>
      </c>
      <c r="J10">
        <f>B25</f>
        <v>154.94</v>
      </c>
      <c r="K10">
        <f>C25</f>
        <v>52.163122550000004</v>
      </c>
    </row>
    <row r="11" spans="1:11" x14ac:dyDescent="0.35">
      <c r="A11" t="s">
        <v>128</v>
      </c>
      <c r="B11">
        <v>170.18</v>
      </c>
      <c r="C11">
        <v>68.946040240000002</v>
      </c>
      <c r="E11" t="s">
        <v>128</v>
      </c>
      <c r="F11">
        <f>B11</f>
        <v>170.18</v>
      </c>
      <c r="G11">
        <f>C11</f>
        <v>68.946040240000002</v>
      </c>
      <c r="I11" t="s">
        <v>129</v>
      </c>
      <c r="J11">
        <f>B26</f>
        <v>175.26</v>
      </c>
      <c r="K11">
        <f>C26</f>
        <v>72.574779200000009</v>
      </c>
    </row>
    <row r="12" spans="1:11" x14ac:dyDescent="0.35">
      <c r="A12" t="s">
        <v>128</v>
      </c>
      <c r="B12">
        <v>190.5</v>
      </c>
      <c r="C12">
        <v>97.522359550000004</v>
      </c>
      <c r="E12" t="s">
        <v>128</v>
      </c>
      <c r="F12">
        <f>B12</f>
        <v>190.5</v>
      </c>
      <c r="G12">
        <f>C12</f>
        <v>97.522359550000004</v>
      </c>
      <c r="I12" t="s">
        <v>129</v>
      </c>
      <c r="J12">
        <f>B27</f>
        <v>162.56</v>
      </c>
      <c r="K12">
        <f>C27</f>
        <v>60.327785210000002</v>
      </c>
    </row>
    <row r="13" spans="1:11" x14ac:dyDescent="0.35">
      <c r="A13" t="s">
        <v>128</v>
      </c>
      <c r="B13">
        <v>167.64000000000001</v>
      </c>
      <c r="C13">
        <v>67.131670760000006</v>
      </c>
      <c r="E13" t="s">
        <v>128</v>
      </c>
      <c r="F13">
        <f>B13</f>
        <v>167.64000000000001</v>
      </c>
      <c r="G13">
        <f>C13</f>
        <v>67.131670760000006</v>
      </c>
      <c r="I13" t="s">
        <v>129</v>
      </c>
      <c r="J13">
        <f>B28</f>
        <v>157.47999999999999</v>
      </c>
      <c r="K13">
        <f>C28</f>
        <v>54.431084400000003</v>
      </c>
    </row>
    <row r="14" spans="1:11" x14ac:dyDescent="0.35">
      <c r="A14" t="s">
        <v>128</v>
      </c>
      <c r="B14">
        <v>177.8</v>
      </c>
      <c r="C14">
        <v>80.739441859999999</v>
      </c>
      <c r="E14" t="s">
        <v>128</v>
      </c>
      <c r="F14">
        <f>B14</f>
        <v>177.8</v>
      </c>
      <c r="G14">
        <f>C14</f>
        <v>80.739441859999999</v>
      </c>
      <c r="I14" t="s">
        <v>129</v>
      </c>
      <c r="J14">
        <f>B29</f>
        <v>177.8</v>
      </c>
      <c r="K14">
        <f>C29</f>
        <v>74.842741050000001</v>
      </c>
    </row>
    <row r="15" spans="1:11" x14ac:dyDescent="0.35">
      <c r="A15" t="s">
        <v>128</v>
      </c>
      <c r="B15">
        <v>160.02000000000001</v>
      </c>
      <c r="C15">
        <v>62.595747060000001</v>
      </c>
      <c r="E15" t="s">
        <v>128</v>
      </c>
      <c r="F15">
        <f>B15</f>
        <v>160.02000000000001</v>
      </c>
      <c r="G15">
        <f>C15</f>
        <v>62.595747060000001</v>
      </c>
      <c r="I15" t="s">
        <v>129</v>
      </c>
      <c r="J15">
        <f>B30</f>
        <v>149.86000000000001</v>
      </c>
      <c r="K15">
        <f>C30</f>
        <v>48.98797596</v>
      </c>
    </row>
    <row r="16" spans="1:11" x14ac:dyDescent="0.35">
      <c r="A16" t="s">
        <v>128</v>
      </c>
      <c r="B16">
        <v>195.58</v>
      </c>
      <c r="C16">
        <v>104.32624510000001</v>
      </c>
      <c r="E16" t="s">
        <v>128</v>
      </c>
      <c r="F16">
        <f>B16</f>
        <v>195.58</v>
      </c>
      <c r="G16">
        <f>C16</f>
        <v>104.32624510000001</v>
      </c>
      <c r="I16" t="s">
        <v>129</v>
      </c>
      <c r="J16">
        <f>B31</f>
        <v>167.64000000000001</v>
      </c>
      <c r="K16">
        <f>C31</f>
        <v>63.502931800000006</v>
      </c>
    </row>
    <row r="17" spans="1:3" x14ac:dyDescent="0.35">
      <c r="A17" t="s">
        <v>129</v>
      </c>
      <c r="B17">
        <v>162.56</v>
      </c>
      <c r="C17">
        <v>58.967008100000001</v>
      </c>
    </row>
    <row r="18" spans="1:3" x14ac:dyDescent="0.35">
      <c r="A18" t="s">
        <v>129</v>
      </c>
      <c r="B18">
        <v>157.47999999999999</v>
      </c>
      <c r="C18">
        <v>53.523899660000005</v>
      </c>
    </row>
    <row r="19" spans="1:3" x14ac:dyDescent="0.35">
      <c r="A19" t="s">
        <v>129</v>
      </c>
      <c r="B19">
        <v>167.64000000000001</v>
      </c>
      <c r="C19">
        <v>64.410116540000004</v>
      </c>
    </row>
    <row r="20" spans="1:3" x14ac:dyDescent="0.35">
      <c r="A20" t="s">
        <v>129</v>
      </c>
      <c r="B20">
        <v>172.72</v>
      </c>
      <c r="C20">
        <v>70.306817350000003</v>
      </c>
    </row>
    <row r="21" spans="1:3" x14ac:dyDescent="0.35">
      <c r="A21" t="s">
        <v>129</v>
      </c>
      <c r="B21">
        <v>152.4</v>
      </c>
      <c r="C21">
        <v>50.802345440000003</v>
      </c>
    </row>
    <row r="22" spans="1:3" x14ac:dyDescent="0.35">
      <c r="A22" t="s">
        <v>129</v>
      </c>
      <c r="B22">
        <v>165.1</v>
      </c>
      <c r="C22">
        <v>62.595747060000001</v>
      </c>
    </row>
    <row r="23" spans="1:3" x14ac:dyDescent="0.35">
      <c r="A23" t="s">
        <v>129</v>
      </c>
      <c r="B23">
        <v>160.02000000000001</v>
      </c>
      <c r="C23">
        <v>56.699046250000002</v>
      </c>
    </row>
    <row r="24" spans="1:3" x14ac:dyDescent="0.35">
      <c r="A24" t="s">
        <v>129</v>
      </c>
      <c r="B24">
        <v>170.18</v>
      </c>
      <c r="C24">
        <v>67.131670760000006</v>
      </c>
    </row>
    <row r="25" spans="1:3" x14ac:dyDescent="0.35">
      <c r="A25" t="s">
        <v>129</v>
      </c>
      <c r="B25">
        <v>154.94</v>
      </c>
      <c r="C25">
        <v>52.163122550000004</v>
      </c>
    </row>
    <row r="26" spans="1:3" x14ac:dyDescent="0.35">
      <c r="A26" t="s">
        <v>129</v>
      </c>
      <c r="B26">
        <v>175.26</v>
      </c>
      <c r="C26">
        <v>72.574779200000009</v>
      </c>
    </row>
    <row r="27" spans="1:3" x14ac:dyDescent="0.35">
      <c r="A27" t="s">
        <v>129</v>
      </c>
      <c r="B27">
        <v>162.56</v>
      </c>
      <c r="C27">
        <v>60.327785210000002</v>
      </c>
    </row>
    <row r="28" spans="1:3" x14ac:dyDescent="0.35">
      <c r="A28" t="s">
        <v>129</v>
      </c>
      <c r="B28">
        <v>157.47999999999999</v>
      </c>
      <c r="C28">
        <v>54.431084400000003</v>
      </c>
    </row>
    <row r="29" spans="1:3" x14ac:dyDescent="0.35">
      <c r="A29" t="s">
        <v>129</v>
      </c>
      <c r="B29">
        <v>177.8</v>
      </c>
      <c r="C29">
        <v>74.842741050000001</v>
      </c>
    </row>
    <row r="30" spans="1:3" x14ac:dyDescent="0.35">
      <c r="A30" t="s">
        <v>129</v>
      </c>
      <c r="B30">
        <v>149.86000000000001</v>
      </c>
      <c r="C30">
        <v>48.98797596</v>
      </c>
    </row>
    <row r="31" spans="1:3" x14ac:dyDescent="0.35">
      <c r="A31" t="s">
        <v>129</v>
      </c>
      <c r="B31">
        <v>167.64000000000001</v>
      </c>
      <c r="C31">
        <v>63.502931800000006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385D-307A-42C0-98CC-554A37663C2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day_1</vt:lpstr>
      <vt:lpstr>charts_type</vt:lpstr>
      <vt:lpstr>Sheet1</vt:lpstr>
      <vt:lpstr>bar</vt:lpstr>
      <vt:lpstr>stacked_bar</vt:lpstr>
      <vt:lpstr>bar_ho</vt:lpstr>
      <vt:lpstr>stack_bar</vt:lpstr>
      <vt:lpstr>Pie_donut</vt:lpstr>
      <vt:lpstr>waffle</vt:lpstr>
      <vt:lpstr>line</vt:lpstr>
      <vt:lpstr>area</vt:lpstr>
      <vt:lpstr>waterfall</vt:lpstr>
      <vt:lpstr>scatter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2026-05-21T04:45:54Z</dcterms:created>
  <dcterms:modified xsi:type="dcterms:W3CDTF">2026-05-30T03:02:11Z</dcterms:modified>
</cp:coreProperties>
</file>