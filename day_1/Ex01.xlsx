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datat_visualisation\day_1\"/>
    </mc:Choice>
  </mc:AlternateContent>
  <xr:revisionPtr revIDLastSave="0" documentId="13_ncr:1_{0740A5BA-C6E7-49A5-B86A-A1E2C62175C3}" xr6:coauthVersionLast="47" xr6:coauthVersionMax="47" xr10:uidLastSave="{00000000-0000-0000-0000-000000000000}"/>
  <bookViews>
    <workbookView xWindow="-120" yWindow="-120" windowWidth="38640" windowHeight="21120" firstSheet="3" activeTab="8" xr2:uid="{804C0EAA-4695-474D-B688-28D6C671B3ED}"/>
  </bookViews>
  <sheets>
    <sheet name="data" sheetId="1" r:id="rId1"/>
    <sheet name="data_describe" sheetId="15" r:id="rId2"/>
    <sheet name="month_lookup" sheetId="9" r:id="rId3"/>
    <sheet name="01_pt_sale_by_month" sheetId="4" r:id="rId4"/>
    <sheet name="02_pivot_table_calculated_field" sheetId="5" r:id="rId5"/>
    <sheet name="03_pivot_table_show_value_as" sheetId="7" r:id="rId6"/>
    <sheet name="04_tb_sumif" sheetId="3" r:id="rId7"/>
    <sheet name="05_sumproduct" sheetId="2" r:id="rId8"/>
    <sheet name="06_chart_01" sheetId="12" r:id="rId9"/>
    <sheet name="07_what_data_says" sheetId="14" r:id="rId10"/>
    <sheet name="Sheet5" sheetId="17" r:id="rId11"/>
    <sheet name="Sheet1" sheetId="19" r:id="rId12"/>
  </sheets>
  <definedNames>
    <definedName name="_xlnm._FilterDatabase" localSheetId="3" hidden="1">'01_pt_sale_by_month'!$AA$10:$AA$23</definedName>
    <definedName name="_xlnm._FilterDatabase" localSheetId="0" hidden="1">data!$A$1:$O$1001</definedName>
    <definedName name="_xlnm._FilterDatabase" localSheetId="11" hidden="1">Sheet1!$A$4:$N$411</definedName>
    <definedName name="_xlchart.v1.0" hidden="1">Sheet5!$B$33:$B$44</definedName>
    <definedName name="_xlchart.v1.1" hidden="1">Sheet5!$C$33:$C$44</definedName>
  </definedNames>
  <calcPr calcId="191029"/>
  <pivotCaches>
    <pivotCache cacheId="26" r:id="rId13"/>
    <pivotCache cacheId="27" r:id="rId14"/>
    <pivotCache cacheId="28" r:id="rId15"/>
    <pivotCache cacheId="29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9" i="19" l="1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H101" i="17"/>
  <c r="H100" i="17"/>
  <c r="H99" i="17"/>
  <c r="H98" i="17"/>
  <c r="H97" i="17"/>
  <c r="H96" i="17"/>
  <c r="H95" i="17"/>
  <c r="H94" i="17"/>
  <c r="H93" i="17"/>
  <c r="H92" i="17"/>
  <c r="H91" i="17"/>
  <c r="G101" i="17"/>
  <c r="G100" i="17"/>
  <c r="G99" i="17"/>
  <c r="G98" i="17"/>
  <c r="G97" i="17"/>
  <c r="G96" i="17"/>
  <c r="G95" i="17"/>
  <c r="G94" i="17"/>
  <c r="G93" i="17"/>
  <c r="G92" i="17"/>
  <c r="G91" i="17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5" i="1"/>
  <c r="P4" i="1"/>
  <c r="P3" i="1"/>
  <c r="P2" i="1"/>
  <c r="C44" i="17"/>
  <c r="D28" i="17"/>
  <c r="D27" i="17"/>
  <c r="D26" i="17"/>
  <c r="D25" i="17"/>
  <c r="D24" i="17"/>
  <c r="D23" i="17"/>
  <c r="D22" i="17"/>
  <c r="D21" i="17"/>
  <c r="D20" i="17"/>
  <c r="D19" i="17"/>
  <c r="I29" i="17"/>
  <c r="H29" i="17"/>
  <c r="P14" i="17"/>
  <c r="O14" i="17"/>
  <c r="P13" i="17"/>
  <c r="O13" i="17"/>
  <c r="P12" i="17"/>
  <c r="O12" i="17"/>
  <c r="P11" i="17"/>
  <c r="O11" i="17"/>
  <c r="P10" i="17"/>
  <c r="O10" i="17"/>
  <c r="P9" i="17"/>
  <c r="O9" i="17"/>
  <c r="P8" i="17"/>
  <c r="O8" i="17"/>
  <c r="P7" i="17"/>
  <c r="O7" i="17"/>
  <c r="P6" i="17"/>
  <c r="O6" i="17"/>
  <c r="P5" i="17"/>
  <c r="O5" i="17"/>
  <c r="P4" i="17"/>
  <c r="O4" i="17"/>
  <c r="C13" i="12" a="1"/>
  <c r="B13" i="12" a="1"/>
  <c r="C12" i="12" a="1"/>
  <c r="B12" i="12" a="1"/>
  <c r="C11" i="12" a="1"/>
  <c r="B11" i="12" a="1"/>
  <c r="C10" i="12" a="1"/>
  <c r="B10" i="12" a="1"/>
  <c r="C9" i="12" a="1"/>
  <c r="B9" i="12" a="1"/>
  <c r="C8" i="12" a="1"/>
  <c r="B8" i="12" a="1"/>
  <c r="C7" i="12" a="1"/>
  <c r="B7" i="12" a="1"/>
  <c r="C6" i="12" a="1"/>
  <c r="B6" i="12" a="1"/>
  <c r="C5" i="12" a="1"/>
  <c r="B5" i="12" a="1"/>
  <c r="C4" i="12" a="1"/>
  <c r="B4" i="12" a="1"/>
  <c r="C3" i="12" a="1"/>
  <c r="B3" i="12" a="1"/>
  <c r="C2" i="12" a="1"/>
  <c r="B2" i="12" a="1"/>
  <c r="C13" i="2" a="1"/>
  <c r="B13" i="2" a="1"/>
  <c r="C12" i="2" a="1"/>
  <c r="B12" i="2" a="1"/>
  <c r="C11" i="2" a="1"/>
  <c r="B11" i="2" a="1"/>
  <c r="C10" i="2" a="1"/>
  <c r="B10" i="2" a="1"/>
  <c r="C9" i="2" a="1"/>
  <c r="B9" i="2" a="1"/>
  <c r="C8" i="2" a="1"/>
  <c r="B8" i="2" a="1"/>
  <c r="C7" i="2" a="1"/>
  <c r="B7" i="2" a="1"/>
  <c r="C6" i="2" a="1"/>
  <c r="B6" i="2" a="1"/>
  <c r="C5" i="2" a="1"/>
  <c r="B5" i="2" a="1"/>
  <c r="C4" i="2" a="1"/>
  <c r="B4" i="2"/>
  <c r="B4" i="2" a="1"/>
  <c r="C3" i="2" a="1"/>
  <c r="B3" i="2" a="1"/>
  <c r="C2" i="2" a="1"/>
  <c r="B2" i="2" a="1"/>
  <c r="J15" i="3"/>
  <c r="I14" i="3"/>
  <c r="H14" i="3"/>
  <c r="E14" i="3"/>
  <c r="D14" i="3"/>
  <c r="C14" i="3"/>
  <c r="B14" i="3"/>
  <c r="I13" i="3"/>
  <c r="H13" i="3"/>
  <c r="E13" i="3"/>
  <c r="D13" i="3"/>
  <c r="C13" i="3"/>
  <c r="B13" i="3"/>
  <c r="I12" i="3"/>
  <c r="H12" i="3"/>
  <c r="E12" i="3"/>
  <c r="D12" i="3"/>
  <c r="C12" i="3"/>
  <c r="B12" i="3"/>
  <c r="I11" i="3"/>
  <c r="H11" i="3"/>
  <c r="E11" i="3"/>
  <c r="D11" i="3"/>
  <c r="C11" i="3"/>
  <c r="B11" i="3"/>
  <c r="I10" i="3"/>
  <c r="H10" i="3"/>
  <c r="E10" i="3"/>
  <c r="D10" i="3"/>
  <c r="C10" i="3"/>
  <c r="B10" i="3"/>
  <c r="I9" i="3"/>
  <c r="H9" i="3"/>
  <c r="E9" i="3"/>
  <c r="D9" i="3"/>
  <c r="C9" i="3"/>
  <c r="B9" i="3"/>
  <c r="I8" i="3"/>
  <c r="H8" i="3"/>
  <c r="E8" i="3"/>
  <c r="D8" i="3"/>
  <c r="C8" i="3"/>
  <c r="B8" i="3"/>
  <c r="I7" i="3"/>
  <c r="H7" i="3"/>
  <c r="E7" i="3"/>
  <c r="D7" i="3"/>
  <c r="C7" i="3"/>
  <c r="B7" i="3"/>
  <c r="I6" i="3"/>
  <c r="H6" i="3"/>
  <c r="E6" i="3"/>
  <c r="D6" i="3"/>
  <c r="C6" i="3"/>
  <c r="B6" i="3"/>
  <c r="I5" i="3"/>
  <c r="H5" i="3"/>
  <c r="E5" i="3"/>
  <c r="D5" i="3"/>
  <c r="C5" i="3"/>
  <c r="B5" i="3"/>
  <c r="I4" i="3"/>
  <c r="H4" i="3"/>
  <c r="E4" i="3"/>
  <c r="D4" i="3"/>
  <c r="C4" i="3"/>
  <c r="B4" i="3"/>
  <c r="I3" i="3"/>
  <c r="H3" i="3"/>
  <c r="E3" i="3"/>
  <c r="D3" i="3"/>
  <c r="C3" i="3"/>
  <c r="AB23" i="4"/>
  <c r="AA23" i="4"/>
  <c r="AB22" i="4"/>
  <c r="AA22" i="4"/>
  <c r="AB21" i="4"/>
  <c r="AA21" i="4"/>
  <c r="AB20" i="4"/>
  <c r="AA20" i="4"/>
  <c r="D20" i="4"/>
  <c r="AB19" i="4"/>
  <c r="AA19" i="4"/>
  <c r="D19" i="4"/>
  <c r="AB18" i="4"/>
  <c r="AA18" i="4"/>
  <c r="D18" i="4"/>
  <c r="AB17" i="4"/>
  <c r="AA17" i="4"/>
  <c r="D17" i="4"/>
  <c r="AB16" i="4"/>
  <c r="AA16" i="4"/>
  <c r="D16" i="4"/>
  <c r="AB15" i="4"/>
  <c r="AA15" i="4"/>
  <c r="D15" i="4"/>
  <c r="AB14" i="4"/>
  <c r="AA14" i="4"/>
  <c r="D14" i="4"/>
  <c r="AB13" i="4"/>
  <c r="AA13" i="4"/>
  <c r="D13" i="4"/>
  <c r="AB12" i="4"/>
  <c r="AA12" i="4"/>
  <c r="D12" i="4"/>
  <c r="AB11" i="4"/>
  <c r="AA11" i="4"/>
  <c r="D11" i="4"/>
  <c r="D10" i="4"/>
  <c r="D9" i="4"/>
  <c r="D8" i="4"/>
  <c r="A12" i="9"/>
  <c r="A11" i="9"/>
  <c r="A10" i="9"/>
  <c r="A9" i="9"/>
  <c r="A8" i="9"/>
  <c r="A7" i="9"/>
  <c r="A6" i="9"/>
  <c r="A5" i="9"/>
  <c r="A4" i="9"/>
  <c r="A3" i="9"/>
  <c r="A2" i="9"/>
  <c r="N1001" i="1"/>
  <c r="M1001" i="1"/>
  <c r="L1001" i="1"/>
  <c r="N1000" i="1"/>
  <c r="M1000" i="1"/>
  <c r="L1000" i="1"/>
  <c r="N999" i="1"/>
  <c r="M999" i="1"/>
  <c r="L999" i="1"/>
  <c r="N998" i="1"/>
  <c r="M998" i="1"/>
  <c r="L998" i="1"/>
  <c r="N997" i="1"/>
  <c r="M997" i="1"/>
  <c r="L997" i="1"/>
  <c r="N996" i="1"/>
  <c r="M996" i="1"/>
  <c r="L996" i="1"/>
  <c r="N995" i="1"/>
  <c r="M995" i="1"/>
  <c r="L995" i="1"/>
  <c r="N994" i="1"/>
  <c r="M994" i="1"/>
  <c r="L994" i="1"/>
  <c r="N993" i="1"/>
  <c r="M993" i="1"/>
  <c r="L993" i="1"/>
  <c r="N992" i="1"/>
  <c r="M992" i="1"/>
  <c r="L992" i="1"/>
  <c r="N991" i="1"/>
  <c r="M991" i="1"/>
  <c r="L991" i="1"/>
  <c r="N990" i="1"/>
  <c r="M990" i="1"/>
  <c r="L990" i="1"/>
  <c r="N989" i="1"/>
  <c r="M989" i="1"/>
  <c r="L989" i="1"/>
  <c r="N988" i="1"/>
  <c r="M988" i="1"/>
  <c r="L988" i="1"/>
  <c r="N987" i="1"/>
  <c r="M987" i="1"/>
  <c r="L987" i="1"/>
  <c r="N986" i="1"/>
  <c r="M986" i="1"/>
  <c r="L986" i="1"/>
  <c r="N985" i="1"/>
  <c r="M985" i="1"/>
  <c r="L985" i="1"/>
  <c r="N984" i="1"/>
  <c r="M984" i="1"/>
  <c r="L984" i="1"/>
  <c r="N983" i="1"/>
  <c r="M983" i="1"/>
  <c r="L983" i="1"/>
  <c r="N982" i="1"/>
  <c r="M982" i="1"/>
  <c r="L982" i="1"/>
  <c r="N981" i="1"/>
  <c r="M981" i="1"/>
  <c r="L981" i="1"/>
  <c r="N980" i="1"/>
  <c r="M980" i="1"/>
  <c r="L980" i="1"/>
  <c r="N979" i="1"/>
  <c r="M979" i="1"/>
  <c r="L979" i="1"/>
  <c r="N978" i="1"/>
  <c r="M978" i="1"/>
  <c r="L978" i="1"/>
  <c r="N977" i="1"/>
  <c r="M977" i="1"/>
  <c r="L977" i="1"/>
  <c r="N976" i="1"/>
  <c r="M976" i="1"/>
  <c r="L976" i="1"/>
  <c r="N975" i="1"/>
  <c r="M975" i="1"/>
  <c r="L975" i="1"/>
  <c r="N974" i="1"/>
  <c r="M974" i="1"/>
  <c r="L974" i="1"/>
  <c r="N973" i="1"/>
  <c r="M973" i="1"/>
  <c r="L973" i="1"/>
  <c r="N972" i="1"/>
  <c r="M972" i="1"/>
  <c r="L972" i="1"/>
  <c r="N971" i="1"/>
  <c r="M971" i="1"/>
  <c r="L971" i="1"/>
  <c r="N970" i="1"/>
  <c r="M970" i="1"/>
  <c r="L970" i="1"/>
  <c r="N969" i="1"/>
  <c r="M969" i="1"/>
  <c r="L969" i="1"/>
  <c r="N968" i="1"/>
  <c r="M968" i="1"/>
  <c r="L968" i="1"/>
  <c r="N967" i="1"/>
  <c r="M967" i="1"/>
  <c r="L967" i="1"/>
  <c r="N966" i="1"/>
  <c r="M966" i="1"/>
  <c r="L966" i="1"/>
  <c r="N965" i="1"/>
  <c r="M965" i="1"/>
  <c r="L965" i="1"/>
  <c r="N964" i="1"/>
  <c r="M964" i="1"/>
  <c r="L964" i="1"/>
  <c r="N963" i="1"/>
  <c r="M963" i="1"/>
  <c r="L963" i="1"/>
  <c r="N962" i="1"/>
  <c r="M962" i="1"/>
  <c r="L962" i="1"/>
  <c r="N961" i="1"/>
  <c r="M961" i="1"/>
  <c r="L961" i="1"/>
  <c r="N960" i="1"/>
  <c r="M960" i="1"/>
  <c r="L960" i="1"/>
  <c r="N959" i="1"/>
  <c r="M959" i="1"/>
  <c r="L959" i="1"/>
  <c r="N958" i="1"/>
  <c r="M958" i="1"/>
  <c r="L958" i="1"/>
  <c r="N957" i="1"/>
  <c r="M957" i="1"/>
  <c r="L957" i="1"/>
  <c r="N956" i="1"/>
  <c r="M956" i="1"/>
  <c r="L956" i="1"/>
  <c r="N955" i="1"/>
  <c r="M955" i="1"/>
  <c r="L955" i="1"/>
  <c r="N954" i="1"/>
  <c r="M954" i="1"/>
  <c r="L954" i="1"/>
  <c r="N953" i="1"/>
  <c r="M953" i="1"/>
  <c r="L953" i="1"/>
  <c r="N952" i="1"/>
  <c r="M952" i="1"/>
  <c r="L952" i="1"/>
  <c r="N951" i="1"/>
  <c r="M951" i="1"/>
  <c r="L951" i="1"/>
  <c r="N950" i="1"/>
  <c r="M950" i="1"/>
  <c r="L950" i="1"/>
  <c r="N949" i="1"/>
  <c r="M949" i="1"/>
  <c r="L949" i="1"/>
  <c r="N948" i="1"/>
  <c r="M948" i="1"/>
  <c r="L948" i="1"/>
  <c r="N947" i="1"/>
  <c r="M947" i="1"/>
  <c r="L947" i="1"/>
  <c r="N946" i="1"/>
  <c r="M946" i="1"/>
  <c r="L946" i="1"/>
  <c r="N945" i="1"/>
  <c r="M945" i="1"/>
  <c r="L945" i="1"/>
  <c r="N944" i="1"/>
  <c r="M944" i="1"/>
  <c r="L944" i="1"/>
  <c r="N943" i="1"/>
  <c r="M943" i="1"/>
  <c r="L943" i="1"/>
  <c r="N942" i="1"/>
  <c r="M942" i="1"/>
  <c r="L942" i="1"/>
  <c r="N941" i="1"/>
  <c r="M941" i="1"/>
  <c r="L941" i="1"/>
  <c r="N940" i="1"/>
  <c r="M940" i="1"/>
  <c r="L940" i="1"/>
  <c r="N939" i="1"/>
  <c r="M939" i="1"/>
  <c r="L939" i="1"/>
  <c r="N938" i="1"/>
  <c r="M938" i="1"/>
  <c r="L938" i="1"/>
  <c r="N937" i="1"/>
  <c r="M937" i="1"/>
  <c r="L937" i="1"/>
  <c r="N936" i="1"/>
  <c r="M936" i="1"/>
  <c r="L936" i="1"/>
  <c r="N935" i="1"/>
  <c r="M935" i="1"/>
  <c r="L935" i="1"/>
  <c r="N934" i="1"/>
  <c r="M934" i="1"/>
  <c r="L934" i="1"/>
  <c r="N933" i="1"/>
  <c r="M933" i="1"/>
  <c r="L933" i="1"/>
  <c r="N932" i="1"/>
  <c r="M932" i="1"/>
  <c r="L932" i="1"/>
  <c r="N931" i="1"/>
  <c r="M931" i="1"/>
  <c r="L931" i="1"/>
  <c r="N930" i="1"/>
  <c r="M930" i="1"/>
  <c r="L930" i="1"/>
  <c r="N929" i="1"/>
  <c r="M929" i="1"/>
  <c r="L929" i="1"/>
  <c r="N928" i="1"/>
  <c r="M928" i="1"/>
  <c r="L928" i="1"/>
  <c r="N927" i="1"/>
  <c r="M927" i="1"/>
  <c r="L927" i="1"/>
  <c r="N926" i="1"/>
  <c r="M926" i="1"/>
  <c r="L926" i="1"/>
  <c r="N925" i="1"/>
  <c r="M925" i="1"/>
  <c r="L925" i="1"/>
  <c r="N924" i="1"/>
  <c r="M924" i="1"/>
  <c r="L924" i="1"/>
  <c r="N923" i="1"/>
  <c r="M923" i="1"/>
  <c r="L923" i="1"/>
  <c r="N922" i="1"/>
  <c r="M922" i="1"/>
  <c r="L922" i="1"/>
  <c r="N921" i="1"/>
  <c r="M921" i="1"/>
  <c r="L921" i="1"/>
  <c r="N920" i="1"/>
  <c r="M920" i="1"/>
  <c r="L920" i="1"/>
  <c r="N919" i="1"/>
  <c r="M919" i="1"/>
  <c r="L919" i="1"/>
  <c r="N918" i="1"/>
  <c r="M918" i="1"/>
  <c r="L918" i="1"/>
  <c r="N917" i="1"/>
  <c r="M917" i="1"/>
  <c r="L917" i="1"/>
  <c r="N916" i="1"/>
  <c r="M916" i="1"/>
  <c r="L916" i="1"/>
  <c r="N915" i="1"/>
  <c r="M915" i="1"/>
  <c r="L915" i="1"/>
  <c r="N914" i="1"/>
  <c r="M914" i="1"/>
  <c r="L914" i="1"/>
  <c r="N913" i="1"/>
  <c r="M913" i="1"/>
  <c r="L913" i="1"/>
  <c r="N912" i="1"/>
  <c r="M912" i="1"/>
  <c r="L912" i="1"/>
  <c r="N911" i="1"/>
  <c r="M911" i="1"/>
  <c r="L911" i="1"/>
  <c r="N910" i="1"/>
  <c r="M910" i="1"/>
  <c r="L910" i="1"/>
  <c r="N909" i="1"/>
  <c r="M909" i="1"/>
  <c r="L909" i="1"/>
  <c r="N908" i="1"/>
  <c r="M908" i="1"/>
  <c r="L908" i="1"/>
  <c r="N907" i="1"/>
  <c r="M907" i="1"/>
  <c r="L907" i="1"/>
  <c r="N906" i="1"/>
  <c r="M906" i="1"/>
  <c r="L906" i="1"/>
  <c r="N905" i="1"/>
  <c r="M905" i="1"/>
  <c r="L905" i="1"/>
  <c r="N904" i="1"/>
  <c r="M904" i="1"/>
  <c r="L904" i="1"/>
  <c r="N903" i="1"/>
  <c r="M903" i="1"/>
  <c r="L903" i="1"/>
  <c r="N902" i="1"/>
  <c r="M902" i="1"/>
  <c r="L902" i="1"/>
  <c r="N901" i="1"/>
  <c r="M901" i="1"/>
  <c r="L901" i="1"/>
  <c r="N900" i="1"/>
  <c r="M900" i="1"/>
  <c r="L900" i="1"/>
  <c r="N899" i="1"/>
  <c r="M899" i="1"/>
  <c r="L899" i="1"/>
  <c r="N898" i="1"/>
  <c r="M898" i="1"/>
  <c r="L898" i="1"/>
  <c r="N897" i="1"/>
  <c r="M897" i="1"/>
  <c r="L897" i="1"/>
  <c r="N896" i="1"/>
  <c r="M896" i="1"/>
  <c r="L896" i="1"/>
  <c r="N895" i="1"/>
  <c r="M895" i="1"/>
  <c r="L895" i="1"/>
  <c r="N894" i="1"/>
  <c r="M894" i="1"/>
  <c r="L894" i="1"/>
  <c r="N893" i="1"/>
  <c r="M893" i="1"/>
  <c r="L893" i="1"/>
  <c r="N892" i="1"/>
  <c r="M892" i="1"/>
  <c r="L892" i="1"/>
  <c r="N891" i="1"/>
  <c r="M891" i="1"/>
  <c r="L891" i="1"/>
  <c r="N890" i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O883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O489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O215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O160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H6" i="19" l="1"/>
  <c r="H8" i="19"/>
  <c r="H7" i="19"/>
  <c r="H5" i="19"/>
  <c r="P6" i="1"/>
  <c r="C13" i="12"/>
  <c r="J13" i="12" s="1"/>
  <c r="C3" i="2"/>
  <c r="B3" i="2"/>
  <c r="C2" i="2"/>
  <c r="B2" i="2"/>
  <c r="J14" i="3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893" i="1"/>
  <c r="O892" i="1"/>
  <c r="J5" i="3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1" i="1"/>
  <c r="O890" i="1"/>
  <c r="O889" i="1"/>
  <c r="O888" i="1"/>
  <c r="O887" i="1"/>
  <c r="O886" i="1"/>
  <c r="O885" i="1"/>
  <c r="O884" i="1"/>
  <c r="O882" i="1"/>
  <c r="O881" i="1"/>
  <c r="O880" i="1"/>
  <c r="O879" i="1"/>
  <c r="O878" i="1"/>
  <c r="O877" i="1"/>
  <c r="O876" i="1"/>
  <c r="O875" i="1"/>
  <c r="O874" i="1"/>
  <c r="O873" i="1"/>
  <c r="O849" i="1"/>
  <c r="O848" i="1"/>
  <c r="O846" i="1"/>
  <c r="O845" i="1"/>
  <c r="O843" i="1"/>
  <c r="O842" i="1"/>
  <c r="O841" i="1"/>
  <c r="O839" i="1"/>
  <c r="O838" i="1"/>
  <c r="O836" i="1"/>
  <c r="O835" i="1"/>
  <c r="O834" i="1"/>
  <c r="O829" i="1"/>
  <c r="O826" i="1"/>
  <c r="O824" i="1"/>
  <c r="O822" i="1"/>
  <c r="O821" i="1"/>
  <c r="O819" i="1"/>
  <c r="O818" i="1"/>
  <c r="O815" i="1"/>
  <c r="O813" i="1"/>
  <c r="O811" i="1"/>
  <c r="O809" i="1"/>
  <c r="O806" i="1"/>
  <c r="O805" i="1"/>
  <c r="O804" i="1"/>
  <c r="O802" i="1"/>
  <c r="O800" i="1"/>
  <c r="O799" i="1"/>
  <c r="O797" i="1"/>
  <c r="O796" i="1"/>
  <c r="O794" i="1"/>
  <c r="O792" i="1"/>
  <c r="O754" i="1"/>
  <c r="O749" i="1"/>
  <c r="O748" i="1"/>
  <c r="O746" i="1"/>
  <c r="O744" i="1"/>
  <c r="O740" i="1"/>
  <c r="O737" i="1"/>
  <c r="O735" i="1"/>
  <c r="O733" i="1"/>
  <c r="O732" i="1"/>
  <c r="O730" i="1"/>
  <c r="O727" i="1"/>
  <c r="O726" i="1"/>
  <c r="O724" i="1"/>
  <c r="O723" i="1"/>
  <c r="O722" i="1"/>
  <c r="O720" i="1"/>
  <c r="O717" i="1"/>
  <c r="O716" i="1"/>
  <c r="O714" i="1"/>
  <c r="O711" i="1"/>
  <c r="O708" i="1"/>
  <c r="O707" i="1"/>
  <c r="O703" i="1"/>
  <c r="O702" i="1"/>
  <c r="O701" i="1"/>
  <c r="O699" i="1"/>
  <c r="O698" i="1"/>
  <c r="O684" i="1"/>
  <c r="O681" i="1"/>
  <c r="O679" i="1"/>
  <c r="O677" i="1"/>
  <c r="O675" i="1"/>
  <c r="O673" i="1"/>
  <c r="O670" i="1"/>
  <c r="O669" i="1"/>
  <c r="O667" i="1"/>
  <c r="O665" i="1"/>
  <c r="O662" i="1"/>
  <c r="O661" i="1"/>
  <c r="O660" i="1"/>
  <c r="O658" i="1"/>
  <c r="O656" i="1"/>
  <c r="O655" i="1"/>
  <c r="O654" i="1"/>
  <c r="O653" i="1"/>
  <c r="O652" i="1"/>
  <c r="O650" i="1"/>
  <c r="O646" i="1"/>
  <c r="O645" i="1"/>
  <c r="O644" i="1"/>
  <c r="O642" i="1"/>
  <c r="O639" i="1"/>
  <c r="O638" i="1"/>
  <c r="O636" i="1"/>
  <c r="O633" i="1"/>
  <c r="O630" i="1"/>
  <c r="O629" i="1"/>
  <c r="O628" i="1"/>
  <c r="O627" i="1"/>
  <c r="O626" i="1"/>
  <c r="O625" i="1"/>
  <c r="O623" i="1"/>
  <c r="O622" i="1"/>
  <c r="O620" i="1"/>
  <c r="O609" i="1"/>
  <c r="O607" i="1"/>
  <c r="O604" i="1"/>
  <c r="O602" i="1"/>
  <c r="O600" i="1"/>
  <c r="O599" i="1"/>
  <c r="O349" i="1"/>
  <c r="O344" i="1"/>
  <c r="O339" i="1"/>
  <c r="O336" i="1"/>
  <c r="O334" i="1"/>
  <c r="O333" i="1"/>
  <c r="O331" i="1"/>
  <c r="O329" i="1"/>
  <c r="O318" i="1"/>
  <c r="O315" i="1"/>
  <c r="O313" i="1"/>
  <c r="O311" i="1"/>
  <c r="O308" i="1"/>
  <c r="O305" i="1"/>
  <c r="O297" i="1"/>
  <c r="O294" i="1"/>
  <c r="O292" i="1"/>
  <c r="O290" i="1"/>
  <c r="O288" i="1"/>
  <c r="O286" i="1"/>
  <c r="O283" i="1"/>
  <c r="O282" i="1"/>
  <c r="O267" i="1"/>
  <c r="O265" i="1"/>
  <c r="O263" i="1"/>
  <c r="O259" i="1"/>
  <c r="O255" i="1"/>
  <c r="O242" i="1"/>
  <c r="O238" i="1"/>
  <c r="O232" i="1"/>
  <c r="O223" i="1"/>
  <c r="O219" i="1"/>
  <c r="O216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7" i="1"/>
  <c r="O844" i="1"/>
  <c r="O840" i="1"/>
  <c r="O837" i="1"/>
  <c r="O833" i="1"/>
  <c r="O832" i="1"/>
  <c r="O831" i="1"/>
  <c r="O830" i="1"/>
  <c r="O828" i="1"/>
  <c r="O827" i="1"/>
  <c r="O825" i="1"/>
  <c r="O823" i="1"/>
  <c r="O820" i="1"/>
  <c r="O817" i="1"/>
  <c r="O816" i="1"/>
  <c r="O814" i="1"/>
  <c r="O812" i="1"/>
  <c r="O810" i="1"/>
  <c r="O808" i="1"/>
  <c r="O807" i="1"/>
  <c r="O803" i="1"/>
  <c r="O801" i="1"/>
  <c r="O798" i="1"/>
  <c r="O795" i="1"/>
  <c r="O793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3" i="1"/>
  <c r="O752" i="1"/>
  <c r="O751" i="1"/>
  <c r="O750" i="1"/>
  <c r="O747" i="1"/>
  <c r="O745" i="1"/>
  <c r="O743" i="1"/>
  <c r="O742" i="1"/>
  <c r="O741" i="1"/>
  <c r="O739" i="1"/>
  <c r="O738" i="1"/>
  <c r="O736" i="1"/>
  <c r="O734" i="1"/>
  <c r="O731" i="1"/>
  <c r="O729" i="1"/>
  <c r="O728" i="1"/>
  <c r="O725" i="1"/>
  <c r="O721" i="1"/>
  <c r="O719" i="1"/>
  <c r="O718" i="1"/>
  <c r="O715" i="1"/>
  <c r="O713" i="1"/>
  <c r="O712" i="1"/>
  <c r="O710" i="1"/>
  <c r="O709" i="1"/>
  <c r="O706" i="1"/>
  <c r="O705" i="1"/>
  <c r="O704" i="1"/>
  <c r="O700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3" i="1"/>
  <c r="O682" i="1"/>
  <c r="O680" i="1"/>
  <c r="O678" i="1"/>
  <c r="O676" i="1"/>
  <c r="O674" i="1"/>
  <c r="O672" i="1"/>
  <c r="O671" i="1"/>
  <c r="O668" i="1"/>
  <c r="O666" i="1"/>
  <c r="O664" i="1"/>
  <c r="O663" i="1"/>
  <c r="O659" i="1"/>
  <c r="O657" i="1"/>
  <c r="O651" i="1"/>
  <c r="O649" i="1"/>
  <c r="O648" i="1"/>
  <c r="O647" i="1"/>
  <c r="O643" i="1"/>
  <c r="O641" i="1"/>
  <c r="O640" i="1"/>
  <c r="O637" i="1"/>
  <c r="O635" i="1"/>
  <c r="O634" i="1"/>
  <c r="O632" i="1"/>
  <c r="O631" i="1"/>
  <c r="O624" i="1"/>
  <c r="O621" i="1"/>
  <c r="O619" i="1"/>
  <c r="O618" i="1"/>
  <c r="O617" i="1"/>
  <c r="O616" i="1"/>
  <c r="O615" i="1"/>
  <c r="O614" i="1"/>
  <c r="O613" i="1"/>
  <c r="O612" i="1"/>
  <c r="O611" i="1"/>
  <c r="O610" i="1"/>
  <c r="O608" i="1"/>
  <c r="O606" i="1"/>
  <c r="O605" i="1"/>
  <c r="O603" i="1"/>
  <c r="O601" i="1"/>
  <c r="O359" i="1"/>
  <c r="O357" i="1"/>
  <c r="O355" i="1"/>
  <c r="O352" i="1"/>
  <c r="O343" i="1"/>
  <c r="O341" i="1"/>
  <c r="O332" i="1"/>
  <c r="O330" i="1"/>
  <c r="O328" i="1"/>
  <c r="O326" i="1"/>
  <c r="O325" i="1"/>
  <c r="O316" i="1"/>
  <c r="O310" i="1"/>
  <c r="O304" i="1"/>
  <c r="O295" i="1"/>
  <c r="O291" i="1"/>
  <c r="O281" i="1"/>
  <c r="O280" i="1"/>
  <c r="O275" i="1"/>
  <c r="O273" i="1"/>
  <c r="O271" i="1"/>
  <c r="O270" i="1"/>
  <c r="O269" i="1"/>
  <c r="O268" i="1"/>
  <c r="O264" i="1"/>
  <c r="O262" i="1"/>
  <c r="O254" i="1"/>
  <c r="O252" i="1"/>
  <c r="O250" i="1"/>
  <c r="O248" i="1"/>
  <c r="O245" i="1"/>
  <c r="O243" i="1"/>
  <c r="O241" i="1"/>
  <c r="O230" i="1"/>
  <c r="O226" i="1"/>
  <c r="O224" i="1"/>
  <c r="O222" i="1"/>
  <c r="J8" i="3"/>
  <c r="B9" i="12"/>
  <c r="C10" i="12"/>
  <c r="B10" i="12"/>
  <c r="C9" i="12"/>
  <c r="J9" i="12" s="1"/>
  <c r="J9" i="3"/>
  <c r="J4" i="3"/>
  <c r="O1000" i="1"/>
  <c r="O999" i="1"/>
  <c r="O995" i="1"/>
  <c r="O992" i="1"/>
  <c r="O991" i="1"/>
  <c r="O988" i="1"/>
  <c r="O986" i="1"/>
  <c r="O984" i="1"/>
  <c r="O990" i="1"/>
  <c r="O989" i="1"/>
  <c r="O985" i="1"/>
  <c r="O983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J6" i="3"/>
  <c r="O398" i="1"/>
  <c r="O392" i="1"/>
  <c r="O388" i="1"/>
  <c r="O386" i="1"/>
  <c r="O383" i="1"/>
  <c r="O380" i="1"/>
  <c r="O378" i="1"/>
  <c r="O376" i="1"/>
  <c r="O375" i="1"/>
  <c r="O373" i="1"/>
  <c r="O371" i="1"/>
  <c r="O369" i="1"/>
  <c r="O365" i="1"/>
  <c r="O363" i="1"/>
  <c r="O360" i="1"/>
  <c r="O354" i="1"/>
  <c r="O351" i="1"/>
  <c r="O347" i="1"/>
  <c r="O345" i="1"/>
  <c r="O342" i="1"/>
  <c r="O340" i="1"/>
  <c r="O338" i="1"/>
  <c r="O327" i="1"/>
  <c r="O323" i="1"/>
  <c r="O321" i="1"/>
  <c r="O319" i="1"/>
  <c r="O309" i="1"/>
  <c r="O301" i="1"/>
  <c r="O299" i="1"/>
  <c r="O298" i="1"/>
  <c r="O296" i="1"/>
  <c r="O293" i="1"/>
  <c r="O285" i="1"/>
  <c r="O279" i="1"/>
  <c r="O277" i="1"/>
  <c r="O274" i="1"/>
  <c r="O260" i="1"/>
  <c r="O258" i="1"/>
  <c r="O256" i="1"/>
  <c r="O253" i="1"/>
  <c r="O251" i="1"/>
  <c r="O249" i="1"/>
  <c r="O247" i="1"/>
  <c r="O244" i="1"/>
  <c r="O237" i="1"/>
  <c r="O235" i="1"/>
  <c r="O229" i="1"/>
  <c r="O227" i="1"/>
  <c r="O225" i="1"/>
  <c r="O220" i="1"/>
  <c r="O218" i="1"/>
  <c r="B11" i="12"/>
  <c r="B6" i="12"/>
  <c r="C3" i="12"/>
  <c r="C2" i="12"/>
  <c r="B12" i="2"/>
  <c r="B10" i="2"/>
  <c r="B8" i="2"/>
  <c r="B5" i="2"/>
  <c r="J12" i="3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7" i="1"/>
  <c r="O396" i="1"/>
  <c r="O395" i="1"/>
  <c r="O394" i="1"/>
  <c r="O393" i="1"/>
  <c r="O391" i="1"/>
  <c r="O390" i="1"/>
  <c r="O389" i="1"/>
  <c r="O387" i="1"/>
  <c r="O385" i="1"/>
  <c r="O384" i="1"/>
  <c r="O382" i="1"/>
  <c r="O381" i="1"/>
  <c r="O379" i="1"/>
  <c r="O377" i="1"/>
  <c r="O374" i="1"/>
  <c r="O372" i="1"/>
  <c r="O370" i="1"/>
  <c r="O368" i="1"/>
  <c r="O367" i="1"/>
  <c r="O366" i="1"/>
  <c r="O364" i="1"/>
  <c r="O362" i="1"/>
  <c r="O361" i="1"/>
  <c r="O358" i="1"/>
  <c r="O356" i="1"/>
  <c r="O353" i="1"/>
  <c r="O350" i="1"/>
  <c r="O348" i="1"/>
  <c r="O346" i="1"/>
  <c r="O337" i="1"/>
  <c r="O335" i="1"/>
  <c r="O324" i="1"/>
  <c r="O322" i="1"/>
  <c r="O320" i="1"/>
  <c r="O317" i="1"/>
  <c r="O314" i="1"/>
  <c r="O312" i="1"/>
  <c r="O307" i="1"/>
  <c r="O306" i="1"/>
  <c r="O303" i="1"/>
  <c r="O302" i="1"/>
  <c r="O300" i="1"/>
  <c r="O289" i="1"/>
  <c r="O287" i="1"/>
  <c r="O284" i="1"/>
  <c r="O278" i="1"/>
  <c r="O276" i="1"/>
  <c r="O272" i="1"/>
  <c r="O266" i="1"/>
  <c r="O261" i="1"/>
  <c r="O257" i="1"/>
  <c r="O246" i="1"/>
  <c r="O240" i="1"/>
  <c r="O239" i="1"/>
  <c r="O236" i="1"/>
  <c r="O234" i="1"/>
  <c r="O233" i="1"/>
  <c r="O231" i="1"/>
  <c r="O228" i="1"/>
  <c r="O221" i="1"/>
  <c r="O217" i="1"/>
  <c r="B12" i="12"/>
  <c r="C11" i="12"/>
  <c r="J11" i="12" s="1"/>
  <c r="C4" i="12"/>
  <c r="C13" i="2"/>
  <c r="C11" i="2"/>
  <c r="C9" i="2"/>
  <c r="C7" i="2"/>
  <c r="C4" i="2"/>
  <c r="O1001" i="1"/>
  <c r="O998" i="1"/>
  <c r="O997" i="1"/>
  <c r="O996" i="1"/>
  <c r="O994" i="1"/>
  <c r="O993" i="1"/>
  <c r="O987" i="1"/>
  <c r="B8" i="12"/>
  <c r="J10" i="3"/>
  <c r="C8" i="12"/>
  <c r="J8" i="12" s="1"/>
  <c r="B7" i="2"/>
  <c r="J13" i="3"/>
  <c r="C7" i="12"/>
  <c r="B5" i="12"/>
  <c r="B3" i="12"/>
  <c r="C12" i="2"/>
  <c r="B11" i="2"/>
  <c r="C8" i="2"/>
  <c r="B6" i="2"/>
  <c r="J3" i="3"/>
  <c r="B7" i="12"/>
  <c r="B4" i="12"/>
  <c r="B2" i="12"/>
  <c r="C10" i="2"/>
  <c r="C6" i="2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73" i="1"/>
  <c r="O71" i="1"/>
  <c r="O69" i="1"/>
  <c r="O68" i="1"/>
  <c r="O66" i="1"/>
  <c r="O63" i="1"/>
  <c r="O60" i="1"/>
  <c r="O59" i="1"/>
  <c r="O57" i="1"/>
  <c r="O55" i="1"/>
  <c r="O53" i="1"/>
  <c r="O49" i="1"/>
  <c r="O45" i="1"/>
  <c r="O43" i="1"/>
  <c r="O41" i="1"/>
  <c r="O39" i="1"/>
  <c r="O38" i="1"/>
  <c r="O35" i="1"/>
  <c r="O33" i="1"/>
  <c r="O32" i="1"/>
  <c r="O30" i="1"/>
  <c r="O28" i="1"/>
  <c r="O26" i="1"/>
  <c r="O20" i="1"/>
  <c r="O18" i="1"/>
  <c r="O15" i="1"/>
  <c r="O13" i="1"/>
  <c r="O11" i="1"/>
  <c r="O8" i="1"/>
  <c r="O6" i="1"/>
  <c r="O4" i="1"/>
  <c r="O2" i="1"/>
  <c r="J7" i="3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2" i="1"/>
  <c r="O70" i="1"/>
  <c r="O67" i="1"/>
  <c r="O65" i="1"/>
  <c r="O64" i="1"/>
  <c r="O62" i="1"/>
  <c r="O61" i="1"/>
  <c r="O58" i="1"/>
  <c r="O56" i="1"/>
  <c r="O54" i="1"/>
  <c r="O52" i="1"/>
  <c r="O51" i="1"/>
  <c r="O50" i="1"/>
  <c r="O48" i="1"/>
  <c r="O47" i="1"/>
  <c r="O46" i="1"/>
  <c r="O44" i="1"/>
  <c r="O42" i="1"/>
  <c r="O40" i="1"/>
  <c r="O37" i="1"/>
  <c r="O36" i="1"/>
  <c r="O34" i="1"/>
  <c r="O31" i="1"/>
  <c r="O29" i="1"/>
  <c r="O27" i="1"/>
  <c r="O25" i="1"/>
  <c r="O24" i="1"/>
  <c r="O23" i="1"/>
  <c r="O22" i="1"/>
  <c r="O21" i="1"/>
  <c r="O19" i="1"/>
  <c r="O17" i="1"/>
  <c r="O16" i="1"/>
  <c r="O14" i="1"/>
  <c r="O12" i="1"/>
  <c r="O10" i="1"/>
  <c r="O9" i="1"/>
  <c r="O7" i="1"/>
  <c r="O5" i="1"/>
  <c r="O3" i="1"/>
  <c r="B13" i="12"/>
  <c r="C12" i="12"/>
  <c r="C6" i="12"/>
  <c r="C5" i="12"/>
  <c r="B13" i="2"/>
  <c r="B9" i="2"/>
  <c r="C5" i="2"/>
  <c r="J11" i="3"/>
  <c r="J7" i="12" l="1"/>
  <c r="J2" i="12"/>
  <c r="J10" i="12"/>
  <c r="J3" i="12"/>
  <c r="J4" i="12"/>
  <c r="J12" i="12"/>
  <c r="J6" i="12"/>
  <c r="J5" i="12"/>
  <c r="K11" i="12" l="1"/>
  <c r="K4" i="12"/>
  <c r="K8" i="12"/>
  <c r="K7" i="12"/>
  <c r="K12" i="12"/>
  <c r="K6" i="12"/>
  <c r="K5" i="12"/>
  <c r="K13" i="12"/>
  <c r="K10" i="12"/>
  <c r="K9" i="12"/>
  <c r="K3" i="12"/>
  <c r="K2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<sst xmlns="http://schemas.openxmlformats.org/spreadsheetml/2006/main" count="7808" uniqueCount="1238">
  <si>
    <t>country</t>
  </si>
  <si>
    <t xml:space="preserve"> cost 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</si>
  <si>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</si>
  <si>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</si>
  <si>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</si>
  <si>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</si>
  <si>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</si>
  <si>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</si>
  <si>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</si>
  <si>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</si>
  <si>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</si>
  <si>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</si>
  <si>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</si>
  <si>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</si>
  <si>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</si>
  <si>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</si>
  <si>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</si>
  <si>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</si>
  <si>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</si>
  <si>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</si>
  <si>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</si>
  <si>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</si>
  <si>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</si>
  <si>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</si>
  <si>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</si>
  <si>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</si>
  <si>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</si>
  <si>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</si>
  <si>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</si>
  <si>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</si>
  <si>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</si>
  <si>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</si>
  <si>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</si>
  <si>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</si>
  <si>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Johns and Sons</t>
  </si>
  <si>
    <t>Emalia Dinse</t>
  </si>
  <si>
    <t>Bertha Walbrook</t>
  </si>
  <si>
    <t>Tablet</t>
  </si>
  <si>
    <t>15-8765160</t>
  </si>
  <si>
    <t>Farrell, Swaniawski and Crist</t>
  </si>
  <si>
    <t>Perri Aldersley</t>
  </si>
  <si>
    <t>60-6998932</t>
  </si>
  <si>
    <t>Schoen-Keeling</t>
  </si>
  <si>
    <t>69-6259390</t>
  </si>
  <si>
    <t>UK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</si>
  <si>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</si>
  <si>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</si>
  <si>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</si>
  <si>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</si>
  <si>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</si>
  <si>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</si>
  <si>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</si>
  <si>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</si>
  <si>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</si>
  <si>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</si>
  <si>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</si>
  <si>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</si>
  <si>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</si>
  <si>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</si>
  <si>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Smartphones</t>
  </si>
  <si>
    <t>25-6368157</t>
  </si>
  <si>
    <t>Outdoors</t>
  </si>
  <si>
    <t>15-3943365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</si>
  <si>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</si>
  <si>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</si>
  <si>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</si>
  <si>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</si>
  <si>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</si>
  <si>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</si>
  <si>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</si>
  <si>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Rowe, Hermiston and Kessler</t>
  </si>
  <si>
    <t>Amelina Piscopiello</t>
  </si>
  <si>
    <t>68-3583935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</si>
  <si>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</si>
  <si>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</si>
  <si>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</si>
  <si>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</si>
  <si>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</si>
  <si>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</si>
  <si>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</si>
  <si>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</si>
  <si>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</si>
  <si>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</si>
  <si>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</si>
  <si>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</si>
  <si>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</si>
  <si>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</si>
  <si>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41-6407014</t>
  </si>
  <si>
    <t>Romaguera-Dietrich</t>
  </si>
  <si>
    <t>Hortense Gerring</t>
  </si>
  <si>
    <t>22-6745595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</si>
  <si>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</si>
  <si>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</si>
  <si>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</si>
  <si>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</si>
  <si>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</si>
  <si>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</si>
  <si>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</si>
  <si>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</si>
  <si>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</si>
  <si>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</si>
  <si>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</si>
  <si>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</si>
  <si>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</si>
  <si>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</si>
  <si>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</si>
  <si>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</si>
  <si>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</si>
  <si>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</si>
  <si>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Considine-Fisher</t>
  </si>
  <si>
    <t>26-9948924</t>
  </si>
  <si>
    <t>Kirlin and Sons</t>
  </si>
  <si>
    <t>72-7630507</t>
  </si>
  <si>
    <t>Friesen-Rath</t>
  </si>
  <si>
    <t>36-3410564</t>
  </si>
  <si>
    <t>Keeling, Monahan and Pollich</t>
  </si>
  <si>
    <t>82-4653018</t>
  </si>
  <si>
    <t>Caro Morfield</t>
  </si>
  <si>
    <t>29-1001593</t>
  </si>
  <si>
    <t>59-5568557</t>
  </si>
  <si>
    <t>Dibbert Inc</t>
  </si>
  <si>
    <t>12-1249283</t>
  </si>
  <si>
    <t>Labadie and Sons</t>
  </si>
  <si>
    <t>96-0180648</t>
  </si>
  <si>
    <t>51-9029547</t>
  </si>
  <si>
    <t>Wiza and Sons</t>
  </si>
  <si>
    <t>84-2614836</t>
  </si>
  <si>
    <t>Crysta Halls</t>
  </si>
  <si>
    <t>57-6995715</t>
  </si>
  <si>
    <t>27-4115444</t>
  </si>
  <si>
    <t>34-3302340</t>
  </si>
  <si>
    <t>Schmitt, Purdy and Johnson</t>
  </si>
  <si>
    <t>Ora Grennan</t>
  </si>
  <si>
    <t>25-6638623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</si>
  <si>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</si>
  <si>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</si>
  <si>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</si>
  <si>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</si>
  <si>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</si>
  <si>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</si>
  <si>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</si>
  <si>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</si>
  <si>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</si>
  <si>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Avrit Chanders</t>
  </si>
  <si>
    <t>99-7422044</t>
  </si>
  <si>
    <t>Fisher, Morar and Skiles</t>
  </si>
  <si>
    <t>67-6692861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</si>
  <si>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</si>
  <si>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</si>
  <si>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</si>
  <si>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</si>
  <si>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</si>
  <si>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</si>
  <si>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</si>
  <si>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Walter LLC</t>
  </si>
  <si>
    <t>76-2572347</t>
  </si>
  <si>
    <t>74-4429133</t>
  </si>
  <si>
    <t>Christiansen, Donnelly and Bechtelar</t>
  </si>
  <si>
    <t>69-1300467</t>
  </si>
  <si>
    <t>Altenwerth-Konopelski</t>
  </si>
  <si>
    <t>99-8643527</t>
  </si>
  <si>
    <t>Bernadine Fullagar</t>
  </si>
  <si>
    <t>14-1143584</t>
  </si>
  <si>
    <t>62-4331197</t>
  </si>
  <si>
    <t>02-3333733</t>
  </si>
  <si>
    <t>Hegmann Group</t>
  </si>
  <si>
    <t>09-3959499</t>
  </si>
  <si>
    <t>Leffler, Prohaska and Streich</t>
  </si>
  <si>
    <t>55-7848276</t>
  </si>
  <si>
    <t>Tarrah Castelletti</t>
  </si>
  <si>
    <t>98-1814878</t>
  </si>
  <si>
    <t>83-9569509</t>
  </si>
  <si>
    <t>Ireland</t>
  </si>
  <si>
    <t>Smith Group</t>
  </si>
  <si>
    <t>Glenine Suttaby</t>
  </si>
  <si>
    <t>Bunnie Tonbridge</t>
  </si>
  <si>
    <t>44-1953194</t>
  </si>
  <si>
    <t>Zieme, Bailey and Herzog</t>
  </si>
  <si>
    <t>50-0376562</t>
  </si>
  <si>
    <t>Bashirian, Okuneva and Bechtelar</t>
  </si>
  <si>
    <t>06-9596696</t>
  </si>
  <si>
    <t>McGlynn-Prosacco</t>
  </si>
  <si>
    <t>46-2632808</t>
  </si>
  <si>
    <t>77-7771177</t>
  </si>
  <si>
    <t>O'Connell-Mitchell</t>
  </si>
  <si>
    <t>13-0624842</t>
  </si>
  <si>
    <t>71-4409662</t>
  </si>
  <si>
    <t>West-Cummings</t>
  </si>
  <si>
    <t>46-0270404</t>
  </si>
  <si>
    <t>70-7107956</t>
  </si>
  <si>
    <t>84-5310661</t>
  </si>
  <si>
    <t>75-6638402</t>
  </si>
  <si>
    <t>53-0615558</t>
  </si>
  <si>
    <t>00-2549549</t>
  </si>
  <si>
    <t>23-1397222</t>
  </si>
  <si>
    <t>00-4698524</t>
  </si>
  <si>
    <t>76-3837496</t>
  </si>
  <si>
    <t>61-7979087</t>
  </si>
  <si>
    <t>52-8377955</t>
  </si>
  <si>
    <t>87-6162387</t>
  </si>
  <si>
    <t>Shanahan, Schaden and Parker</t>
  </si>
  <si>
    <t>11-8965256</t>
  </si>
  <si>
    <t>Lubowitz, McLaughlin and Erdman</t>
  </si>
  <si>
    <t>16-9079414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</si>
  <si>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</si>
  <si>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</si>
  <si>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</si>
  <si>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</si>
  <si>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</si>
  <si>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</si>
  <si>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</si>
  <si>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Palm Wetherald</t>
  </si>
  <si>
    <t>43-4245267</t>
  </si>
  <si>
    <t>58-8969119</t>
  </si>
  <si>
    <t>Germany</t>
  </si>
  <si>
    <t>Rickard Doogood</t>
  </si>
  <si>
    <t>Casie MacBain</t>
  </si>
  <si>
    <t>88-8436664</t>
  </si>
  <si>
    <t>Brynn Dempster</t>
  </si>
  <si>
    <t>35-6825112</t>
  </si>
  <si>
    <t>24-4511396</t>
  </si>
  <si>
    <t>99-0564964</t>
  </si>
  <si>
    <t>47-9920494</t>
  </si>
  <si>
    <t>McClure Inc</t>
  </si>
  <si>
    <t>82-9352154</t>
  </si>
  <si>
    <t>74-6920956</t>
  </si>
  <si>
    <t>16-8778373</t>
  </si>
  <si>
    <t>85-4014655</t>
  </si>
  <si>
    <t>25-2355172</t>
  </si>
  <si>
    <t>31-7667796</t>
  </si>
  <si>
    <t>Hane Inc</t>
  </si>
  <si>
    <t>39-2536155</t>
  </si>
  <si>
    <t>30-8840089</t>
  </si>
  <si>
    <t>Kihn Inc</t>
  </si>
  <si>
    <t>93-8309926</t>
  </si>
  <si>
    <t>42-7823733</t>
  </si>
  <si>
    <t>Schowalter, Lesch and Beahan</t>
  </si>
  <si>
    <t>03-9337803</t>
  </si>
  <si>
    <t>42-1879788</t>
  </si>
  <si>
    <t>42-8394841</t>
  </si>
  <si>
    <t>84-5642889</t>
  </si>
  <si>
    <t>92-7234550</t>
  </si>
  <si>
    <t>98-5721101</t>
  </si>
  <si>
    <t>32-9344186</t>
  </si>
  <si>
    <t>40-7356336</t>
  </si>
  <si>
    <t>94-1762263</t>
  </si>
  <si>
    <t>26-5649751</t>
  </si>
  <si>
    <t>88-5343320</t>
  </si>
  <si>
    <t>09-6527060</t>
  </si>
  <si>
    <t>85-3431441</t>
  </si>
  <si>
    <t>78-3301264</t>
  </si>
  <si>
    <t>02-9523107</t>
  </si>
  <si>
    <t>19-9205287</t>
  </si>
  <si>
    <t>Corwin and Sons</t>
  </si>
  <si>
    <t>94-1199389</t>
  </si>
  <si>
    <t>88-4621939</t>
  </si>
  <si>
    <t>68-9634139</t>
  </si>
  <si>
    <t>44-5200140</t>
  </si>
  <si>
    <t>98-6247105</t>
  </si>
  <si>
    <t>24-6566439</t>
  </si>
  <si>
    <t>52-9152387</t>
  </si>
  <si>
    <t>26-9787272</t>
  </si>
  <si>
    <t>12-2202467</t>
  </si>
  <si>
    <t>82-0537890</t>
  </si>
  <si>
    <t>Lueilwitz, Kerluke and Lesch</t>
  </si>
  <si>
    <t>15-6838362</t>
  </si>
  <si>
    <t>51-0685379</t>
  </si>
  <si>
    <t>76-5919033</t>
  </si>
  <si>
    <t>34-7627348</t>
  </si>
  <si>
    <t>32-1940437</t>
  </si>
  <si>
    <t>25-9913528</t>
  </si>
  <si>
    <t>73-3464233</t>
  </si>
  <si>
    <t>04-2863062</t>
  </si>
  <si>
    <t>18-7077174</t>
  </si>
  <si>
    <t>64-8300193</t>
  </si>
  <si>
    <t>84-2858993</t>
  </si>
  <si>
    <t>72-2647440</t>
  </si>
  <si>
    <t>68-1806238</t>
  </si>
  <si>
    <t>87-0922827</t>
  </si>
  <si>
    <t>33-8547717</t>
  </si>
  <si>
    <t>15-5051694</t>
  </si>
  <si>
    <t>Morissette Group</t>
  </si>
  <si>
    <t>37-2363680</t>
  </si>
  <si>
    <t>92-4106004</t>
  </si>
  <si>
    <t>39-1671087</t>
  </si>
  <si>
    <t>77-9240051</t>
  </si>
  <si>
    <t>79-8966057</t>
  </si>
  <si>
    <t>75-0683725</t>
  </si>
  <si>
    <t>55-5032186</t>
  </si>
  <si>
    <t>31-8836719</t>
  </si>
  <si>
    <t>Tromp LLC</t>
  </si>
  <si>
    <t>64-4923214</t>
  </si>
  <si>
    <t>98-2574776</t>
  </si>
  <si>
    <t>Marquardt-Kuvalis</t>
  </si>
  <si>
    <t>33-0729966</t>
  </si>
  <si>
    <t>07-3201531</t>
  </si>
  <si>
    <t>21-3278349</t>
  </si>
  <si>
    <t>50-1695443</t>
  </si>
  <si>
    <t>52-3693331</t>
  </si>
  <si>
    <t>98-3033030</t>
  </si>
  <si>
    <t>34-5793997</t>
  </si>
  <si>
    <t>Romaguera-Haley</t>
  </si>
  <si>
    <t>52-7280101</t>
  </si>
  <si>
    <t>55-3118263</t>
  </si>
  <si>
    <t>58-9822844</t>
  </si>
  <si>
    <t>51-5324396</t>
  </si>
  <si>
    <t>99-5465830</t>
  </si>
  <si>
    <t>01-8696189</t>
  </si>
  <si>
    <t>20-7636879</t>
  </si>
  <si>
    <t>85-8092784</t>
  </si>
  <si>
    <t>Konopelski LLC</t>
  </si>
  <si>
    <t>97-5905883</t>
  </si>
  <si>
    <t>74-6473826</t>
  </si>
  <si>
    <t>91-0416047</t>
  </si>
  <si>
    <t>34-0232219</t>
  </si>
  <si>
    <t>34-0783331</t>
  </si>
  <si>
    <t>30-8215510</t>
  </si>
  <si>
    <t>95-3196761</t>
  </si>
  <si>
    <t>99-3651863</t>
  </si>
  <si>
    <t>94-8641337</t>
  </si>
  <si>
    <t>36-2694099</t>
  </si>
  <si>
    <t>40-5308505</t>
  </si>
  <si>
    <t>68-8279682</t>
  </si>
  <si>
    <t>50-2481520</t>
  </si>
  <si>
    <t>46-1054213</t>
  </si>
  <si>
    <t>40-9497268</t>
  </si>
  <si>
    <t>Stehr LLC</t>
  </si>
  <si>
    <t>54-5107115</t>
  </si>
  <si>
    <t>15-7053450</t>
  </si>
  <si>
    <t>36-2012010</t>
  </si>
  <si>
    <t>61-7521706</t>
  </si>
  <si>
    <t>17-0893784</t>
  </si>
  <si>
    <t>Parisian, Steuber and Satterfield</t>
  </si>
  <si>
    <t>23-5766200</t>
  </si>
  <si>
    <t>24-3140242</t>
  </si>
  <si>
    <t>81-0573181</t>
  </si>
  <si>
    <t>13-1936536</t>
  </si>
  <si>
    <t>94-8026718</t>
  </si>
  <si>
    <t>81-5976459</t>
  </si>
  <si>
    <t>28-6038070</t>
  </si>
  <si>
    <t>Homenick-Marvin</t>
  </si>
  <si>
    <t>81-7970957</t>
  </si>
  <si>
    <t>60-8646184</t>
  </si>
  <si>
    <t>32-2114915</t>
  </si>
  <si>
    <t>58-7865136</t>
  </si>
  <si>
    <t>Denmark</t>
  </si>
  <si>
    <t>Modestia Byfford</t>
  </si>
  <si>
    <t>Case Desorts</t>
  </si>
  <si>
    <t>98-9112505</t>
  </si>
  <si>
    <t>03-0455038</t>
  </si>
  <si>
    <t>71-0122842</t>
  </si>
  <si>
    <t>55-1395838</t>
  </si>
  <si>
    <t>Mellicent Mattys</t>
  </si>
  <si>
    <t>95-7886861</t>
  </si>
  <si>
    <t>19-3013452</t>
  </si>
  <si>
    <t>54-5082146</t>
  </si>
  <si>
    <t>69-4462108</t>
  </si>
  <si>
    <t>68-3731565</t>
  </si>
  <si>
    <t>82-2972108</t>
  </si>
  <si>
    <t>15-2503493</t>
  </si>
  <si>
    <t>37-0857161</t>
  </si>
  <si>
    <t>71-2709641</t>
  </si>
  <si>
    <t>10-5899580</t>
  </si>
  <si>
    <t>10-9241948</t>
  </si>
  <si>
    <t>68-0080728</t>
  </si>
  <si>
    <t>47-0640313</t>
  </si>
  <si>
    <t>37-6597365</t>
  </si>
  <si>
    <t>Friesen and Sons</t>
  </si>
  <si>
    <t>13-0833129</t>
  </si>
  <si>
    <t>15-2994585</t>
  </si>
  <si>
    <t>85-7784608</t>
  </si>
  <si>
    <t>22-3969127</t>
  </si>
  <si>
    <t>80-2242820</t>
  </si>
  <si>
    <t>35-1705563</t>
  </si>
  <si>
    <t>93-9941140</t>
  </si>
  <si>
    <t>36-2366573</t>
  </si>
  <si>
    <t>10-9932801</t>
  </si>
  <si>
    <t>70-8991739</t>
  </si>
  <si>
    <t>97-4830372</t>
  </si>
  <si>
    <t>Stehr-Bogan</t>
  </si>
  <si>
    <t>95-8015610</t>
  </si>
  <si>
    <t>84-1062113</t>
  </si>
  <si>
    <t>05-5082715</t>
  </si>
  <si>
    <t>35-6942653</t>
  </si>
  <si>
    <t>79-6623911</t>
  </si>
  <si>
    <t>48-7662634</t>
  </si>
  <si>
    <t>46-5888587</t>
  </si>
  <si>
    <t>17-3178991</t>
  </si>
  <si>
    <t>18-8528486</t>
  </si>
  <si>
    <t>55-4588115</t>
  </si>
  <si>
    <t>19-9073616</t>
  </si>
  <si>
    <t>96-0020600</t>
  </si>
  <si>
    <t>88-7664123</t>
  </si>
  <si>
    <t>17-8884817</t>
  </si>
  <si>
    <t>Connelly-Mohr</t>
  </si>
  <si>
    <t>45-5509135</t>
  </si>
  <si>
    <t>81-4176165</t>
  </si>
  <si>
    <t>24-9702599</t>
  </si>
  <si>
    <t>24-4272786</t>
  </si>
  <si>
    <t>77-3656041</t>
  </si>
  <si>
    <t>47-7207206</t>
  </si>
  <si>
    <t>65-2022928</t>
  </si>
  <si>
    <t>16-5837761</t>
  </si>
  <si>
    <t>80-7090422</t>
  </si>
  <si>
    <t>66-8222460</t>
  </si>
  <si>
    <t>44-0527427</t>
  </si>
  <si>
    <t>75-9517276</t>
  </si>
  <si>
    <t>Austria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</si>
  <si>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</si>
  <si>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</si>
  <si>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</si>
  <si>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</si>
  <si>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</si>
  <si>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</si>
  <si>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</si>
  <si>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89-8942175</t>
  </si>
  <si>
    <t>38-0584273</t>
  </si>
  <si>
    <t>38-8840357</t>
  </si>
  <si>
    <t>82-4495901</t>
  </si>
  <si>
    <t>81-2373308</t>
  </si>
  <si>
    <t>15-0224516</t>
  </si>
  <si>
    <t>95-6935153</t>
  </si>
  <si>
    <t>60-8661261</t>
  </si>
  <si>
    <t>56-2783503</t>
  </si>
  <si>
    <t>Manuel Goudie</t>
  </si>
  <si>
    <t>95-1516475</t>
  </si>
  <si>
    <t>32-5562588</t>
  </si>
  <si>
    <t>70-7769332</t>
  </si>
  <si>
    <t>07-6200800</t>
  </si>
  <si>
    <t>11-2988171</t>
  </si>
  <si>
    <t>38-3894304</t>
  </si>
  <si>
    <t>33-6126082</t>
  </si>
  <si>
    <t>25-4970452</t>
  </si>
  <si>
    <t>Hartmann, Hane and Pfannerstill</t>
  </si>
  <si>
    <t>34-8903845</t>
  </si>
  <si>
    <t>32-2110689</t>
  </si>
  <si>
    <t>37-8204282</t>
  </si>
  <si>
    <t>46-1318487</t>
  </si>
  <si>
    <t>99-3971751</t>
  </si>
  <si>
    <t>24-7985425</t>
  </si>
  <si>
    <t>30-9690927</t>
  </si>
  <si>
    <t>37-5025811</t>
  </si>
  <si>
    <t>21-6670877</t>
  </si>
  <si>
    <t>34-3119010</t>
  </si>
  <si>
    <t>54-7503816</t>
  </si>
  <si>
    <t>Gleichner-Green</t>
  </si>
  <si>
    <t>96-1698894</t>
  </si>
  <si>
    <t>92-0523700</t>
  </si>
  <si>
    <t>15-3657248</t>
  </si>
  <si>
    <t>16-3423161</t>
  </si>
  <si>
    <t>67-2684209</t>
  </si>
  <si>
    <t>21-7344983</t>
  </si>
  <si>
    <t>47-9701762</t>
  </si>
  <si>
    <t>86-3876359</t>
  </si>
  <si>
    <t>34-4313860</t>
  </si>
  <si>
    <t>71-4782689</t>
  </si>
  <si>
    <t>85-3690127</t>
  </si>
  <si>
    <t>66-5810051</t>
  </si>
  <si>
    <t>81-9170157</t>
  </si>
  <si>
    <t>24-7300640</t>
  </si>
  <si>
    <t>97-1288901</t>
  </si>
  <si>
    <t>81-9757849</t>
  </si>
  <si>
    <t>44-9179070</t>
  </si>
  <si>
    <t>55-2137809</t>
  </si>
  <si>
    <t>56-1063618</t>
  </si>
  <si>
    <t>01-8080546</t>
  </si>
  <si>
    <t>Baumbach Group</t>
  </si>
  <si>
    <t>29-5632797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</si>
  <si>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</si>
  <si>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</si>
  <si>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</si>
  <si>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</si>
  <si>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</si>
  <si>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</si>
  <si>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</si>
  <si>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60-6055725</t>
  </si>
  <si>
    <t>33-2816759</t>
  </si>
  <si>
    <t>05-2359767</t>
  </si>
  <si>
    <t>73-9492768</t>
  </si>
  <si>
    <t>31-6770318</t>
  </si>
  <si>
    <t>52-0695511</t>
  </si>
  <si>
    <t>45-8314773</t>
  </si>
  <si>
    <t>53-0205940</t>
  </si>
  <si>
    <t>53-1660551</t>
  </si>
  <si>
    <t>70-5394452</t>
  </si>
  <si>
    <t>10-0386535</t>
  </si>
  <si>
    <t>56-8476539</t>
  </si>
  <si>
    <t>04-7976277</t>
  </si>
  <si>
    <t>21-2965409</t>
  </si>
  <si>
    <t>04-2788693</t>
  </si>
  <si>
    <t>20-6477396</t>
  </si>
  <si>
    <t>22-7259031</t>
  </si>
  <si>
    <t>44-9239029</t>
  </si>
  <si>
    <t>77-4566105</t>
  </si>
  <si>
    <t>29-3662564</t>
  </si>
  <si>
    <t>73-8057834</t>
  </si>
  <si>
    <t>87-9980890</t>
  </si>
  <si>
    <t>98-8250897</t>
  </si>
  <si>
    <t>98-3051699</t>
  </si>
  <si>
    <t>75-7291972</t>
  </si>
  <si>
    <t>67-3672347</t>
  </si>
  <si>
    <t>75-1785229</t>
  </si>
  <si>
    <t>53-1426071</t>
  </si>
  <si>
    <t>49-7167664</t>
  </si>
  <si>
    <t>07-7047482</t>
  </si>
  <si>
    <t>57-1931933</t>
  </si>
  <si>
    <t>15-5167065</t>
  </si>
  <si>
    <t>98-9382686</t>
  </si>
  <si>
    <t>47-5733147</t>
  </si>
  <si>
    <t>98-2104934</t>
  </si>
  <si>
    <t>30-6005742</t>
  </si>
  <si>
    <t>21-7461655</t>
  </si>
  <si>
    <t>96-7625873</t>
  </si>
  <si>
    <t>53-2132479</t>
  </si>
  <si>
    <t>70-4650708</t>
  </si>
  <si>
    <t>53-3037652</t>
  </si>
  <si>
    <t>76-0774122</t>
  </si>
  <si>
    <t>72-3928347</t>
  </si>
  <si>
    <t>87-1399932</t>
  </si>
  <si>
    <t>25-1045028</t>
  </si>
  <si>
    <t>70-0364033</t>
  </si>
  <si>
    <t>35-9372764</t>
  </si>
  <si>
    <t>36-1142710</t>
  </si>
  <si>
    <t>75-6291395</t>
  </si>
  <si>
    <t>00-3338378</t>
  </si>
  <si>
    <t>55-1904761</t>
  </si>
  <si>
    <t>70-9736399</t>
  </si>
  <si>
    <t>20-3125420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</si>
  <si>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</si>
  <si>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</si>
  <si>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</si>
  <si>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</si>
  <si>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</si>
  <si>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</si>
  <si>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</si>
  <si>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19-5610175</t>
  </si>
  <si>
    <t>94-3509391</t>
  </si>
  <si>
    <t>43-5417299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</si>
  <si>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</si>
  <si>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</si>
  <si>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</si>
  <si>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</si>
  <si>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</si>
  <si>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</si>
  <si>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</si>
  <si>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</si>
  <si>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12-4509008</t>
  </si>
  <si>
    <t>46-5576111</t>
  </si>
  <si>
    <t>44-6718687</t>
  </si>
  <si>
    <t>67-7432229</t>
  </si>
  <si>
    <t>17-4401585</t>
  </si>
  <si>
    <t>56-9241023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</si>
  <si>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</si>
  <si>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</si>
  <si>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</si>
  <si>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</si>
  <si>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</si>
  <si>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</si>
  <si>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</si>
  <si>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</si>
  <si>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89-0187996</t>
  </si>
  <si>
    <t>65-8218141</t>
  </si>
  <si>
    <t>49-8489293</t>
  </si>
  <si>
    <t>91-8142232</t>
  </si>
  <si>
    <t>75-5380350</t>
  </si>
  <si>
    <t>35-4551515</t>
  </si>
  <si>
    <t>73-2763209</t>
  </si>
  <si>
    <t>56-0800364</t>
  </si>
  <si>
    <t>42-7027181</t>
  </si>
  <si>
    <t>29-0601002</t>
  </si>
  <si>
    <t>90-2797129</t>
  </si>
  <si>
    <t>27-3437546</t>
  </si>
  <si>
    <t>78-3726363</t>
  </si>
  <si>
    <t>78-8990131</t>
  </si>
  <si>
    <t>85-2223377</t>
  </si>
  <si>
    <t>73-9246627</t>
  </si>
  <si>
    <t>56-7910696</t>
  </si>
  <si>
    <t>91-4296427</t>
  </si>
  <si>
    <t>70-8181545</t>
  </si>
  <si>
    <t>94-0775004</t>
  </si>
  <si>
    <t>89-3466746</t>
  </si>
  <si>
    <t>11-5257937</t>
  </si>
  <si>
    <t>22-7587128</t>
  </si>
  <si>
    <t>36-7597839</t>
  </si>
  <si>
    <t>16-2824654</t>
  </si>
  <si>
    <t>49-1743669</t>
  </si>
  <si>
    <t>48-7252604</t>
  </si>
  <si>
    <t>07-1769568</t>
  </si>
  <si>
    <t>57-5645459</t>
  </si>
  <si>
    <t>13-0740797</t>
  </si>
  <si>
    <t>34-9966345</t>
  </si>
  <si>
    <t>91-6738094</t>
  </si>
  <si>
    <t>32-9007470</t>
  </si>
  <si>
    <t>68-6382353</t>
  </si>
  <si>
    <t>88-5406813</t>
  </si>
  <si>
    <t>42-2765593</t>
  </si>
  <si>
    <t>76-0724533</t>
  </si>
  <si>
    <t>45-3965395</t>
  </si>
  <si>
    <t>46-6126203</t>
  </si>
  <si>
    <t>27-7554919</t>
  </si>
  <si>
    <t>59-1230573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</si>
  <si>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</si>
  <si>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</si>
  <si>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</si>
  <si>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</si>
  <si>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</si>
  <si>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</si>
  <si>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</si>
  <si>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56-2408571</t>
  </si>
  <si>
    <t>80-3206606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</si>
  <si>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</si>
  <si>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</si>
  <si>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</si>
  <si>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</si>
  <si>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</si>
  <si>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</si>
  <si>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</si>
  <si>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</si>
  <si>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</si>
  <si>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</si>
  <si>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91-3344544</t>
  </si>
  <si>
    <t>28-1840061</t>
  </si>
  <si>
    <t>20-7532198</t>
  </si>
  <si>
    <t>96-7618409</t>
  </si>
  <si>
    <t>47-8186791</t>
  </si>
  <si>
    <t>61-8262308</t>
  </si>
  <si>
    <t>39-1945268</t>
  </si>
  <si>
    <t>70-1769929</t>
  </si>
  <si>
    <t>65-0414599</t>
  </si>
  <si>
    <t>44-0517932</t>
  </si>
  <si>
    <t>74-1131921</t>
  </si>
  <si>
    <t>74-8625042</t>
  </si>
  <si>
    <t>36-0185776</t>
  </si>
  <si>
    <t>98-4157323</t>
  </si>
  <si>
    <t>36-8783637</t>
  </si>
  <si>
    <t>34-0286364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</si>
  <si>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</si>
  <si>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</si>
  <si>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</si>
  <si>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</si>
  <si>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</si>
  <si>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</si>
  <si>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</si>
  <si>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</si>
  <si>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</si>
  <si>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</si>
  <si>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</si>
  <si>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Stamm-Zulauf</t>
  </si>
  <si>
    <t>20-1013432</t>
  </si>
  <si>
    <t>87-5540520</t>
  </si>
  <si>
    <t>59-3526945</t>
  </si>
  <si>
    <t>33-4706706</t>
  </si>
  <si>
    <t>51-9052860</t>
  </si>
  <si>
    <t>99-9021526</t>
  </si>
  <si>
    <t>87-0122224</t>
  </si>
  <si>
    <t>88-1711226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</si>
  <si>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</si>
  <si>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</si>
  <si>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</si>
  <si>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</si>
  <si>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</si>
  <si>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</si>
  <si>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</si>
  <si>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14-4225824</t>
  </si>
  <si>
    <t>88-1349718</t>
  </si>
  <si>
    <t>62-5120016</t>
  </si>
  <si>
    <t>19-4538571</t>
  </si>
  <si>
    <t>01-1212783</t>
  </si>
  <si>
    <t>58-8728288</t>
  </si>
  <si>
    <t>95-2190016</t>
  </si>
  <si>
    <t>95-4388709</t>
  </si>
  <si>
    <t>Gorczany-Lehner</t>
  </si>
  <si>
    <t>57-8678621</t>
  </si>
  <si>
    <t>22-4278602</t>
  </si>
  <si>
    <t>98-3280428</t>
  </si>
  <si>
    <t>61-4366487</t>
  </si>
  <si>
    <t>55-2128150</t>
  </si>
  <si>
    <t>60-0610487</t>
  </si>
  <si>
    <t>02-9253490</t>
  </si>
  <si>
    <t>65-2343846</t>
  </si>
  <si>
    <t>20-0499139</t>
  </si>
  <si>
    <t>32-3994860</t>
  </si>
  <si>
    <t>72-7973717</t>
  </si>
  <si>
    <t>77-0650807</t>
  </si>
  <si>
    <t>34-5150360</t>
  </si>
  <si>
    <t>73-4726386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</si>
  <si>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</si>
  <si>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</si>
  <si>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</si>
  <si>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</si>
  <si>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</si>
  <si>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</si>
  <si>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</si>
  <si>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</si>
  <si>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54-1473475</t>
  </si>
  <si>
    <t>51-4531731</t>
  </si>
  <si>
    <t>20-6735303</t>
  </si>
  <si>
    <t>97-5858605</t>
  </si>
  <si>
    <t>02-2183787</t>
  </si>
  <si>
    <t>65-5818172</t>
  </si>
  <si>
    <t>Cobby Andersen</t>
  </si>
  <si>
    <t>03-8586261</t>
  </si>
  <si>
    <t>86-0928074</t>
  </si>
  <si>
    <t>77-1100434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</si>
  <si>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</si>
  <si>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</si>
  <si>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</si>
  <si>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</si>
  <si>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</si>
  <si>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</si>
  <si>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</si>
  <si>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64-4188827</t>
  </si>
  <si>
    <t>66-5572109</t>
  </si>
  <si>
    <t>44-2994974</t>
  </si>
  <si>
    <t>30-7981953</t>
  </si>
  <si>
    <t>82-9740062</t>
  </si>
  <si>
    <t>28-7069317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</si>
  <si>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</si>
  <si>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</si>
  <si>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</si>
  <si>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</si>
  <si>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</si>
  <si>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</si>
  <si>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</si>
  <si>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</si>
  <si>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</si>
  <si>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</si>
  <si>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</si>
  <si>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</si>
  <si>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72-1300449</t>
  </si>
  <si>
    <t>22-4332301</t>
  </si>
  <si>
    <t>42-2477150</t>
  </si>
  <si>
    <t>18-5234470</t>
  </si>
  <si>
    <t>Heaney, Gulgowski and Kshlerin</t>
  </si>
  <si>
    <t>74-4541594</t>
  </si>
  <si>
    <t>16-6855831</t>
  </si>
  <si>
    <t>46-5327740</t>
  </si>
  <si>
    <t>06-4416964</t>
  </si>
  <si>
    <t>46-6076582</t>
  </si>
  <si>
    <t>38-1449694</t>
  </si>
  <si>
    <t>39-3557596</t>
  </si>
  <si>
    <t>26-9990483</t>
  </si>
  <si>
    <t>31-7075495</t>
  </si>
  <si>
    <t>98-5774102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</si>
  <si>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</si>
  <si>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</si>
  <si>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</si>
  <si>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</si>
  <si>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</si>
  <si>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</si>
  <si>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</si>
  <si>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</si>
  <si>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</si>
  <si>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</si>
  <si>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59-0893568</t>
  </si>
  <si>
    <t>18-0945763</t>
  </si>
  <si>
    <t>26-1771681</t>
  </si>
  <si>
    <t>57-6427586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</si>
  <si>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</si>
  <si>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</si>
  <si>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</si>
  <si>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</si>
  <si>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</si>
  <si>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</si>
  <si>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</si>
  <si>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</si>
  <si>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66-6360568</t>
  </si>
  <si>
    <t>63-4386955</t>
  </si>
  <si>
    <t>77-3226391</t>
  </si>
  <si>
    <t>74-9554997</t>
  </si>
  <si>
    <t>37-0756560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</si>
  <si>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</si>
  <si>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</si>
  <si>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</si>
  <si>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</si>
  <si>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</si>
  <si>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</si>
  <si>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</si>
  <si>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</si>
  <si>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</si>
  <si>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45-1867999</t>
  </si>
  <si>
    <t>97-5797169</t>
  </si>
  <si>
    <t>31-6585710</t>
  </si>
  <si>
    <t>84-0460695</t>
  </si>
  <si>
    <t>20-4568650</t>
  </si>
  <si>
    <t>29-9208067</t>
  </si>
  <si>
    <t>21-2357660</t>
  </si>
  <si>
    <t>16-3842379</t>
  </si>
  <si>
    <t>58-5376153</t>
  </si>
  <si>
    <t>04-1808253</t>
  </si>
  <si>
    <t>44-9036885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</si>
  <si>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</si>
  <si>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</si>
  <si>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</si>
  <si>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</si>
  <si>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</si>
  <si>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</si>
  <si>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</si>
  <si>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</si>
  <si>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</si>
  <si>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</si>
  <si>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</si>
  <si>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</si>
  <si>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</si>
  <si>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</si>
  <si>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</si>
  <si>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</si>
  <si>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</si>
  <si>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</si>
  <si>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20-9472915</t>
  </si>
  <si>
    <t>82-8836162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</si>
  <si>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</si>
  <si>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</si>
  <si>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</si>
  <si>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</si>
  <si>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</si>
  <si>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</si>
  <si>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</si>
  <si>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22-8551804</t>
  </si>
  <si>
    <t>76-2368068</t>
  </si>
  <si>
    <t>83-0606533</t>
  </si>
  <si>
    <t>84-1745028</t>
  </si>
  <si>
    <t>63-2957047</t>
  </si>
  <si>
    <t>90-3993986</t>
  </si>
  <si>
    <t>00-1398218</t>
  </si>
  <si>
    <t>09-9618844</t>
  </si>
  <si>
    <t>96-5143420</t>
  </si>
  <si>
    <t>99-0862667</t>
  </si>
  <si>
    <t>79-6118087</t>
  </si>
  <si>
    <t>07-5296371</t>
  </si>
  <si>
    <t>93-9111830</t>
  </si>
  <si>
    <t>47-0713476</t>
  </si>
  <si>
    <t>92-2645259</t>
  </si>
  <si>
    <t>93-4118211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</si>
  <si>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</si>
  <si>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</si>
  <si>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</si>
  <si>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</si>
  <si>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</si>
  <si>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</si>
  <si>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</si>
  <si>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09-8360520</t>
  </si>
  <si>
    <t>55-6785409</t>
  </si>
  <si>
    <t>12-4881666</t>
  </si>
  <si>
    <t>86-7866497</t>
  </si>
  <si>
    <t>12-2375671</t>
  </si>
  <si>
    <t>56-6310976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</si>
  <si>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</si>
  <si>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</si>
  <si>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</si>
  <si>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</si>
  <si>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</si>
  <si>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</si>
  <si>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</si>
  <si>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99-3994854</t>
  </si>
  <si>
    <t>45-5157875</t>
  </si>
  <si>
    <t>97-8921759</t>
  </si>
  <si>
    <t>43-6672888</t>
  </si>
  <si>
    <t>28-6152726</t>
  </si>
  <si>
    <t>26-1201622</t>
  </si>
  <si>
    <t>18-3315246</t>
  </si>
  <si>
    <t>40-9114557</t>
  </si>
  <si>
    <t>34-8443139</t>
  </si>
  <si>
    <t>79-0393736</t>
  </si>
  <si>
    <t>58-2923511</t>
  </si>
  <si>
    <t>84-1343954</t>
  </si>
  <si>
    <t>43-9259516</t>
  </si>
  <si>
    <t>53-0009701</t>
  </si>
  <si>
    <t>50-2002828</t>
  </si>
  <si>
    <t>90-6933957</t>
  </si>
  <si>
    <t>98-4201877</t>
  </si>
  <si>
    <t>86-2962836</t>
  </si>
  <si>
    <t>76-5324325</t>
  </si>
  <si>
    <t>36-3226083</t>
  </si>
  <si>
    <t>00-8086430</t>
  </si>
  <si>
    <t>98-0946281</t>
  </si>
  <si>
    <t>82-4770311</t>
  </si>
  <si>
    <t>34-0265266</t>
  </si>
  <si>
    <t>47-9858688</t>
  </si>
  <si>
    <t>24-9178520</t>
  </si>
  <si>
    <t>17-5553034</t>
  </si>
  <si>
    <t>03-5073152</t>
  </si>
  <si>
    <t>19-8109416</t>
  </si>
  <si>
    <t>16-5710075</t>
  </si>
  <si>
    <t>78-5541691</t>
  </si>
  <si>
    <t>69-8016438</t>
  </si>
  <si>
    <t>43-7205800</t>
  </si>
  <si>
    <t>84-2496865</t>
  </si>
  <si>
    <t>13-4700827</t>
  </si>
  <si>
    <t>10-5202864</t>
  </si>
  <si>
    <t>29-6521179</t>
  </si>
  <si>
    <t>30-9137723</t>
  </si>
  <si>
    <t>55-4422832</t>
  </si>
  <si>
    <t>12-1257338</t>
  </si>
  <si>
    <t>66-6777720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</si>
  <si>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</si>
  <si>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</si>
  <si>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</si>
  <si>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</si>
  <si>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</si>
  <si>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</si>
  <si>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</si>
  <si>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</si>
  <si>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</si>
  <si>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19-3893110</t>
  </si>
  <si>
    <t>17-3994138</t>
  </si>
  <si>
    <t>29-8090560</t>
  </si>
  <si>
    <t>75-5652593</t>
  </si>
  <si>
    <t>84-5276032</t>
  </si>
  <si>
    <t>01-4729172</t>
  </si>
  <si>
    <t>70-3373325</t>
  </si>
  <si>
    <t>73-6329299</t>
  </si>
  <si>
    <t>74-6221213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</si>
  <si>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</si>
  <si>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</si>
  <si>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</si>
  <si>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</si>
  <si>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</si>
  <si>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</si>
  <si>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</si>
  <si>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</si>
  <si>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44-2757396</t>
  </si>
  <si>
    <t>21-4464304</t>
  </si>
  <si>
    <t>02-8721192</t>
  </si>
  <si>
    <t>46-9710750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</si>
  <si>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</si>
  <si>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</si>
  <si>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</si>
  <si>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</si>
  <si>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</si>
  <si>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</si>
  <si>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</si>
  <si>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</si>
  <si>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</si>
  <si>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</si>
  <si>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</si>
  <si>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</si>
  <si>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</si>
  <si>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</si>
  <si>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</si>
  <si>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</si>
  <si>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</si>
  <si>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95-1195568</t>
  </si>
  <si>
    <t>57-2495984</t>
  </si>
  <si>
    <t>77-5229094</t>
  </si>
  <si>
    <t>09-3747816</t>
  </si>
  <si>
    <t>62-9738356</t>
  </si>
  <si>
    <t>22-6938537</t>
  </si>
  <si>
    <t>11-0955383</t>
  </si>
  <si>
    <t>80-1374023</t>
  </si>
  <si>
    <t>66-7112079</t>
  </si>
  <si>
    <t>31-2600204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</si>
  <si>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</si>
  <si>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</si>
  <si>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</si>
  <si>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</si>
  <si>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</si>
  <si>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</si>
  <si>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</si>
  <si>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</si>
  <si>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</si>
  <si>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</si>
  <si>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</si>
  <si>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</si>
  <si>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</si>
  <si>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</si>
  <si>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</si>
  <si>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</si>
  <si>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58-1079558</t>
  </si>
  <si>
    <t>49-9010863</t>
  </si>
  <si>
    <t>58-2028009</t>
  </si>
  <si>
    <t>03-4045721</t>
  </si>
  <si>
    <t>80-3039005</t>
  </si>
  <si>
    <t>Littel-Blick</t>
  </si>
  <si>
    <t>90-4449856</t>
  </si>
  <si>
    <t>82-2837449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</si>
  <si>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</si>
  <si>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</si>
  <si>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</si>
  <si>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</si>
  <si>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</si>
  <si>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</si>
  <si>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</si>
  <si>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</si>
  <si>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40-0265810</t>
  </si>
  <si>
    <t>56-6094665</t>
  </si>
  <si>
    <t>75-3776704</t>
  </si>
  <si>
    <t>55-1050582</t>
  </si>
  <si>
    <t>78-8602908</t>
  </si>
  <si>
    <t>30-3460885</t>
  </si>
  <si>
    <t>59-0348389</t>
  </si>
  <si>
    <t>91-7447818</t>
  </si>
  <si>
    <t>37-6449638</t>
  </si>
  <si>
    <t>38-2806168</t>
  </si>
  <si>
    <t>09-7737652</t>
  </si>
  <si>
    <t>29-1727395</t>
  </si>
  <si>
    <t>92-4695001</t>
  </si>
  <si>
    <t>51-2167412</t>
  </si>
  <si>
    <t>Abbott, Roberts and Torp</t>
  </si>
  <si>
    <t>27-7169008</t>
  </si>
  <si>
    <t>96-5231814</t>
  </si>
  <si>
    <t>03-2027170</t>
  </si>
  <si>
    <t>99-9599677</t>
  </si>
  <si>
    <t>22-0725785</t>
  </si>
  <si>
    <t>37-6033123</t>
  </si>
  <si>
    <t>29-5158368</t>
  </si>
  <si>
    <t>95-4281933</t>
  </si>
  <si>
    <t>61-0532585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</si>
  <si>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</si>
  <si>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</si>
  <si>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</si>
  <si>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</si>
  <si>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</si>
  <si>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</si>
  <si>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</si>
  <si>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</si>
  <si>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</si>
  <si>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</si>
  <si>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</si>
  <si>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</si>
  <si>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</si>
  <si>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</si>
  <si>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</si>
  <si>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</si>
  <si>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</si>
  <si>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</si>
  <si>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</si>
  <si>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</si>
  <si>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</si>
  <si>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72-4825752</t>
  </si>
  <si>
    <t>18-2580592</t>
  </si>
  <si>
    <t>14-1283254</t>
  </si>
  <si>
    <t>79-4826735</t>
  </si>
  <si>
    <t>82-2840501</t>
  </si>
  <si>
    <t>19-0320558</t>
  </si>
  <si>
    <t>57-0945292</t>
  </si>
  <si>
    <t>01-6573793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</si>
  <si>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</si>
  <si>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</si>
  <si>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</si>
  <si>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</si>
  <si>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</si>
  <si>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</si>
  <si>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</si>
  <si>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</si>
  <si>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</si>
  <si>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71-3278650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</si>
  <si>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</si>
  <si>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</si>
  <si>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</si>
  <si>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</si>
  <si>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</si>
  <si>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</si>
  <si>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</si>
  <si>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</si>
  <si>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</si>
  <si>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16-9758497</t>
  </si>
  <si>
    <t>54-1058965</t>
  </si>
  <si>
    <t>84-0565956</t>
  </si>
  <si>
    <t>85-6263705</t>
  </si>
  <si>
    <t>46-4560578</t>
  </si>
  <si>
    <t>08-5093310</t>
  </si>
  <si>
    <t>21-8525376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</si>
  <si>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</si>
  <si>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</si>
  <si>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</si>
  <si>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</si>
  <si>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</si>
  <si>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</si>
  <si>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</si>
  <si>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</si>
  <si>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</si>
  <si>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</si>
  <si>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</si>
  <si>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</si>
  <si>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</si>
  <si>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</si>
  <si>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</si>
  <si>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</si>
  <si>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</si>
  <si>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Lind, Mueller and Stoltenberg</t>
  </si>
  <si>
    <t>53-3803984</t>
  </si>
  <si>
    <t>68-0176456</t>
  </si>
  <si>
    <t>63-7370049</t>
  </si>
  <si>
    <t>03-3461826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</si>
  <si>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</si>
  <si>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</si>
  <si>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</si>
  <si>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</si>
  <si>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</si>
  <si>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</si>
  <si>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</si>
  <si>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</si>
  <si>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</si>
  <si>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</si>
  <si>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</si>
  <si>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</si>
  <si>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76-1827989</t>
  </si>
  <si>
    <t>36-4321653</t>
  </si>
  <si>
    <t>18-7046062</t>
  </si>
  <si>
    <t>73-4380400</t>
  </si>
  <si>
    <t>47-5051773</t>
  </si>
  <si>
    <t>92-3687989</t>
  </si>
  <si>
    <t>60-9753536</t>
  </si>
  <si>
    <t>39-5658730</t>
  </si>
  <si>
    <t>73-8632957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</si>
  <si>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</si>
  <si>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</si>
  <si>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</si>
  <si>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</si>
  <si>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</si>
  <si>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</si>
  <si>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</si>
  <si>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</si>
  <si>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</si>
  <si>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</si>
  <si>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</si>
  <si>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</si>
  <si>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</si>
  <si>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</si>
  <si>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</si>
  <si>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44-9908550</t>
  </si>
  <si>
    <t>52-3150154</t>
  </si>
  <si>
    <t>37-9761957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</si>
  <si>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</si>
  <si>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</si>
  <si>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</si>
  <si>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</si>
  <si>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</si>
  <si>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</si>
  <si>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</si>
  <si>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02-1124101</t>
  </si>
  <si>
    <t>85-9787047</t>
  </si>
  <si>
    <t>60-7663173</t>
  </si>
  <si>
    <t>34-1570975</t>
  </si>
  <si>
    <t>57-9765345</t>
  </si>
  <si>
    <t>31-8846200</t>
  </si>
  <si>
    <t>48-6452102</t>
  </si>
  <si>
    <t>85-9541179</t>
  </si>
  <si>
    <t>93-2085046</t>
  </si>
  <si>
    <t>03-6962760</t>
  </si>
  <si>
    <t>15-3241183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</si>
  <si>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</si>
  <si>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</si>
  <si>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</si>
  <si>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</si>
  <si>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</si>
  <si>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</si>
  <si>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</si>
  <si>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</si>
  <si>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</si>
  <si>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</si>
  <si>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</si>
  <si>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</si>
  <si>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</si>
  <si>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</si>
  <si>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</si>
  <si>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</si>
  <si>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</si>
  <si>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</si>
  <si>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45-3085595</t>
  </si>
  <si>
    <t>61-3294149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</si>
  <si>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</si>
  <si>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</si>
  <si>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</si>
  <si>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</si>
  <si>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</si>
  <si>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</si>
  <si>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</si>
  <si>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</si>
  <si>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</si>
  <si>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</si>
  <si>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</si>
  <si>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</si>
  <si>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</si>
  <si>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fake</t>
  </si>
  <si>
    <t>Line chart</t>
  </si>
  <si>
    <t>Fake column for background</t>
  </si>
  <si>
    <t>Colors</t>
  </si>
  <si>
    <t>Data lable show series</t>
  </si>
  <si>
    <t>Legend custom number format</t>
  </si>
  <si>
    <t>Row Labels</t>
  </si>
  <si>
    <t>Grand Total</t>
  </si>
  <si>
    <t>2019</t>
  </si>
  <si>
    <t>2020</t>
  </si>
  <si>
    <t>Column Labels</t>
  </si>
  <si>
    <t xml:space="preserve">Sum of  order_value_EUR </t>
  </si>
  <si>
    <t xml:space="preserve"> </t>
  </si>
  <si>
    <t>pctChange</t>
  </si>
  <si>
    <t>Sales by month (EUR)</t>
  </si>
  <si>
    <t>month</t>
  </si>
  <si>
    <t>ym</t>
  </si>
  <si>
    <t>year</t>
  </si>
  <si>
    <t>x</t>
  </si>
  <si>
    <t>Pivottable</t>
  </si>
  <si>
    <t>use Group date fields</t>
  </si>
  <si>
    <t>Pivotable not using Group Date field</t>
  </si>
  <si>
    <t>Use calculated items</t>
  </si>
  <si>
    <t>Wrong total on calculated field</t>
  </si>
  <si>
    <t>Sum of  order_value_EUR 2</t>
  </si>
  <si>
    <t>use Show value as</t>
  </si>
  <si>
    <t>month_name</t>
  </si>
  <si>
    <t>Diff</t>
  </si>
  <si>
    <t>Format axis &gt; axis options &gt; label &gt; label position low</t>
  </si>
  <si>
    <t>invert if negative</t>
  </si>
  <si>
    <t>2019 Total</t>
  </si>
  <si>
    <t>2020 Total</t>
  </si>
  <si>
    <t>Sum of GP</t>
  </si>
  <si>
    <t xml:space="preserve">Count of  order_value_EUR </t>
  </si>
  <si>
    <t xml:space="preserve">order_value_EUR </t>
  </si>
  <si>
    <t>The device type customer used to order</t>
  </si>
  <si>
    <t>unique order_id</t>
  </si>
  <si>
    <t>Customer Name</t>
  </si>
  <si>
    <t>Sale Manager Name</t>
  </si>
  <si>
    <t>Sale Representative Name</t>
  </si>
  <si>
    <t>Product Category</t>
  </si>
  <si>
    <t>date ordered</t>
  </si>
  <si>
    <t xml:space="preserve">cost </t>
  </si>
  <si>
    <t>Cost of goods sold</t>
  </si>
  <si>
    <t>Order_value</t>
  </si>
  <si>
    <t>Customer Origin Country</t>
  </si>
  <si>
    <t>Discreet</t>
  </si>
  <si>
    <r>
      <t xml:space="preserve">Monthly sales in </t>
    </r>
    <r>
      <rPr>
        <b/>
        <i/>
        <sz val="11"/>
        <color theme="1"/>
        <rFont val="Roboto"/>
      </rPr>
      <t>mil</t>
    </r>
    <r>
      <rPr>
        <b/>
        <sz val="11"/>
        <color theme="1"/>
        <rFont val="Roboto"/>
      </rPr>
      <t>EUR</t>
    </r>
  </si>
  <si>
    <t>%pct</t>
  </si>
  <si>
    <t>Net Acc Diff</t>
  </si>
  <si>
    <t>SALES BY MONTH</t>
  </si>
  <si>
    <t>Values</t>
  </si>
  <si>
    <t>Count of order_id</t>
  </si>
  <si>
    <t>A</t>
  </si>
  <si>
    <t>B</t>
  </si>
  <si>
    <t>C</t>
  </si>
  <si>
    <t>Sum of Diff</t>
  </si>
  <si>
    <t xml:space="preserve">Sum of  cost </t>
  </si>
  <si>
    <t xml:space="preserve">Sum of order_value_EUR </t>
  </si>
  <si>
    <t>Loss</t>
  </si>
  <si>
    <t>Old - reduce</t>
  </si>
  <si>
    <t>Old - Increase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</si>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</sst>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##0_);_(* \(###0\);_(* &quot;-&quot;??_);_(@_)"/>
    <numFmt numFmtId="167" formatCode="0.0%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D1A63"/>
      <name val="Aptos"/>
      <family val="2"/>
    </font>
    <font>
      <b/>
      <sz val="18"/>
      <color theme="1"/>
      <name val="Roboto"/>
    </font>
    <font>
      <sz val="11"/>
      <color theme="1"/>
      <name val="Roboto"/>
    </font>
    <font>
      <i/>
      <sz val="11"/>
      <color theme="1"/>
      <name val="Roboto"/>
    </font>
    <font>
      <b/>
      <sz val="11"/>
      <color theme="1"/>
      <name val="Roboto"/>
    </font>
    <font>
      <b/>
      <i/>
      <sz val="11"/>
      <color theme="1"/>
      <name val="Roboto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0D1A63"/>
        <bgColor theme="4" tint="-0.249977111117893"/>
      </patternFill>
    </fill>
    <fill>
      <patternFill patternType="solid">
        <fgColor rgb="FF0D1A63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4" fontId="0" fillId="0" borderId="0" xfId="0" applyNumberFormat="1"/>
    <xf numFmtId="14" fontId="0" fillId="0" borderId="0" xfId="0" applyNumberFormat="1"/>
    <xf numFmtId="0" fontId="16" fillId="0" borderId="0" xfId="0" applyFont="1"/>
    <xf numFmtId="3" fontId="0" fillId="0" borderId="0" xfId="0" applyNumberFormat="1"/>
    <xf numFmtId="17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7" fillId="33" borderId="10" xfId="0" applyFont="1" applyFill="1" applyBorder="1"/>
    <xf numFmtId="9" fontId="0" fillId="0" borderId="12" xfId="43" applyFont="1" applyBorder="1"/>
    <xf numFmtId="10" fontId="16" fillId="0" borderId="13" xfId="43" applyNumberFormat="1" applyFont="1" applyBorder="1"/>
    <xf numFmtId="9" fontId="17" fillId="33" borderId="11" xfId="43" applyFont="1" applyFill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12" xfId="42" applyNumberFormat="1" applyFont="1" applyBorder="1"/>
    <xf numFmtId="164" fontId="16" fillId="0" borderId="13" xfId="42" applyNumberFormat="1" applyFont="1" applyBorder="1"/>
    <xf numFmtId="9" fontId="0" fillId="0" borderId="14" xfId="43" applyFont="1" applyBorder="1"/>
    <xf numFmtId="164" fontId="0" fillId="0" borderId="14" xfId="42" applyNumberFormat="1" applyFont="1" applyBorder="1"/>
    <xf numFmtId="9" fontId="13" fillId="34" borderId="0" xfId="43" applyFont="1" applyFill="1" applyBorder="1" applyAlignment="1">
      <alignment horizontal="left"/>
    </xf>
    <xf numFmtId="9" fontId="17" fillId="34" borderId="0" xfId="43" applyFont="1" applyFill="1" applyBorder="1" applyAlignment="1">
      <alignment horizontal="right"/>
    </xf>
    <xf numFmtId="0" fontId="0" fillId="35" borderId="0" xfId="0" applyFill="1"/>
    <xf numFmtId="9" fontId="17" fillId="34" borderId="0" xfId="43" applyFont="1" applyFill="1" applyBorder="1" applyAlignment="1">
      <alignment horizontal="left"/>
    </xf>
    <xf numFmtId="164" fontId="17" fillId="34" borderId="0" xfId="42" applyNumberFormat="1" applyFont="1" applyFill="1" applyBorder="1" applyAlignment="1">
      <alignment horizontal="right"/>
    </xf>
    <xf numFmtId="10" fontId="0" fillId="0" borderId="0" xfId="0" applyNumberFormat="1"/>
    <xf numFmtId="164" fontId="13" fillId="34" borderId="0" xfId="42" applyNumberFormat="1" applyFont="1" applyFill="1" applyBorder="1" applyAlignment="1">
      <alignment horizontal="right"/>
    </xf>
    <xf numFmtId="9" fontId="13" fillId="34" borderId="0" xfId="43" applyFont="1" applyFill="1" applyBorder="1" applyAlignment="1">
      <alignment horizontal="right"/>
    </xf>
    <xf numFmtId="0" fontId="19" fillId="0" borderId="0" xfId="0" applyFont="1"/>
    <xf numFmtId="0" fontId="20" fillId="0" borderId="0" xfId="0" applyFont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1" fillId="0" borderId="0" xfId="0" applyFont="1"/>
    <xf numFmtId="0" fontId="22" fillId="0" borderId="0" xfId="0" applyFont="1"/>
    <xf numFmtId="165" fontId="22" fillId="0" borderId="0" xfId="42" applyNumberFormat="1" applyFont="1" applyAlignment="1"/>
    <xf numFmtId="0" fontId="22" fillId="0" borderId="15" xfId="0" applyFont="1" applyBorder="1"/>
    <xf numFmtId="166" fontId="22" fillId="0" borderId="15" xfId="42" applyNumberFormat="1" applyFont="1" applyBorder="1" applyAlignment="1"/>
    <xf numFmtId="165" fontId="22" fillId="0" borderId="15" xfId="42" applyNumberFormat="1" applyFont="1" applyBorder="1" applyAlignment="1"/>
    <xf numFmtId="0" fontId="24" fillId="0" borderId="0" xfId="0" applyFont="1"/>
    <xf numFmtId="165" fontId="24" fillId="0" borderId="0" xfId="42" applyNumberFormat="1" applyFont="1" applyAlignment="1"/>
    <xf numFmtId="166" fontId="23" fillId="0" borderId="15" xfId="42" applyNumberFormat="1" applyFont="1" applyBorder="1" applyAlignment="1">
      <alignment horizontal="right"/>
    </xf>
    <xf numFmtId="9" fontId="23" fillId="0" borderId="0" xfId="43" applyFont="1" applyAlignment="1"/>
    <xf numFmtId="9" fontId="23" fillId="0" borderId="15" xfId="43" applyFont="1" applyBorder="1" applyAlignment="1"/>
    <xf numFmtId="167" fontId="25" fillId="0" borderId="0" xfId="43" applyNumberFormat="1" applyFont="1" applyAlignment="1"/>
    <xf numFmtId="164" fontId="0" fillId="0" borderId="0" xfId="42" applyNumberFormat="1" applyFont="1"/>
    <xf numFmtId="9" fontId="0" fillId="0" borderId="0" xfId="0" applyNumberFormat="1"/>
    <xf numFmtId="0" fontId="0" fillId="0" borderId="0" xfId="0" quotePrefix="1"/>
    <xf numFmtId="164" fontId="0" fillId="0" borderId="0" xfId="0" applyNumberFormat="1"/>
    <xf numFmtId="164" fontId="0" fillId="36" borderId="0" xfId="0" applyNumberFormat="1" applyFill="1"/>
    <xf numFmtId="10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 patternType="solid">
          <bgColor theme="5" tint="0.59999389629810485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right"/>
    </dxf>
    <dxf>
      <alignment horizontal="right"/>
    </dxf>
    <dxf>
      <alignment horizontal="right"/>
    </dxf>
    <dxf>
      <numFmt numFmtId="3" formatCode="#,##0"/>
    </dxf>
  </dxfs>
  <tableStyles count="0" defaultTableStyle="TableStyleMedium2" defaultPivotStyle="PivotStyleLight16"/>
  <colors>
    <mruColors>
      <color rgb="FFF68048"/>
      <color rgb="FF7E7E7E"/>
      <color rgb="FF0D1A63"/>
      <color rgb="FF5B73C4"/>
      <color rgb="FFA8B4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2019 vs 2020 (EUR)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899499978610058E-2"/>
          <c:y val="0.12363333333333333"/>
          <c:w val="0.88951213313100963"/>
          <c:h val="0.7286223097112860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'05_sumproduct'!$D$1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'05_sumproduct'!$D$2:$D$13</c:f>
              <c:numCache>
                <c:formatCode>General</c:formatCode>
                <c:ptCount val="12"/>
                <c:pt idx="5" formatCode="0.00E+00">
                  <c:v>10000000</c:v>
                </c:pt>
                <c:pt idx="6" formatCode="0.00E+00">
                  <c:v>10000000</c:v>
                </c:pt>
                <c:pt idx="11" formatCode="0.00E+00">
                  <c:v>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1-4BC7-BC69-2A02E6AAC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23087231"/>
        <c:axId val="1623070911"/>
      </c:barChart>
      <c:lineChart>
        <c:grouping val="standard"/>
        <c:varyColors val="0"/>
        <c:ser>
          <c:idx val="0"/>
          <c:order val="0"/>
          <c:tx>
            <c:strRef>
              <c:f>'05_sumproduct'!$B$1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rgbClr val="7E7E7E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4.9856184084372007E-2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91-4BC7-BC69-2A02E6AACC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E7E7E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'05_sumproduct'!$A$2:$A$13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'05_sumproduct'!$B$2:$B$13</c:f>
              <c:numCache>
                <c:formatCode>#,##0</c:formatCode>
                <c:ptCount val="12"/>
                <c:pt idx="0">
                  <c:v>4516614.82</c:v>
                </c:pt>
                <c:pt idx="1">
                  <c:v>2895563.9000000004</c:v>
                </c:pt>
                <c:pt idx="2">
                  <c:v>2521827.9900000002</c:v>
                </c:pt>
                <c:pt idx="3">
                  <c:v>4172236.77</c:v>
                </c:pt>
                <c:pt idx="4">
                  <c:v>3825681.9699999993</c:v>
                </c:pt>
                <c:pt idx="5">
                  <c:v>7692234.9000000022</c:v>
                </c:pt>
                <c:pt idx="6">
                  <c:v>6638609.2100000037</c:v>
                </c:pt>
                <c:pt idx="7">
                  <c:v>3437450.1399999997</c:v>
                </c:pt>
                <c:pt idx="8">
                  <c:v>4870060.5500000007</c:v>
                </c:pt>
                <c:pt idx="9">
                  <c:v>4372149.55</c:v>
                </c:pt>
                <c:pt idx="10">
                  <c:v>2961318.57</c:v>
                </c:pt>
                <c:pt idx="11">
                  <c:v>8713776.0300000012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91-4BC7-BC69-2A02E6AACCCC}"/>
            </c:ext>
          </c:extLst>
        </c:ser>
        <c:ser>
          <c:idx val="1"/>
          <c:order val="1"/>
          <c:tx>
            <c:strRef>
              <c:f>'05_sumproduct'!$C$1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F6804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4.9856184084372007E-2"/>
                  <c:y val="-0.01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91-4BC7-BC69-2A02E6AACC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6804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'05_sumproduct'!$A$2:$A$13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'05_sumproduct'!$C$2:$C$13</c:f>
              <c:numCache>
                <c:formatCode>#,##0</c:formatCode>
                <c:ptCount val="12"/>
                <c:pt idx="0">
                  <c:v>5215699.830000001</c:v>
                </c:pt>
                <c:pt idx="1">
                  <c:v>1959413.0000000002</c:v>
                </c:pt>
                <c:pt idx="2">
                  <c:v>3579943.8399999989</c:v>
                </c:pt>
                <c:pt idx="3">
                  <c:v>4069097.7799999989</c:v>
                </c:pt>
                <c:pt idx="4">
                  <c:v>5537943.7699999986</c:v>
                </c:pt>
                <c:pt idx="5">
                  <c:v>7158137.8599999985</c:v>
                </c:pt>
                <c:pt idx="6">
                  <c:v>5242556.459999999</c:v>
                </c:pt>
                <c:pt idx="7">
                  <c:v>4714525.2100000009</c:v>
                </c:pt>
                <c:pt idx="8">
                  <c:v>3778141.3699999996</c:v>
                </c:pt>
                <c:pt idx="9">
                  <c:v>4869726.8500000015</c:v>
                </c:pt>
                <c:pt idx="10">
                  <c:v>4734730.08</c:v>
                </c:pt>
                <c:pt idx="11">
                  <c:v>5884298.2599999998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91-4BC7-BC69-2A02E6AAC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087231"/>
        <c:axId val="1623070911"/>
      </c:lineChart>
      <c:catAx>
        <c:axId val="162308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070911"/>
        <c:crosses val="autoZero"/>
        <c:auto val="1"/>
        <c:lblAlgn val="ctr"/>
        <c:lblOffset val="100"/>
        <c:noMultiLvlLbl val="0"/>
      </c:catAx>
      <c:valAx>
        <c:axId val="1623070911"/>
        <c:scaling>
          <c:orientation val="minMax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0872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>
                <a:latin typeface="Roboto" panose="02000000000000000000" pitchFamily="2" charset="0"/>
                <a:ea typeface="Roboto" panose="02000000000000000000" pitchFamily="2" charset="0"/>
              </a:rPr>
              <a:t>Monthly Sales </a:t>
            </a:r>
            <a:r>
              <a:rPr lang="en-US" b="1">
                <a:solidFill>
                  <a:srgbClr val="7E7E7E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2019</a:t>
            </a:r>
            <a:r>
              <a:rPr lang="en-US">
                <a:latin typeface="Roboto" panose="02000000000000000000" pitchFamily="2" charset="0"/>
                <a:ea typeface="Roboto" panose="02000000000000000000" pitchFamily="2" charset="0"/>
              </a:rPr>
              <a:t> vs </a:t>
            </a:r>
            <a:r>
              <a:rPr lang="en-US" b="1">
                <a:solidFill>
                  <a:srgbClr val="F68048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2020</a:t>
            </a:r>
            <a:r>
              <a:rPr lang="en-US">
                <a:latin typeface="Roboto" panose="02000000000000000000" pitchFamily="2" charset="0"/>
                <a:ea typeface="Roboto" panose="02000000000000000000" pitchFamily="2" charset="0"/>
              </a:rPr>
              <a:t> (EUR)</a:t>
            </a:r>
          </a:p>
        </c:rich>
      </c:tx>
      <c:layout>
        <c:manualLayout>
          <c:xMode val="edge"/>
          <c:yMode val="edge"/>
          <c:x val="3.8926677789437028E-3"/>
          <c:y val="1.3333333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899499978610058E-2"/>
          <c:y val="0.12363333333333333"/>
          <c:w val="0.88951213313100963"/>
          <c:h val="0.7286223097112860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'06_chart_01'!$D$1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'06_chart_01'!$D$2:$D$13</c:f>
              <c:numCache>
                <c:formatCode>General</c:formatCode>
                <c:ptCount val="12"/>
                <c:pt idx="5" formatCode="0.00E+00">
                  <c:v>10000000</c:v>
                </c:pt>
                <c:pt idx="6" formatCode="0.00E+00">
                  <c:v>10000000</c:v>
                </c:pt>
                <c:pt idx="11" formatCode="0.00E+00">
                  <c:v>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C-4345-B65F-103DDBB9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23087231"/>
        <c:axId val="1623070911"/>
      </c:barChart>
      <c:lineChart>
        <c:grouping val="standard"/>
        <c:varyColors val="0"/>
        <c:ser>
          <c:idx val="0"/>
          <c:order val="0"/>
          <c:tx>
            <c:strRef>
              <c:f>'06_chart_01'!$B$1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rgbClr val="7E7E7E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4.9856184084372007E-2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0C-4345-B65F-103DDBB95A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E7E7E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'06_chart_01'!$B$2:$B$13</c:f>
              <c:numCache>
                <c:formatCode>#,##0</c:formatCode>
                <c:ptCount val="12"/>
                <c:pt idx="0">
                  <c:v>4516614.82</c:v>
                </c:pt>
                <c:pt idx="1">
                  <c:v>2895563.9000000004</c:v>
                </c:pt>
                <c:pt idx="2">
                  <c:v>2521827.9900000002</c:v>
                </c:pt>
                <c:pt idx="3">
                  <c:v>4172236.77</c:v>
                </c:pt>
                <c:pt idx="4">
                  <c:v>3825681.9699999993</c:v>
                </c:pt>
                <c:pt idx="5">
                  <c:v>7692234.9000000022</c:v>
                </c:pt>
                <c:pt idx="6">
                  <c:v>6638609.2100000037</c:v>
                </c:pt>
                <c:pt idx="7">
                  <c:v>3437450.1399999997</c:v>
                </c:pt>
                <c:pt idx="8">
                  <c:v>4870060.5500000007</c:v>
                </c:pt>
                <c:pt idx="9">
                  <c:v>4372149.55</c:v>
                </c:pt>
                <c:pt idx="10">
                  <c:v>2961318.57</c:v>
                </c:pt>
                <c:pt idx="11">
                  <c:v>8713776.0300000012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0C-4345-B65F-103DDBB95A83}"/>
            </c:ext>
          </c:extLst>
        </c:ser>
        <c:ser>
          <c:idx val="1"/>
          <c:order val="1"/>
          <c:tx>
            <c:strRef>
              <c:f>'06_chart_01'!$C$1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F6804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4.9856184084372007E-2"/>
                  <c:y val="-0.01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0C-4345-B65F-103DDBB95A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68048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'06_chart_01'!$C$2:$C$13</c:f>
              <c:numCache>
                <c:formatCode>#,##0</c:formatCode>
                <c:ptCount val="12"/>
                <c:pt idx="0">
                  <c:v>5215699.830000001</c:v>
                </c:pt>
                <c:pt idx="1">
                  <c:v>1959413.0000000002</c:v>
                </c:pt>
                <c:pt idx="2">
                  <c:v>3579943.8399999989</c:v>
                </c:pt>
                <c:pt idx="3">
                  <c:v>4069097.7799999989</c:v>
                </c:pt>
                <c:pt idx="4">
                  <c:v>5537943.7699999986</c:v>
                </c:pt>
                <c:pt idx="5">
                  <c:v>7158137.8599999985</c:v>
                </c:pt>
                <c:pt idx="6">
                  <c:v>5242556.459999999</c:v>
                </c:pt>
                <c:pt idx="7">
                  <c:v>4714525.2100000009</c:v>
                </c:pt>
                <c:pt idx="8">
                  <c:v>3778141.3699999996</c:v>
                </c:pt>
                <c:pt idx="9">
                  <c:v>4869726.8500000015</c:v>
                </c:pt>
                <c:pt idx="10">
                  <c:v>4734730.08</c:v>
                </c:pt>
                <c:pt idx="11">
                  <c:v>5884298.2599999998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80C-4345-B65F-103DDBB9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087231"/>
        <c:axId val="1623070911"/>
      </c:lineChart>
      <c:catAx>
        <c:axId val="162308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23070911"/>
        <c:crosses val="autoZero"/>
        <c:auto val="1"/>
        <c:lblAlgn val="ctr"/>
        <c:lblOffset val="100"/>
        <c:noMultiLvlLbl val="0"/>
      </c:catAx>
      <c:valAx>
        <c:axId val="1623070911"/>
        <c:scaling>
          <c:orientation val="minMax"/>
          <c:max val="10000000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230872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Monthly Sales 2019 vs 2020 (EUR)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'06_chart_01'!$B$2:$B$13</c:f>
              <c:numCache>
                <c:formatCode>#,##0</c:formatCode>
                <c:ptCount val="12"/>
                <c:pt idx="0">
                  <c:v>4516614.82</c:v>
                </c:pt>
                <c:pt idx="1">
                  <c:v>2895563.9000000004</c:v>
                </c:pt>
                <c:pt idx="2">
                  <c:v>2521827.9900000002</c:v>
                </c:pt>
                <c:pt idx="3">
                  <c:v>4172236.77</c:v>
                </c:pt>
                <c:pt idx="4">
                  <c:v>3825681.9699999993</c:v>
                </c:pt>
                <c:pt idx="5">
                  <c:v>7692234.9000000022</c:v>
                </c:pt>
                <c:pt idx="6">
                  <c:v>6638609.2100000037</c:v>
                </c:pt>
                <c:pt idx="7">
                  <c:v>3437450.1399999997</c:v>
                </c:pt>
                <c:pt idx="8">
                  <c:v>4870060.5500000007</c:v>
                </c:pt>
                <c:pt idx="9">
                  <c:v>4372149.55</c:v>
                </c:pt>
                <c:pt idx="10">
                  <c:v>2961318.57</c:v>
                </c:pt>
                <c:pt idx="11">
                  <c:v>8713776.0300000012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9-458E-9CD0-8A969B959D0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'06_chart_01'!$C$2:$C$13</c:f>
              <c:numCache>
                <c:formatCode>#,##0</c:formatCode>
                <c:ptCount val="12"/>
                <c:pt idx="0">
                  <c:v>5215699.830000001</c:v>
                </c:pt>
                <c:pt idx="1">
                  <c:v>1959413.0000000002</c:v>
                </c:pt>
                <c:pt idx="2">
                  <c:v>3579943.8399999989</c:v>
                </c:pt>
                <c:pt idx="3">
                  <c:v>4069097.7799999989</c:v>
                </c:pt>
                <c:pt idx="4">
                  <c:v>5537943.7699999986</c:v>
                </c:pt>
                <c:pt idx="5">
                  <c:v>7158137.8599999985</c:v>
                </c:pt>
                <c:pt idx="6">
                  <c:v>5242556.459999999</c:v>
                </c:pt>
                <c:pt idx="7">
                  <c:v>4714525.2100000009</c:v>
                </c:pt>
                <c:pt idx="8">
                  <c:v>3778141.3699999996</c:v>
                </c:pt>
                <c:pt idx="9">
                  <c:v>4869726.8500000015</c:v>
                </c:pt>
                <c:pt idx="10">
                  <c:v>4734730.08</c:v>
                </c:pt>
                <c:pt idx="11">
                  <c:v>5884298.2599999998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9-458E-9CD0-8A969B959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703056"/>
        <c:axId val="1290686736"/>
      </c:barChart>
      <c:catAx>
        <c:axId val="12907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290686736"/>
        <c:crosses val="autoZero"/>
        <c:auto val="1"/>
        <c:lblAlgn val="ctr"/>
        <c:lblOffset val="100"/>
        <c:noMultiLvlLbl val="0"/>
      </c:catAx>
      <c:valAx>
        <c:axId val="129068673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29070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Monthly Sales </a:t>
            </a:r>
            <a:r>
              <a:rPr lang="en-US" sz="1400" b="1" i="0" u="none" strike="noStrike" kern="1200" spc="0" baseline="0">
                <a:solidFill>
                  <a:srgbClr val="0D1A63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2019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 vs </a:t>
            </a:r>
            <a:r>
              <a:rPr lang="en-US" sz="1400" b="1" i="0" u="none" strike="noStrike" kern="1200" spc="0" baseline="0">
                <a:solidFill>
                  <a:srgbClr val="F68048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2020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 (EUR)</a:t>
            </a:r>
          </a:p>
        </c:rich>
      </c:tx>
      <c:layout>
        <c:manualLayout>
          <c:xMode val="edge"/>
          <c:yMode val="edge"/>
          <c:x val="7.6592434255967311E-3"/>
          <c:y val="2.9906536187301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'06_chart_01'!$B$2:$B$13</c:f>
              <c:numCache>
                <c:formatCode>#,##0</c:formatCode>
                <c:ptCount val="12"/>
                <c:pt idx="0">
                  <c:v>4516614.82</c:v>
                </c:pt>
                <c:pt idx="1">
                  <c:v>2895563.9000000004</c:v>
                </c:pt>
                <c:pt idx="2">
                  <c:v>2521827.9900000002</c:v>
                </c:pt>
                <c:pt idx="3">
                  <c:v>4172236.77</c:v>
                </c:pt>
                <c:pt idx="4">
                  <c:v>3825681.9699999993</c:v>
                </c:pt>
                <c:pt idx="5">
                  <c:v>7692234.9000000022</c:v>
                </c:pt>
                <c:pt idx="6">
                  <c:v>6638609.2100000037</c:v>
                </c:pt>
                <c:pt idx="7">
                  <c:v>3437450.1399999997</c:v>
                </c:pt>
                <c:pt idx="8">
                  <c:v>4870060.5500000007</c:v>
                </c:pt>
                <c:pt idx="9">
                  <c:v>4372149.55</c:v>
                </c:pt>
                <c:pt idx="10">
                  <c:v>2961318.57</c:v>
                </c:pt>
                <c:pt idx="11">
                  <c:v>8713776.0300000012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1-43AA-89A9-A39302E4749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'06_chart_01'!$C$2:$C$13</c:f>
              <c:numCache>
                <c:formatCode>#,##0</c:formatCode>
                <c:ptCount val="12"/>
                <c:pt idx="0">
                  <c:v>5215699.830000001</c:v>
                </c:pt>
                <c:pt idx="1">
                  <c:v>1959413.0000000002</c:v>
                </c:pt>
                <c:pt idx="2">
                  <c:v>3579943.8399999989</c:v>
                </c:pt>
                <c:pt idx="3">
                  <c:v>4069097.7799999989</c:v>
                </c:pt>
                <c:pt idx="4">
                  <c:v>5537943.7699999986</c:v>
                </c:pt>
                <c:pt idx="5">
                  <c:v>7158137.8599999985</c:v>
                </c:pt>
                <c:pt idx="6">
                  <c:v>5242556.459999999</c:v>
                </c:pt>
                <c:pt idx="7">
                  <c:v>4714525.2100000009</c:v>
                </c:pt>
                <c:pt idx="8">
                  <c:v>3778141.3699999996</c:v>
                </c:pt>
                <c:pt idx="9">
                  <c:v>4869726.8500000015</c:v>
                </c:pt>
                <c:pt idx="10">
                  <c:v>4734730.08</c:v>
                </c:pt>
                <c:pt idx="11">
                  <c:v>5884298.2599999998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1-43AA-89A9-A39302E47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90703056"/>
        <c:axId val="1290686736"/>
      </c:barChart>
      <c:catAx>
        <c:axId val="12907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290686736"/>
        <c:crosses val="autoZero"/>
        <c:auto val="1"/>
        <c:lblAlgn val="ctr"/>
        <c:lblOffset val="100"/>
        <c:noMultiLvlLbl val="0"/>
      </c:catAx>
      <c:valAx>
        <c:axId val="1290686736"/>
        <c:scaling>
          <c:orientation val="minMax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29070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>
                <a:latin typeface="Roboto" panose="02000000000000000000" pitchFamily="2" charset="0"/>
                <a:ea typeface="Roboto" panose="02000000000000000000" pitchFamily="2" charset="0"/>
              </a:rPr>
              <a:t>Monthly Sales Diff 2019 vs 2020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(EUR)</a:t>
            </a:r>
            <a:endParaRPr lang="en-US">
              <a:latin typeface="Roboto" panose="02000000000000000000" pitchFamily="2" charset="0"/>
              <a:ea typeface="Roboto" panose="0200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'06_chart_01'!$J$1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rgbClr val="F68048"/>
            </a:solidFill>
            <a:ln>
              <a:noFill/>
            </a:ln>
            <a:effectLst/>
          </c:spPr>
          <c:invertIfNegative val="0"/>
          <c:cat>
            <c:strRef>
              <c:f>'06_chart_01'!$I$2:$I$13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'06_chart_01'!$J$2:$J$13</c:f>
              <c:numCache>
                <c:formatCode>#,##0</c:formatCode>
                <c:ptCount val="12"/>
                <c:pt idx="0">
                  <c:v>699085.01000000071</c:v>
                </c:pt>
                <c:pt idx="1">
                  <c:v>-936150.90000000014</c:v>
                </c:pt>
                <c:pt idx="2">
                  <c:v>1058115.8499999987</c:v>
                </c:pt>
                <c:pt idx="3">
                  <c:v>-103138.99000000115</c:v>
                </c:pt>
                <c:pt idx="4">
                  <c:v>1712261.7999999993</c:v>
                </c:pt>
                <c:pt idx="5">
                  <c:v>-534097.04000000376</c:v>
                </c:pt>
                <c:pt idx="6">
                  <c:v>-1396052.7500000047</c:v>
                </c:pt>
                <c:pt idx="7">
                  <c:v>1277075.0700000012</c:v>
                </c:pt>
                <c:pt idx="8">
                  <c:v>-1091919.1800000011</c:v>
                </c:pt>
                <c:pt idx="9">
                  <c:v>497577.30000000168</c:v>
                </c:pt>
                <c:pt idx="10">
                  <c:v>1773411.5100000002</c:v>
                </c:pt>
                <c:pt idx="11">
                  <c:v>-2829477.7700000014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E-4326-96D4-E32C60830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356991"/>
        <c:axId val="411365151"/>
      </c:barChart>
      <c:catAx>
        <c:axId val="41135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411365151"/>
        <c:crosses val="autoZero"/>
        <c:auto val="1"/>
        <c:lblAlgn val="ctr"/>
        <c:lblOffset val="100"/>
        <c:noMultiLvlLbl val="0"/>
      </c:catAx>
      <c:valAx>
        <c:axId val="41136515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41135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Monthly Sales </a:t>
            </a:r>
            <a:r>
              <a:rPr lang="en-US" sz="1400" b="1" i="0" u="none" strike="noStrike" kern="1200" spc="0" baseline="0">
                <a:solidFill>
                  <a:srgbClr val="7E7E7E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2019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 vs </a:t>
            </a:r>
            <a:r>
              <a:rPr lang="en-US" sz="1400" b="1" i="0" u="none" strike="noStrike" kern="1200" spc="0" baseline="0">
                <a:solidFill>
                  <a:srgbClr val="F68048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2020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 (EUR)</a:t>
            </a:r>
          </a:p>
        </c:rich>
      </c:tx>
      <c:layout>
        <c:manualLayout>
          <c:xMode val="edge"/>
          <c:yMode val="edge"/>
          <c:x val="3.7696231367305502E-3"/>
          <c:y val="2.9906536187301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844550091615909E-2"/>
          <c:y val="0.18487223786450063"/>
          <c:w val="0.80121205368196902"/>
          <c:h val="0.7602991124587803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D1-461F-ACCA-8992FA7D66DC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'06_chart_01'!$B$2:$B$13</c:f>
              <c:numCache>
                <c:formatCode>#,##0</c:formatCode>
                <c:ptCount val="12"/>
                <c:pt idx="0">
                  <c:v>4516614.82</c:v>
                </c:pt>
                <c:pt idx="1">
                  <c:v>2895563.9000000004</c:v>
                </c:pt>
                <c:pt idx="2">
                  <c:v>2521827.9900000002</c:v>
                </c:pt>
                <c:pt idx="3">
                  <c:v>4172236.77</c:v>
                </c:pt>
                <c:pt idx="4">
                  <c:v>3825681.9699999993</c:v>
                </c:pt>
                <c:pt idx="5">
                  <c:v>7692234.9000000022</c:v>
                </c:pt>
                <c:pt idx="6">
                  <c:v>6638609.2100000037</c:v>
                </c:pt>
                <c:pt idx="7">
                  <c:v>3437450.1399999997</c:v>
                </c:pt>
                <c:pt idx="8">
                  <c:v>4870060.5500000007</c:v>
                </c:pt>
                <c:pt idx="9">
                  <c:v>4372149.55</c:v>
                </c:pt>
                <c:pt idx="10">
                  <c:v>2961318.57</c:v>
                </c:pt>
                <c:pt idx="11">
                  <c:v>8713776.0300000012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D1-461F-ACCA-8992FA7D66DC}"/>
            </c:ext>
          </c:extLst>
        </c:ser>
        <c:ser>
          <c:idx val="1"/>
          <c:order val="1"/>
          <c:spPr>
            <a:solidFill>
              <a:srgbClr val="F68048"/>
            </a:solidFill>
            <a:ln>
              <a:noFill/>
            </a:ln>
            <a:effectLst/>
          </c:spPr>
          <c:invertIfNegative val="0"/>
          <c:dLbls>
            <c:dLbl>
              <c:idx val="1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D1-461F-ACCA-8992FA7D66DC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'06_chart_01'!$C$2:$C$13</c:f>
              <c:numCache>
                <c:formatCode>#,##0</c:formatCode>
                <c:ptCount val="12"/>
                <c:pt idx="0">
                  <c:v>5215699.830000001</c:v>
                </c:pt>
                <c:pt idx="1">
                  <c:v>1959413.0000000002</c:v>
                </c:pt>
                <c:pt idx="2">
                  <c:v>3579943.8399999989</c:v>
                </c:pt>
                <c:pt idx="3">
                  <c:v>4069097.7799999989</c:v>
                </c:pt>
                <c:pt idx="4">
                  <c:v>5537943.7699999986</c:v>
                </c:pt>
                <c:pt idx="5">
                  <c:v>7158137.8599999985</c:v>
                </c:pt>
                <c:pt idx="6">
                  <c:v>5242556.459999999</c:v>
                </c:pt>
                <c:pt idx="7">
                  <c:v>4714525.2100000009</c:v>
                </c:pt>
                <c:pt idx="8">
                  <c:v>3778141.3699999996</c:v>
                </c:pt>
                <c:pt idx="9">
                  <c:v>4869726.8500000015</c:v>
                </c:pt>
                <c:pt idx="10">
                  <c:v>4734730.08</c:v>
                </c:pt>
                <c:pt idx="11">
                  <c:v>5884298.2599999998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D1-461F-ACCA-8992FA7D6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60"/>
        <c:axId val="1290703056"/>
        <c:axId val="1290686736"/>
      </c:barChart>
      <c:lineChart>
        <c:grouping val="standard"/>
        <c:varyColors val="0"/>
        <c:ser>
          <c:idx val="2"/>
          <c:order val="2"/>
          <c:tx>
            <c:strRef>
              <c:f>'06_chart_01'!$K$1</c:f>
              <c:strCache>
                <c:ptCount val="1"/>
                <c:pt idx="0">
                  <c:v>Net Acc Diff</c:v>
                </c:pt>
              </c:strCache>
            </c:strRef>
          </c:tx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1530265124244521E-16"/>
                  <c:y val="-3.73458851824495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  <a:cs typeface="+mn-cs"/>
                      </a:defRPr>
                    </a:pPr>
                    <a:fld id="{A5096622-8935-4A2D-9025-434A641A572F}" type="SERIESNAME">
                      <a:rPr lang="en-US" sz="1100" b="1">
                        <a:solidFill>
                          <a:srgbClr val="0D1A63"/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</a:rPr>
                      <a:pPr>
                        <a:defRPr sz="1100" b="1">
                          <a:latin typeface="Roboto" panose="02000000000000000000" pitchFamily="2" charset="0"/>
                          <a:ea typeface="Roboto" panose="02000000000000000000" pitchFamily="2" charset="0"/>
                        </a:defRPr>
                      </a:pPr>
                      <a:t>[SERIES NAME]</a:t>
                    </a:fld>
                    <a:r>
                      <a:rPr lang="en-US" sz="1100" b="1" baseline="0">
                        <a:latin typeface="Roboto" panose="02000000000000000000" pitchFamily="2" charset="0"/>
                        <a:ea typeface="Roboto" panose="02000000000000000000" pitchFamily="2" charset="0"/>
                      </a:rPr>
                      <a:t>, </a:t>
                    </a:r>
                    <a:fld id="{54C500F7-AD16-44DF-B65B-2A438EB65E74}" type="VALUE">
                      <a:rPr lang="en-US" sz="1100" b="1" baseline="0">
                        <a:solidFill>
                          <a:srgbClr val="0D1A63"/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</a:rPr>
                      <a:pPr>
                        <a:defRPr sz="1100" b="1">
                          <a:latin typeface="Roboto" panose="02000000000000000000" pitchFamily="2" charset="0"/>
                          <a:ea typeface="Roboto" panose="02000000000000000000" pitchFamily="2" charset="0"/>
                        </a:defRPr>
                      </a:pPr>
                      <a:t>[VALUE]</a:t>
                    </a:fld>
                    <a:endParaRPr lang="en-US" sz="1100" b="1" baseline="0">
                      <a:latin typeface="Roboto" panose="02000000000000000000" pitchFamily="2" charset="0"/>
                      <a:ea typeface="Roboto" panose="02000000000000000000" pitchFamily="2" charset="0"/>
                    </a:endParaRPr>
                  </a:p>
                </c:rich>
              </c:tx>
              <c:numFmt formatCode="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AD1-461F-ACCA-8992FA7D66DC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'06_chart_01'!$K$2:$K$13</c:f>
              <c:numCache>
                <c:formatCode>#,##0</c:formatCode>
                <c:ptCount val="12"/>
                <c:pt idx="0">
                  <c:v>699085.01000000071</c:v>
                </c:pt>
                <c:pt idx="1">
                  <c:v>-237065.88999999943</c:v>
                </c:pt>
                <c:pt idx="2">
                  <c:v>821049.95999999926</c:v>
                </c:pt>
                <c:pt idx="3">
                  <c:v>717910.96999999811</c:v>
                </c:pt>
                <c:pt idx="4">
                  <c:v>2430172.7699999977</c:v>
                </c:pt>
                <c:pt idx="5">
                  <c:v>1896075.7299999939</c:v>
                </c:pt>
                <c:pt idx="6">
                  <c:v>500022.97999998927</c:v>
                </c:pt>
                <c:pt idx="7">
                  <c:v>1777098.0499999905</c:v>
                </c:pt>
                <c:pt idx="8">
                  <c:v>685178.8699999894</c:v>
                </c:pt>
                <c:pt idx="9">
                  <c:v>1182756.1699999911</c:v>
                </c:pt>
                <c:pt idx="10">
                  <c:v>2956167.6799999913</c:v>
                </c:pt>
                <c:pt idx="11">
                  <c:v>126689.9099999899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AD1-461F-ACCA-8992FA7D6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703056"/>
        <c:axId val="1290686736"/>
      </c:lineChart>
      <c:catAx>
        <c:axId val="12907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290686736"/>
        <c:crosses val="autoZero"/>
        <c:auto val="1"/>
        <c:lblAlgn val="ctr"/>
        <c:lblOffset val="100"/>
        <c:noMultiLvlLbl val="0"/>
      </c:catAx>
      <c:valAx>
        <c:axId val="1290686736"/>
        <c:scaling>
          <c:orientation val="minMax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29070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>
                <a:latin typeface="Roboto" panose="02000000000000000000" pitchFamily="2" charset="0"/>
                <a:ea typeface="Roboto" panose="02000000000000000000" pitchFamily="2" charset="0"/>
              </a:rPr>
              <a:t>Monthly Sales Diff 2019 vs 2020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(EUR)</a:t>
            </a:r>
            <a:endParaRPr lang="en-US">
              <a:latin typeface="Roboto" panose="02000000000000000000" pitchFamily="2" charset="0"/>
              <a:ea typeface="Roboto" panose="0200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'06_chart_01'!$J$1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rgbClr val="F68048"/>
            </a:solidFill>
            <a:ln>
              <a:noFill/>
            </a:ln>
            <a:effectLst/>
          </c:spPr>
          <c:invertIfNegative val="1"/>
          <c:cat>
            <c:strRef>
              <c:f>'06_chart_01'!$I$2:$I$13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'06_chart_01'!$J$2:$J$13</c:f>
              <c:numCache>
                <c:formatCode>#,##0</c:formatCode>
                <c:ptCount val="12"/>
                <c:pt idx="0">
                  <c:v>699085.01000000071</c:v>
                </c:pt>
                <c:pt idx="1">
                  <c:v>-936150.90000000014</c:v>
                </c:pt>
                <c:pt idx="2">
                  <c:v>1058115.8499999987</c:v>
                </c:pt>
                <c:pt idx="3">
                  <c:v>-103138.99000000115</c:v>
                </c:pt>
                <c:pt idx="4">
                  <c:v>1712261.7999999993</c:v>
                </c:pt>
                <c:pt idx="5">
                  <c:v>-534097.04000000376</c:v>
                </c:pt>
                <c:pt idx="6">
                  <c:v>-1396052.7500000047</c:v>
                </c:pt>
                <c:pt idx="7">
                  <c:v>1277075.0700000012</c:v>
                </c:pt>
                <c:pt idx="8">
                  <c:v>-1091919.1800000011</c:v>
                </c:pt>
                <c:pt idx="9">
                  <c:v>497577.30000000168</c:v>
                </c:pt>
                <c:pt idx="10">
                  <c:v>1773411.5100000002</c:v>
                </c:pt>
                <c:pt idx="11">
                  <c:v>-2829477.7700000014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E7E7E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537-4DFA-8E01-F89AE8311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411356991"/>
        <c:axId val="411365151"/>
      </c:barChart>
      <c:catAx>
        <c:axId val="41135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411365151"/>
        <c:crosses val="autoZero"/>
        <c:auto val="0"/>
        <c:lblAlgn val="ctr"/>
        <c:lblOffset val="100"/>
        <c:noMultiLvlLbl val="0"/>
      </c:catAx>
      <c:valAx>
        <c:axId val="411365151"/>
        <c:scaling>
          <c:orientation val="minMax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41135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Sales </a:t>
            </a:r>
            <a:r>
              <a:rPr lang="en-US" sz="1400" b="1" i="0" u="none" strike="noStrike" kern="1200" spc="0" baseline="0">
                <a:solidFill>
                  <a:srgbClr val="7E7E7E"/>
                </a:solidFill>
              </a:rPr>
              <a:t>2019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vs </a:t>
            </a:r>
            <a:r>
              <a:rPr lang="en-US" sz="1400" b="1" i="0" u="none" strike="noStrike" kern="1200" spc="0" baseline="0">
                <a:solidFill>
                  <a:srgbClr val="F68048"/>
                </a:solidFill>
              </a:rPr>
              <a:t>2020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(EUR)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1"/>
              <c:numFmt formatCode="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5C-4F91-83B0-69588B2C136E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'06_chart_01'!$B$2:$B$13</c:f>
              <c:numCache>
                <c:formatCode>#,##0</c:formatCode>
                <c:ptCount val="12"/>
                <c:pt idx="0">
                  <c:v>4516614.82</c:v>
                </c:pt>
                <c:pt idx="1">
                  <c:v>2895563.9000000004</c:v>
                </c:pt>
                <c:pt idx="2">
                  <c:v>2521827.9900000002</c:v>
                </c:pt>
                <c:pt idx="3">
                  <c:v>4172236.77</c:v>
                </c:pt>
                <c:pt idx="4">
                  <c:v>3825681.9699999993</c:v>
                </c:pt>
                <c:pt idx="5">
                  <c:v>7692234.9000000022</c:v>
                </c:pt>
                <c:pt idx="6">
                  <c:v>6638609.2100000037</c:v>
                </c:pt>
                <c:pt idx="7">
                  <c:v>3437450.1399999997</c:v>
                </c:pt>
                <c:pt idx="8">
                  <c:v>4870060.5500000007</c:v>
                </c:pt>
                <c:pt idx="9">
                  <c:v>4372149.55</c:v>
                </c:pt>
                <c:pt idx="10">
                  <c:v>2961318.57</c:v>
                </c:pt>
                <c:pt idx="11">
                  <c:v>8713776.0300000012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C-4F91-83B0-69588B2C136E}"/>
            </c:ext>
          </c:extLst>
        </c:ser>
        <c:ser>
          <c:idx val="1"/>
          <c:order val="1"/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F680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95C-4F91-83B0-69588B2C136E}"/>
              </c:ext>
            </c:extLst>
          </c:dPt>
          <c:dLbls>
            <c:dLbl>
              <c:idx val="11"/>
              <c:numFmt formatCode="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5C-4F91-83B0-69588B2C136E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'06_chart_01'!$C$2:$C$13</c:f>
              <c:numCache>
                <c:formatCode>#,##0</c:formatCode>
                <c:ptCount val="12"/>
                <c:pt idx="0">
                  <c:v>5215699.830000001</c:v>
                </c:pt>
                <c:pt idx="1">
                  <c:v>1959413.0000000002</c:v>
                </c:pt>
                <c:pt idx="2">
                  <c:v>3579943.8399999989</c:v>
                </c:pt>
                <c:pt idx="3">
                  <c:v>4069097.7799999989</c:v>
                </c:pt>
                <c:pt idx="4">
                  <c:v>5537943.7699999986</c:v>
                </c:pt>
                <c:pt idx="5">
                  <c:v>7158137.8599999985</c:v>
                </c:pt>
                <c:pt idx="6">
                  <c:v>5242556.459999999</c:v>
                </c:pt>
                <c:pt idx="7">
                  <c:v>4714525.2100000009</c:v>
                </c:pt>
                <c:pt idx="8">
                  <c:v>3778141.3699999996</c:v>
                </c:pt>
                <c:pt idx="9">
                  <c:v>4869726.8500000015</c:v>
                </c:pt>
                <c:pt idx="10">
                  <c:v>4734730.08</c:v>
                </c:pt>
                <c:pt idx="11">
                  <c:v>5884298.2599999998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5C-4F91-83B0-69588B2C1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69"/>
        <c:axId val="1290703056"/>
        <c:axId val="1290686736"/>
      </c:barChart>
      <c:catAx>
        <c:axId val="12907030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86736"/>
        <c:crosses val="autoZero"/>
        <c:auto val="1"/>
        <c:lblAlgn val="ctr"/>
        <c:lblOffset val="100"/>
        <c:noMultiLvlLbl val="0"/>
      </c:catAx>
      <c:valAx>
        <c:axId val="1290686736"/>
        <c:scaling>
          <c:orientation val="minMax"/>
        </c:scaling>
        <c:delete val="0"/>
        <c:axPos val="t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0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>
                <a:latin typeface="Roboto" panose="02000000000000000000" pitchFamily="2" charset="0"/>
                <a:ea typeface="Roboto" panose="02000000000000000000" pitchFamily="2" charset="0"/>
              </a:rPr>
              <a:t>Monthly Sales Diff 2019 vs 2020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(EUR)</a:t>
            </a:r>
            <a:endParaRPr lang="en-US">
              <a:latin typeface="Roboto" panose="02000000000000000000" pitchFamily="2" charset="0"/>
              <a:ea typeface="Roboto" panose="0200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273504513003493E-2"/>
          <c:y val="0.19820971113676988"/>
          <c:w val="0.7839079901489181"/>
          <c:h val="0.678245798001083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'06_chart_01'!$J$1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rgbClr val="F68048"/>
            </a:solidFill>
            <a:ln>
              <a:noFill/>
            </a:ln>
            <a:effectLst/>
          </c:spPr>
          <c:invertIfNegative val="1"/>
          <c:cat>
            <c:strRef>
              <c:f>'06_chart_01'!$I$2:$I$13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'06_chart_01'!$J$2:$J$13</c:f>
              <c:numCache>
                <c:formatCode>#,##0</c:formatCode>
                <c:ptCount val="12"/>
                <c:pt idx="0">
                  <c:v>699085.01000000071</c:v>
                </c:pt>
                <c:pt idx="1">
                  <c:v>-936150.90000000014</c:v>
                </c:pt>
                <c:pt idx="2">
                  <c:v>1058115.8499999987</c:v>
                </c:pt>
                <c:pt idx="3">
                  <c:v>-103138.99000000115</c:v>
                </c:pt>
                <c:pt idx="4">
                  <c:v>1712261.7999999993</c:v>
                </c:pt>
                <c:pt idx="5">
                  <c:v>-534097.04000000376</c:v>
                </c:pt>
                <c:pt idx="6">
                  <c:v>-1396052.7500000047</c:v>
                </c:pt>
                <c:pt idx="7">
                  <c:v>1277075.0700000012</c:v>
                </c:pt>
                <c:pt idx="8">
                  <c:v>-1091919.1800000011</c:v>
                </c:pt>
                <c:pt idx="9">
                  <c:v>497577.30000000168</c:v>
                </c:pt>
                <c:pt idx="10">
                  <c:v>1773411.5100000002</c:v>
                </c:pt>
                <c:pt idx="11">
                  <c:v>-2829477.7700000014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E7E7E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4F9-4AFD-9296-A2D5F381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411356991"/>
        <c:axId val="411365151"/>
      </c:barChart>
      <c:lineChart>
        <c:grouping val="standard"/>
        <c:varyColors val="0"/>
        <c:ser>
          <c:idx val="1"/>
          <c:order val="1"/>
          <c:tx>
            <c:strRef>
              <c:f>'06_chart_01'!$K$1</c:f>
              <c:strCache>
                <c:ptCount val="1"/>
                <c:pt idx="0">
                  <c:v>Net Acc Diff</c:v>
                </c:pt>
              </c:strCache>
            </c:strRef>
          </c:tx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3724792408066544E-2"/>
                  <c:y val="-0.21376081006931236"/>
                </c:manualLayout>
              </c:layout>
              <c:numFmt formatCode="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D1A63"/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F9-4AFD-9296-A2D5F381DA5B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'06_chart_01'!$I$2:$I$13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'06_chart_01'!$K$2:$K$13</c:f>
              <c:numCache>
                <c:formatCode>#,##0</c:formatCode>
                <c:ptCount val="12"/>
                <c:pt idx="0">
                  <c:v>699085.01000000071</c:v>
                </c:pt>
                <c:pt idx="1">
                  <c:v>-237065.88999999943</c:v>
                </c:pt>
                <c:pt idx="2">
                  <c:v>821049.95999999926</c:v>
                </c:pt>
                <c:pt idx="3">
                  <c:v>717910.96999999811</c:v>
                </c:pt>
                <c:pt idx="4">
                  <c:v>2430172.7699999977</c:v>
                </c:pt>
                <c:pt idx="5">
                  <c:v>1896075.7299999939</c:v>
                </c:pt>
                <c:pt idx="6">
                  <c:v>500022.97999998927</c:v>
                </c:pt>
                <c:pt idx="7">
                  <c:v>1777098.0499999905</c:v>
                </c:pt>
                <c:pt idx="8">
                  <c:v>685178.8699999894</c:v>
                </c:pt>
                <c:pt idx="9">
                  <c:v>1182756.1699999911</c:v>
                </c:pt>
                <c:pt idx="10">
                  <c:v>2956167.6799999913</c:v>
                </c:pt>
                <c:pt idx="11">
                  <c:v>126689.9099999899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F9-4AFD-9296-A2D5F381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356991"/>
        <c:axId val="411365151"/>
      </c:lineChart>
      <c:catAx>
        <c:axId val="41135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411365151"/>
        <c:crosses val="autoZero"/>
        <c:auto val="0"/>
        <c:lblAlgn val="ctr"/>
        <c:lblOffset val="100"/>
        <c:noMultiLvlLbl val="0"/>
      </c:catAx>
      <c:valAx>
        <c:axId val="411365151"/>
        <c:scaling>
          <c:orientation val="minMax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41135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Monthly Sales </a:t>
            </a:r>
            <a:r>
              <a:rPr lang="en-US" sz="1400" b="1" i="0" u="none" strike="noStrike" kern="1200" spc="0" baseline="0">
                <a:solidFill>
                  <a:srgbClr val="7E7E7E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2019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 vs </a:t>
            </a:r>
            <a:r>
              <a:rPr lang="en-US" sz="1400" b="1" i="0" u="none" strike="noStrike" kern="1200" spc="0" baseline="0">
                <a:solidFill>
                  <a:srgbClr val="F68048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2020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 (EUR)</a:t>
            </a:r>
          </a:p>
        </c:rich>
      </c:tx>
      <c:layout>
        <c:manualLayout>
          <c:xMode val="edge"/>
          <c:yMode val="edge"/>
          <c:x val="3.9332677051723587E-3"/>
          <c:y val="4.90588362083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844550091615909E-2"/>
          <c:y val="0.18487223786450063"/>
          <c:w val="0.80121205368196902"/>
          <c:h val="0.7602991124587803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119-4368-BD68-8A15D9AE7A47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19-4368-BD68-8A15D9AE7A47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'06_chart_01'!$B$2:$B$13</c:f>
              <c:numCache>
                <c:formatCode>#,##0</c:formatCode>
                <c:ptCount val="12"/>
                <c:pt idx="0">
                  <c:v>4516614.82</c:v>
                </c:pt>
                <c:pt idx="1">
                  <c:v>2895563.9000000004</c:v>
                </c:pt>
                <c:pt idx="2">
                  <c:v>2521827.9900000002</c:v>
                </c:pt>
                <c:pt idx="3">
                  <c:v>4172236.77</c:v>
                </c:pt>
                <c:pt idx="4">
                  <c:v>3825681.9699999993</c:v>
                </c:pt>
                <c:pt idx="5">
                  <c:v>7692234.9000000022</c:v>
                </c:pt>
                <c:pt idx="6">
                  <c:v>6638609.2100000037</c:v>
                </c:pt>
                <c:pt idx="7">
                  <c:v>3437450.1399999997</c:v>
                </c:pt>
                <c:pt idx="8">
                  <c:v>4870060.5500000007</c:v>
                </c:pt>
                <c:pt idx="9">
                  <c:v>4372149.55</c:v>
                </c:pt>
                <c:pt idx="10">
                  <c:v>2961318.57</c:v>
                </c:pt>
                <c:pt idx="11">
                  <c:v>8713776.0300000012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19-4368-BD68-8A15D9AE7A47}"/>
            </c:ext>
          </c:extLst>
        </c:ser>
        <c:ser>
          <c:idx val="1"/>
          <c:order val="1"/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680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19-4368-BD68-8A15D9AE7A47}"/>
              </c:ext>
            </c:extLst>
          </c:dPt>
          <c:dPt>
            <c:idx val="11"/>
            <c:invertIfNegative val="0"/>
            <c:bubble3D val="0"/>
            <c:spPr>
              <a:solidFill>
                <a:srgbClr val="F680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9-4368-BD68-8A15D9AE7A47}"/>
              </c:ext>
            </c:extLst>
          </c:dPt>
          <c:dLbls>
            <c:dLbl>
              <c:idx val="6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19-4368-BD68-8A15D9AE7A47}"/>
                </c:ext>
              </c:extLst>
            </c:dLbl>
            <c:dLbl>
              <c:idx val="1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19-4368-BD68-8A15D9AE7A47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'06_chart_01'!$C$2:$C$13</c:f>
              <c:numCache>
                <c:formatCode>#,##0</c:formatCode>
                <c:ptCount val="12"/>
                <c:pt idx="0">
                  <c:v>5215699.830000001</c:v>
                </c:pt>
                <c:pt idx="1">
                  <c:v>1959413.0000000002</c:v>
                </c:pt>
                <c:pt idx="2">
                  <c:v>3579943.8399999989</c:v>
                </c:pt>
                <c:pt idx="3">
                  <c:v>4069097.7799999989</c:v>
                </c:pt>
                <c:pt idx="4">
                  <c:v>5537943.7699999986</c:v>
                </c:pt>
                <c:pt idx="5">
                  <c:v>7158137.8599999985</c:v>
                </c:pt>
                <c:pt idx="6">
                  <c:v>5242556.459999999</c:v>
                </c:pt>
                <c:pt idx="7">
                  <c:v>4714525.2100000009</c:v>
                </c:pt>
                <c:pt idx="8">
                  <c:v>3778141.3699999996</c:v>
                </c:pt>
                <c:pt idx="9">
                  <c:v>4869726.8500000015</c:v>
                </c:pt>
                <c:pt idx="10">
                  <c:v>4734730.08</c:v>
                </c:pt>
                <c:pt idx="11">
                  <c:v>5884298.2599999998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19-4368-BD68-8A15D9AE7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60"/>
        <c:axId val="1290703056"/>
        <c:axId val="1290686736"/>
      </c:barChart>
      <c:lineChart>
        <c:grouping val="standard"/>
        <c:varyColors val="0"/>
        <c:ser>
          <c:idx val="2"/>
          <c:order val="2"/>
          <c:tx>
            <c:strRef>
              <c:f>'06_chart_01'!$K$1</c:f>
              <c:strCache>
                <c:ptCount val="1"/>
                <c:pt idx="0">
                  <c:v>Net Acc Diff</c:v>
                </c:pt>
              </c:strCache>
            </c:strRef>
          </c:tx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1.7513683854002399E-2"/>
                  <c:y val="-3.23615033332100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rgbClr val="0D1A63"/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  <a:cs typeface="+mn-cs"/>
                      </a:defRPr>
                    </a:pPr>
                    <a:fld id="{A5096622-8935-4A2D-9025-434A641A572F}" type="SERIESNAME">
                      <a:rPr lang="en-US" sz="1100" b="1">
                        <a:solidFill>
                          <a:srgbClr val="0D1A63"/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</a:rPr>
                      <a:pPr>
                        <a:defRPr sz="1100" b="1">
                          <a:solidFill>
                            <a:srgbClr val="0D1A63"/>
                          </a:solidFill>
                          <a:latin typeface="Roboto" panose="02000000000000000000" pitchFamily="2" charset="0"/>
                          <a:ea typeface="Roboto" panose="02000000000000000000" pitchFamily="2" charset="0"/>
                        </a:defRPr>
                      </a:pPr>
                      <a:t>[SERIES NAME]</a:t>
                    </a:fld>
                    <a:r>
                      <a:rPr lang="en-US" sz="1100" b="1" baseline="0">
                        <a:solidFill>
                          <a:srgbClr val="0D1A63"/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</a:rPr>
                      <a:t>, </a:t>
                    </a:r>
                    <a:fld id="{54C500F7-AD16-44DF-B65B-2A438EB65E74}" type="VALUE">
                      <a:rPr lang="en-US" sz="1100" b="1" baseline="0">
                        <a:solidFill>
                          <a:srgbClr val="0D1A63"/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</a:rPr>
                      <a:pPr>
                        <a:defRPr sz="1100" b="1">
                          <a:solidFill>
                            <a:srgbClr val="0D1A63"/>
                          </a:solidFill>
                          <a:latin typeface="Roboto" panose="02000000000000000000" pitchFamily="2" charset="0"/>
                          <a:ea typeface="Roboto" panose="02000000000000000000" pitchFamily="2" charset="0"/>
                        </a:defRPr>
                      </a:pPr>
                      <a:t>[VALUE]</a:t>
                    </a:fld>
                    <a:endParaRPr lang="en-US" sz="1100" b="1" baseline="0">
                      <a:solidFill>
                        <a:srgbClr val="0D1A63"/>
                      </a:solidFill>
                      <a:latin typeface="Roboto" panose="02000000000000000000" pitchFamily="2" charset="0"/>
                      <a:ea typeface="Roboto" panose="02000000000000000000" pitchFamily="2" charset="0"/>
                    </a:endParaRPr>
                  </a:p>
                </c:rich>
              </c:tx>
              <c:numFmt formatCode="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D1A63"/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119-4368-BD68-8A15D9AE7A47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D1A63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'06_chart_01'!$K$2:$K$13</c:f>
              <c:numCache>
                <c:formatCode>#,##0</c:formatCode>
                <c:ptCount val="12"/>
                <c:pt idx="0">
                  <c:v>699085.01000000071</c:v>
                </c:pt>
                <c:pt idx="1">
                  <c:v>-237065.88999999943</c:v>
                </c:pt>
                <c:pt idx="2">
                  <c:v>821049.95999999926</c:v>
                </c:pt>
                <c:pt idx="3">
                  <c:v>717910.96999999811</c:v>
                </c:pt>
                <c:pt idx="4">
                  <c:v>2430172.7699999977</c:v>
                </c:pt>
                <c:pt idx="5">
                  <c:v>1896075.7299999939</c:v>
                </c:pt>
                <c:pt idx="6">
                  <c:v>500022.97999998927</c:v>
                </c:pt>
                <c:pt idx="7">
                  <c:v>1777098.0499999905</c:v>
                </c:pt>
                <c:pt idx="8">
                  <c:v>685178.8699999894</c:v>
                </c:pt>
                <c:pt idx="9">
                  <c:v>1182756.1699999911</c:v>
                </c:pt>
                <c:pt idx="10">
                  <c:v>2956167.6799999913</c:v>
                </c:pt>
                <c:pt idx="11">
                  <c:v>126689.9099999899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119-4368-BD68-8A15D9AE7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703056"/>
        <c:axId val="1290686736"/>
      </c:lineChart>
      <c:catAx>
        <c:axId val="12907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290686736"/>
        <c:crosses val="autoZero"/>
        <c:auto val="1"/>
        <c:lblAlgn val="ctr"/>
        <c:lblOffset val="100"/>
        <c:noMultiLvlLbl val="0"/>
      </c:catAx>
      <c:valAx>
        <c:axId val="1290686736"/>
        <c:scaling>
          <c:orientation val="minMax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29070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Monthly Sales </a:t>
            </a:r>
            <a:r>
              <a:rPr lang="en-US" sz="1400" b="1" i="0" u="none" strike="noStrike" kern="1200" spc="0" baseline="0">
                <a:solidFill>
                  <a:srgbClr val="7E7E7E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2019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 vs </a:t>
            </a:r>
            <a:r>
              <a:rPr lang="en-US" sz="1400" b="1" i="0" u="none" strike="noStrike" kern="1200" spc="0" baseline="0">
                <a:solidFill>
                  <a:srgbClr val="F68048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2020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 (EUR)</a:t>
            </a:r>
          </a:p>
        </c:rich>
      </c:tx>
      <c:layout>
        <c:manualLayout>
          <c:xMode val="edge"/>
          <c:yMode val="edge"/>
          <c:x val="9.5059654939254473E-3"/>
          <c:y val="2.9906536187301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CC-41C7-ABF6-C8FB2A83B585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'06_chart_01'!$B$2:$B$13</c:f>
              <c:numCache>
                <c:formatCode>#,##0</c:formatCode>
                <c:ptCount val="12"/>
                <c:pt idx="0">
                  <c:v>4516614.82</c:v>
                </c:pt>
                <c:pt idx="1">
                  <c:v>2895563.9000000004</c:v>
                </c:pt>
                <c:pt idx="2">
                  <c:v>2521827.9900000002</c:v>
                </c:pt>
                <c:pt idx="3">
                  <c:v>4172236.77</c:v>
                </c:pt>
                <c:pt idx="4">
                  <c:v>3825681.9699999993</c:v>
                </c:pt>
                <c:pt idx="5">
                  <c:v>7692234.9000000022</c:v>
                </c:pt>
                <c:pt idx="6">
                  <c:v>6638609.2100000037</c:v>
                </c:pt>
                <c:pt idx="7">
                  <c:v>3437450.1399999997</c:v>
                </c:pt>
                <c:pt idx="8">
                  <c:v>4870060.5500000007</c:v>
                </c:pt>
                <c:pt idx="9">
                  <c:v>4372149.55</c:v>
                </c:pt>
                <c:pt idx="10">
                  <c:v>2961318.57</c:v>
                </c:pt>
                <c:pt idx="11">
                  <c:v>8713776.0300000012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C-41C7-ABF6-C8FB2A83B585}"/>
            </c:ext>
          </c:extLst>
        </c:ser>
        <c:ser>
          <c:idx val="1"/>
          <c:order val="1"/>
          <c:spPr>
            <a:solidFill>
              <a:srgbClr val="F68048"/>
            </a:solidFill>
            <a:ln>
              <a:noFill/>
            </a:ln>
            <a:effectLst/>
          </c:spPr>
          <c:invertIfNegative val="0"/>
          <c:dLbls>
            <c:dLbl>
              <c:idx val="1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CC-41C7-ABF6-C8FB2A83B585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'06_chart_01'!$C$2:$C$13</c:f>
              <c:numCache>
                <c:formatCode>#,##0</c:formatCode>
                <c:ptCount val="12"/>
                <c:pt idx="0">
                  <c:v>5215699.830000001</c:v>
                </c:pt>
                <c:pt idx="1">
                  <c:v>1959413.0000000002</c:v>
                </c:pt>
                <c:pt idx="2">
                  <c:v>3579943.8399999989</c:v>
                </c:pt>
                <c:pt idx="3">
                  <c:v>4069097.7799999989</c:v>
                </c:pt>
                <c:pt idx="4">
                  <c:v>5537943.7699999986</c:v>
                </c:pt>
                <c:pt idx="5">
                  <c:v>7158137.8599999985</c:v>
                </c:pt>
                <c:pt idx="6">
                  <c:v>5242556.459999999</c:v>
                </c:pt>
                <c:pt idx="7">
                  <c:v>4714525.2100000009</c:v>
                </c:pt>
                <c:pt idx="8">
                  <c:v>3778141.3699999996</c:v>
                </c:pt>
                <c:pt idx="9">
                  <c:v>4869726.8500000015</c:v>
                </c:pt>
                <c:pt idx="10">
                  <c:v>4734730.08</c:v>
                </c:pt>
                <c:pt idx="11">
                  <c:v>5884298.2599999998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C-41C7-ABF6-C8FB2A83B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60"/>
        <c:axId val="1290703056"/>
        <c:axId val="1290686736"/>
      </c:barChart>
      <c:catAx>
        <c:axId val="12907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86736"/>
        <c:crosses val="autoZero"/>
        <c:auto val="1"/>
        <c:lblAlgn val="ctr"/>
        <c:lblOffset val="100"/>
        <c:noMultiLvlLbl val="0"/>
      </c:catAx>
      <c:valAx>
        <c:axId val="1290686736"/>
        <c:scaling>
          <c:orientation val="minMax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0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2019 vs 2020 (EUR)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2019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'06_chart_01'!$A$1:$A$13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'06_chart_01'!$B$1:$B$13</c:f>
              <c:numCache>
                <c:formatCode>#,##0</c:formatCode>
                <c:ptCount val="13"/>
                <c:pt idx="0" formatCode="General">
                  <c:v>2019</c:v>
                </c:pt>
                <c:pt idx="1">
                  <c:v>4516614.82</c:v>
                </c:pt>
                <c:pt idx="2">
                  <c:v>2895563.9000000004</c:v>
                </c:pt>
                <c:pt idx="3">
                  <c:v>2521827.9900000002</c:v>
                </c:pt>
                <c:pt idx="4">
                  <c:v>4172236.77</c:v>
                </c:pt>
                <c:pt idx="5">
                  <c:v>3825681.9699999993</c:v>
                </c:pt>
                <c:pt idx="6">
                  <c:v>7692234.9000000022</c:v>
                </c:pt>
                <c:pt idx="7">
                  <c:v>6638609.2100000037</c:v>
                </c:pt>
                <c:pt idx="8">
                  <c:v>3437450.1399999997</c:v>
                </c:pt>
                <c:pt idx="9">
                  <c:v>4870060.5500000007</c:v>
                </c:pt>
                <c:pt idx="10">
                  <c:v>4372149.55</c:v>
                </c:pt>
                <c:pt idx="11">
                  <c:v>2961318.57</c:v>
                </c:pt>
                <c:pt idx="12">
                  <c:v>8713776.0300000012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4-43BF-BE92-476D724453A6}"/>
            </c:ext>
          </c:extLst>
        </c:ser>
        <c:ser>
          <c:idx val="1"/>
          <c:order val="1"/>
          <c:tx>
            <c:v>2020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'06_chart_01'!$A$1:$A$13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'06_chart_01'!$C$1:$C$13</c:f>
              <c:numCache>
                <c:formatCode>#,##0</c:formatCode>
                <c:ptCount val="13"/>
                <c:pt idx="0" formatCode="General">
                  <c:v>2020</c:v>
                </c:pt>
                <c:pt idx="1">
                  <c:v>5215699.830000001</c:v>
                </c:pt>
                <c:pt idx="2">
                  <c:v>1959413.0000000002</c:v>
                </c:pt>
                <c:pt idx="3">
                  <c:v>3579943.8399999989</c:v>
                </c:pt>
                <c:pt idx="4">
                  <c:v>4069097.7799999989</c:v>
                </c:pt>
                <c:pt idx="5">
                  <c:v>5537943.7699999986</c:v>
                </c:pt>
                <c:pt idx="6">
                  <c:v>7158137.8599999985</c:v>
                </c:pt>
                <c:pt idx="7">
                  <c:v>5242556.459999999</c:v>
                </c:pt>
                <c:pt idx="8">
                  <c:v>4714525.2100000009</c:v>
                </c:pt>
                <c:pt idx="9">
                  <c:v>3778141.3699999996</c:v>
                </c:pt>
                <c:pt idx="10">
                  <c:v>4869726.8500000015</c:v>
                </c:pt>
                <c:pt idx="11">
                  <c:v>4734730.08</c:v>
                </c:pt>
                <c:pt idx="12">
                  <c:v>5884298.2599999998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4-43BF-BE92-476D72445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698736"/>
        <c:axId val="1290708336"/>
      </c:barChart>
      <c:lineChart>
        <c:grouping val="standard"/>
        <c:varyColors val="0"/>
        <c:ser>
          <c:idx val="2"/>
          <c:order val="2"/>
          <c:tx>
            <c:v>Net Acc Diff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'06_chart_01'!$K$2:$K$13</c:f>
              <c:numCache>
                <c:formatCode>#,##0</c:formatCode>
                <c:ptCount val="12"/>
                <c:pt idx="0">
                  <c:v>699085.01000000071</c:v>
                </c:pt>
                <c:pt idx="1">
                  <c:v>-237065.88999999943</c:v>
                </c:pt>
                <c:pt idx="2">
                  <c:v>821049.95999999926</c:v>
                </c:pt>
                <c:pt idx="3">
                  <c:v>717910.96999999811</c:v>
                </c:pt>
                <c:pt idx="4">
                  <c:v>2430172.7699999977</c:v>
                </c:pt>
                <c:pt idx="5">
                  <c:v>1896075.7299999939</c:v>
                </c:pt>
                <c:pt idx="6">
                  <c:v>500022.97999998927</c:v>
                </c:pt>
                <c:pt idx="7">
                  <c:v>1777098.0499999905</c:v>
                </c:pt>
                <c:pt idx="8">
                  <c:v>685178.8699999894</c:v>
                </c:pt>
                <c:pt idx="9">
                  <c:v>1182756.1699999911</c:v>
                </c:pt>
                <c:pt idx="10">
                  <c:v>2956167.6799999913</c:v>
                </c:pt>
                <c:pt idx="11">
                  <c:v>126689.9099999899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94-43BF-BE92-476D72445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698736"/>
        <c:axId val="1290708336"/>
      </c:lineChart>
      <c:catAx>
        <c:axId val="129069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08336"/>
        <c:crosses val="autoZero"/>
        <c:auto val="1"/>
        <c:lblAlgn val="ctr"/>
        <c:lblOffset val="100"/>
        <c:noMultiLvlLbl val="0"/>
      </c:catAx>
      <c:valAx>
        <c:axId val="129070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9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Monthly Sales </a:t>
            </a:r>
            <a:r>
              <a:rPr lang="en-US" sz="1200" b="1" i="0" u="none" strike="noStrike" kern="1200" spc="0" baseline="0">
                <a:solidFill>
                  <a:srgbClr val="7E7E7E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2019</a:t>
            </a: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 vs </a:t>
            </a:r>
            <a:r>
              <a:rPr lang="en-US" sz="1200" b="1" i="0" u="none" strike="noStrike" kern="1200" spc="0" baseline="0">
                <a:solidFill>
                  <a:srgbClr val="F68048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2020</a:t>
            </a: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</a:rPr>
              <a:t> (EUR)</a:t>
            </a:r>
          </a:p>
        </c:rich>
      </c:tx>
      <c:layout>
        <c:manualLayout>
          <c:xMode val="edge"/>
          <c:yMode val="edge"/>
          <c:x val="3.7696231367305502E-3"/>
          <c:y val="3.4890958885184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844550091615909E-2"/>
          <c:y val="0.18487223786450063"/>
          <c:w val="0.80121205368196902"/>
          <c:h val="0.7602991124587803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1C-4F16-96A6-E156C8B07D8E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'06_chart_01'!$B$2:$B$13</c:f>
              <c:numCache>
                <c:formatCode>#,##0</c:formatCode>
                <c:ptCount val="12"/>
                <c:pt idx="0">
                  <c:v>4516614.82</c:v>
                </c:pt>
                <c:pt idx="1">
                  <c:v>2895563.9000000004</c:v>
                </c:pt>
                <c:pt idx="2">
                  <c:v>2521827.9900000002</c:v>
                </c:pt>
                <c:pt idx="3">
                  <c:v>4172236.77</c:v>
                </c:pt>
                <c:pt idx="4">
                  <c:v>3825681.9699999993</c:v>
                </c:pt>
                <c:pt idx="5">
                  <c:v>7692234.9000000022</c:v>
                </c:pt>
                <c:pt idx="6">
                  <c:v>6638609.2100000037</c:v>
                </c:pt>
                <c:pt idx="7">
                  <c:v>3437450.1399999997</c:v>
                </c:pt>
                <c:pt idx="8">
                  <c:v>4870060.5500000007</c:v>
                </c:pt>
                <c:pt idx="9">
                  <c:v>4372149.55</c:v>
                </c:pt>
                <c:pt idx="10">
                  <c:v>2961318.57</c:v>
                </c:pt>
                <c:pt idx="11">
                  <c:v>8713776.0300000012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C-4F16-96A6-E156C8B07D8E}"/>
            </c:ext>
          </c:extLst>
        </c:ser>
        <c:ser>
          <c:idx val="1"/>
          <c:order val="1"/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F680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F1C-4F16-96A6-E156C8B07D8E}"/>
              </c:ext>
            </c:extLst>
          </c:dPt>
          <c:dLbls>
            <c:dLbl>
              <c:idx val="1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1C-4F16-96A6-E156C8B07D8E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'06_chart_01'!$C$2:$C$13</c:f>
              <c:numCache>
                <c:formatCode>#,##0</c:formatCode>
                <c:ptCount val="12"/>
                <c:pt idx="0">
                  <c:v>5215699.830000001</c:v>
                </c:pt>
                <c:pt idx="1">
                  <c:v>1959413.0000000002</c:v>
                </c:pt>
                <c:pt idx="2">
                  <c:v>3579943.8399999989</c:v>
                </c:pt>
                <c:pt idx="3">
                  <c:v>4069097.7799999989</c:v>
                </c:pt>
                <c:pt idx="4">
                  <c:v>5537943.7699999986</c:v>
                </c:pt>
                <c:pt idx="5">
                  <c:v>7158137.8599999985</c:v>
                </c:pt>
                <c:pt idx="6">
                  <c:v>5242556.459999999</c:v>
                </c:pt>
                <c:pt idx="7">
                  <c:v>4714525.2100000009</c:v>
                </c:pt>
                <c:pt idx="8">
                  <c:v>3778141.3699999996</c:v>
                </c:pt>
                <c:pt idx="9">
                  <c:v>4869726.8500000015</c:v>
                </c:pt>
                <c:pt idx="10">
                  <c:v>4734730.08</c:v>
                </c:pt>
                <c:pt idx="11">
                  <c:v>5884298.2599999998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1C-4F16-96A6-E156C8B07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60"/>
        <c:axId val="1290703056"/>
        <c:axId val="1290686736"/>
      </c:barChart>
      <c:lineChart>
        <c:grouping val="standard"/>
        <c:varyColors val="0"/>
        <c:ser>
          <c:idx val="2"/>
          <c:order val="2"/>
          <c:tx>
            <c:strRef>
              <c:f>'06_chart_01'!$K$1</c:f>
              <c:strCache>
                <c:ptCount val="1"/>
                <c:pt idx="0">
                  <c:v>Net Acc Diff</c:v>
                </c:pt>
              </c:strCache>
            </c:strRef>
          </c:tx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2.358490566037736E-2"/>
                  <c:y val="-3.2361462484565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  <a:cs typeface="+mn-cs"/>
                      </a:defRPr>
                    </a:pPr>
                    <a:fld id="{A5096622-8935-4A2D-9025-434A641A572F}" type="SERIESNAME">
                      <a:rPr lang="en-US" sz="1100" b="1">
                        <a:solidFill>
                          <a:srgbClr val="0D1A63"/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</a:rPr>
                      <a:pPr>
                        <a:defRPr sz="1100" b="1">
                          <a:latin typeface="Roboto" panose="02000000000000000000" pitchFamily="2" charset="0"/>
                          <a:ea typeface="Roboto" panose="02000000000000000000" pitchFamily="2" charset="0"/>
                        </a:defRPr>
                      </a:pPr>
                      <a:t>[SERIES NAME]</a:t>
                    </a:fld>
                    <a:r>
                      <a:rPr lang="en-US" sz="1100" b="1" baseline="0">
                        <a:latin typeface="Roboto" panose="02000000000000000000" pitchFamily="2" charset="0"/>
                        <a:ea typeface="Roboto" panose="02000000000000000000" pitchFamily="2" charset="0"/>
                      </a:rPr>
                      <a:t>, </a:t>
                    </a:r>
                    <a:fld id="{54C500F7-AD16-44DF-B65B-2A438EB65E74}" type="VALUE">
                      <a:rPr lang="en-US" sz="1100" b="1" baseline="0">
                        <a:solidFill>
                          <a:srgbClr val="0D1A63"/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</a:rPr>
                      <a:pPr>
                        <a:defRPr sz="1100" b="1">
                          <a:latin typeface="Roboto" panose="02000000000000000000" pitchFamily="2" charset="0"/>
                          <a:ea typeface="Roboto" panose="02000000000000000000" pitchFamily="2" charset="0"/>
                        </a:defRPr>
                      </a:pPr>
                      <a:t>[VALUE]</a:t>
                    </a:fld>
                    <a:endParaRPr lang="en-US" sz="1100" b="1" baseline="0">
                      <a:latin typeface="Roboto" panose="02000000000000000000" pitchFamily="2" charset="0"/>
                      <a:ea typeface="Roboto" panose="02000000000000000000" pitchFamily="2" charset="0"/>
                    </a:endParaRPr>
                  </a:p>
                </c:rich>
              </c:tx>
              <c:numFmt formatCode="0.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F1C-4F16-96A6-E156C8B07D8E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'06_chart_01'!$A$2:$A$13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'06_chart_01'!$K$2:$K$13</c:f>
              <c:numCache>
                <c:formatCode>#,##0</c:formatCode>
                <c:ptCount val="12"/>
                <c:pt idx="0">
                  <c:v>699085.01000000071</c:v>
                </c:pt>
                <c:pt idx="1">
                  <c:v>-237065.88999999943</c:v>
                </c:pt>
                <c:pt idx="2">
                  <c:v>821049.95999999926</c:v>
                </c:pt>
                <c:pt idx="3">
                  <c:v>717910.96999999811</c:v>
                </c:pt>
                <c:pt idx="4">
                  <c:v>2430172.7699999977</c:v>
                </c:pt>
                <c:pt idx="5">
                  <c:v>1896075.7299999939</c:v>
                </c:pt>
                <c:pt idx="6">
                  <c:v>500022.97999998927</c:v>
                </c:pt>
                <c:pt idx="7">
                  <c:v>1777098.0499999905</c:v>
                </c:pt>
                <c:pt idx="8">
                  <c:v>685178.8699999894</c:v>
                </c:pt>
                <c:pt idx="9">
                  <c:v>1182756.1699999911</c:v>
                </c:pt>
                <c:pt idx="10">
                  <c:v>2956167.6799999913</c:v>
                </c:pt>
                <c:pt idx="11">
                  <c:v>126689.9099999899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F1C-4F16-96A6-E156C8B07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703056"/>
        <c:axId val="1290686736"/>
      </c:lineChart>
      <c:catAx>
        <c:axId val="12907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290686736"/>
        <c:crosses val="autoZero"/>
        <c:auto val="1"/>
        <c:lblAlgn val="ctr"/>
        <c:lblOffset val="100"/>
        <c:noMultiLvlLbl val="0"/>
      </c:catAx>
      <c:valAx>
        <c:axId val="1290686736"/>
        <c:scaling>
          <c:orientation val="minMax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29070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Sheet5!$B$18</c:f>
              <c:strCache>
                <c:ptCount val="1"/>
                <c:pt idx="0">
                  <c:v>Sum of  order_value_EUR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Sheet5!$A$19:$A$28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Beauty</c:v>
                </c:pt>
                <c:pt idx="3">
                  <c:v>Books</c:v>
                </c:pt>
                <c:pt idx="4">
                  <c:v>Clothing</c:v>
                </c:pt>
                <c:pt idx="5">
                  <c:v>Electronics</c:v>
                </c:pt>
                <c:pt idx="6">
                  <c:v>Games</c:v>
                </c:pt>
                <c:pt idx="7">
                  <c:v>Other</c:v>
                </c:pt>
                <c:pt idx="8">
                  <c:v>Outdoors</c:v>
                </c:pt>
                <c:pt idx="9">
                  <c:v>Smartphones</c:v>
                </c:pt>
              </c:strCache>
            </c:strRef>
          </c:cat>
          <c:val>
            <c:numRef>
              <c:f>Sheet5!$B$19:$B$28</c:f>
              <c:numCache>
                <c:formatCode>#,##0.00</c:formatCode>
                <c:ptCount val="10"/>
                <c:pt idx="0">
                  <c:v>2232817.02</c:v>
                </c:pt>
                <c:pt idx="1">
                  <c:v>7112585.9900000012</c:v>
                </c:pt>
                <c:pt idx="2">
                  <c:v>7214529.8899999997</c:v>
                </c:pt>
                <c:pt idx="3">
                  <c:v>5415804.5200000014</c:v>
                </c:pt>
                <c:pt idx="4">
                  <c:v>10194638.629999999</c:v>
                </c:pt>
                <c:pt idx="5">
                  <c:v>6858779.7400000012</c:v>
                </c:pt>
                <c:pt idx="6">
                  <c:v>8124122.4700000025</c:v>
                </c:pt>
                <c:pt idx="7">
                  <c:v>1201110.54</c:v>
                </c:pt>
                <c:pt idx="8">
                  <c:v>2302350.8500000006</c:v>
                </c:pt>
                <c:pt idx="9">
                  <c:v>5960784.7500000019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5-4746-A861-E22EAB21CE4A}"/>
            </c:ext>
          </c:extLst>
        </c:ser>
        <c:ser>
          <c:idx val="1"/>
          <c:order val="1"/>
          <c:tx>
            <c:strRef>
              <c:f>Sheet5!$C$18</c:f>
              <c:strCache>
                <c:ptCount val="1"/>
                <c:pt idx="0">
                  <c:v>Sum of  order_value_EUR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Sheet5!$A$19:$A$28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Beauty</c:v>
                </c:pt>
                <c:pt idx="3">
                  <c:v>Books</c:v>
                </c:pt>
                <c:pt idx="4">
                  <c:v>Clothing</c:v>
                </c:pt>
                <c:pt idx="5">
                  <c:v>Electronics</c:v>
                </c:pt>
                <c:pt idx="6">
                  <c:v>Games</c:v>
                </c:pt>
                <c:pt idx="7">
                  <c:v>Other</c:v>
                </c:pt>
                <c:pt idx="8">
                  <c:v>Outdoors</c:v>
                </c:pt>
                <c:pt idx="9">
                  <c:v>Smartphones</c:v>
                </c:pt>
              </c:strCache>
            </c:strRef>
          </c:cat>
          <c:val>
            <c:numRef>
              <c:f>Sheet5!$C$19:$C$28</c:f>
              <c:numCache>
                <c:formatCode>#,##0.00</c:formatCode>
                <c:ptCount val="10"/>
                <c:pt idx="0">
                  <c:v>2471113.6800000006</c:v>
                </c:pt>
                <c:pt idx="1">
                  <c:v>8027082.7400000021</c:v>
                </c:pt>
                <c:pt idx="2">
                  <c:v>5354533.99</c:v>
                </c:pt>
                <c:pt idx="3">
                  <c:v>7764174.379999998</c:v>
                </c:pt>
                <c:pt idx="4">
                  <c:v>7467043.4999999991</c:v>
                </c:pt>
                <c:pt idx="5">
                  <c:v>7623297.879999999</c:v>
                </c:pt>
                <c:pt idx="6">
                  <c:v>7197500.9799999995</c:v>
                </c:pt>
                <c:pt idx="7">
                  <c:v>2061872.6600000001</c:v>
                </c:pt>
                <c:pt idx="8">
                  <c:v>3636724.59</c:v>
                </c:pt>
                <c:pt idx="9">
                  <c:v>5140869.9100000011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5-4746-A861-E22EAB21C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923519"/>
        <c:axId val="506921599"/>
      </c:barChart>
      <c:catAx>
        <c:axId val="50692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21599"/>
        <c:crosses val="autoZero"/>
        <c:auto val="1"/>
        <c:lblAlgn val="ctr"/>
        <c:lblOffset val="100"/>
        <c:noMultiLvlLbl val="0"/>
      </c:catAx>
      <c:valAx>
        <c:axId val="50692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2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waterfall" uniqueId="{00000000-FE4B-49CB-A4CC-5454EF71D4CC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11"/>
            </cx:subtotals>
          </cx:layoutPr>
        </cx:series>
      </cx:plotAreaRegion>
      <cx:axis id="0">
        <cx:catScaling gapWidth="0.5"/>
        <cx:tickLabels/>
      </cx:axis>
      <cx:axis id="1">
        <cx:valScaling min="50000000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409575</xdr:colOff>
      <xdr:row>6</xdr:row>
      <xdr:rowOff>19050</xdr:rowOff>
    </xdr:from>
    <xdr:to>
      <xdr:col>23</xdr:col>
      <xdr:colOff>0</xdr:colOff>
      <xdr:row>20</xdr:row>
      <xdr:rowOff>104775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BD07E78-053E-B16C-CA37-525268DDF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6300" y="400050"/>
          <a:ext cx="324802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266700</xdr:colOff>
      <xdr:row>11</xdr:row>
      <xdr:rowOff>180975</xdr:rowOff>
    </xdr:from>
    <xdr:to>
      <xdr:col>34</xdr:col>
      <xdr:colOff>285750</xdr:colOff>
      <xdr:row>28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E50DC7-9B2E-0025-2FF1-05C09BB0C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1975" y="2200275"/>
          <a:ext cx="2457450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142874</xdr:colOff>
      <xdr:row>4</xdr:row>
      <xdr:rowOff>19050</xdr:rowOff>
    </xdr:from>
    <xdr:to>
      <xdr:col>26</xdr:col>
      <xdr:colOff>609599</xdr:colOff>
      <xdr:row>24</xdr:row>
      <xdr:rowOff>19050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22E43FFC-1557-8282-47BD-BB0E5590238A}"/>
            </a:ext>
          </a:extLst>
        </xdr:cNvPr>
        <xdr:cNvGrpSpPr/>
      </xdr:nvGrpSpPr>
      <xdr:grpSpPr>
        <a:xfrm>
          <a:off x="5467349" y="781050"/>
          <a:ext cx="10829925" cy="3810000"/>
          <a:chOff x="5467349" y="781050"/>
          <a:chExt cx="10829925" cy="38100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EE01298-4EF9-DA19-EF04-EC100217C623}"/>
              </a:ext>
            </a:extLst>
          </xdr:cNvPr>
          <xdr:cNvGraphicFramePr/>
        </xdr:nvGraphicFramePr>
        <xdr:xfrm>
          <a:off x="5467349" y="781050"/>
          <a:ext cx="9934575" cy="381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A16045AC-D0B5-D761-F6D7-5F475A970D3A}"/>
              </a:ext>
            </a:extLst>
          </xdr:cNvPr>
          <xdr:cNvSpPr txBox="1"/>
        </xdr:nvSpPr>
        <xdr:spPr>
          <a:xfrm>
            <a:off x="14916149" y="2676525"/>
            <a:ext cx="1381125" cy="7812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/>
              <a:t>lost the Chrismast sale surge due to lack of new seasonal product</a:t>
            </a:r>
          </a:p>
        </xdr:txBody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FE469261-12C1-F60C-0AEF-C1A3B2522E20}"/>
              </a:ext>
            </a:extLst>
          </xdr:cNvPr>
          <xdr:cNvCxnSpPr/>
        </xdr:nvCxnSpPr>
        <xdr:spPr>
          <a:xfrm>
            <a:off x="14944725" y="2724150"/>
            <a:ext cx="0" cy="733425"/>
          </a:xfrm>
          <a:prstGeom prst="line">
            <a:avLst/>
          </a:prstGeom>
          <a:ln w="25400">
            <a:solidFill>
              <a:srgbClr val="0D1A63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47625</xdr:colOff>
      <xdr:row>69</xdr:row>
      <xdr:rowOff>28575</xdr:rowOff>
    </xdr:from>
    <xdr:to>
      <xdr:col>31</xdr:col>
      <xdr:colOff>57150</xdr:colOff>
      <xdr:row>80</xdr:row>
      <xdr:rowOff>38100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9BAC9C84-C25E-40C9-B344-9A7D2DB36C78}"/>
            </a:ext>
          </a:extLst>
        </xdr:cNvPr>
        <xdr:cNvSpPr/>
      </xdr:nvSpPr>
      <xdr:spPr>
        <a:xfrm>
          <a:off x="17716500" y="13220700"/>
          <a:ext cx="1857375" cy="21050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457199</xdr:colOff>
      <xdr:row>3</xdr:row>
      <xdr:rowOff>19050</xdr:rowOff>
    </xdr:from>
    <xdr:to>
      <xdr:col>30</xdr:col>
      <xdr:colOff>333375</xdr:colOff>
      <xdr:row>23</xdr:row>
      <xdr:rowOff>19050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9BDC96E-FFA3-4FEC-9193-98B4C11DD3A3}"/>
            </a:ext>
          </a:extLst>
        </xdr:cNvPr>
        <xdr:cNvGrpSpPr/>
      </xdr:nvGrpSpPr>
      <xdr:grpSpPr>
        <a:xfrm>
          <a:off x="8372474" y="590550"/>
          <a:ext cx="10868026" cy="3810000"/>
          <a:chOff x="5467349" y="781050"/>
          <a:chExt cx="10868026" cy="38100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670713CB-B2B8-647B-28E3-C6A7EF22A13D}"/>
              </a:ext>
            </a:extLst>
          </xdr:cNvPr>
          <xdr:cNvGraphicFramePr/>
        </xdr:nvGraphicFramePr>
        <xdr:xfrm>
          <a:off x="5467349" y="781050"/>
          <a:ext cx="9934575" cy="381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57ECD94-CD87-E546-5189-80CFFE275FA9}"/>
              </a:ext>
            </a:extLst>
          </xdr:cNvPr>
          <xdr:cNvSpPr txBox="1"/>
        </xdr:nvSpPr>
        <xdr:spPr>
          <a:xfrm>
            <a:off x="14849474" y="2438400"/>
            <a:ext cx="1485901" cy="8309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200">
                <a:solidFill>
                  <a:srgbClr val="0D1A63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Lost the Chrismast sale surge due to lack of new seasonal product</a:t>
            </a:r>
          </a:p>
        </xdr:txBody>
      </xdr:sp>
    </xdr:grpSp>
    <xdr:clientData/>
  </xdr:twoCellAnchor>
  <xdr:twoCellAnchor>
    <xdr:from>
      <xdr:col>18</xdr:col>
      <xdr:colOff>428625</xdr:colOff>
      <xdr:row>23</xdr:row>
      <xdr:rowOff>176212</xdr:rowOff>
    </xdr:from>
    <xdr:to>
      <xdr:col>29</xdr:col>
      <xdr:colOff>600075</xdr:colOff>
      <xdr:row>37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1C19C9-AA68-DDC8-6910-B21B3D3DE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400050</xdr:colOff>
      <xdr:row>38</xdr:row>
      <xdr:rowOff>66675</xdr:rowOff>
    </xdr:from>
    <xdr:to>
      <xdr:col>29</xdr:col>
      <xdr:colOff>571500</xdr:colOff>
      <xdr:row>51</xdr:row>
      <xdr:rowOff>138113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2E5E61-AA4B-47D5-B186-3443DD474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14287</xdr:colOff>
      <xdr:row>115</xdr:row>
      <xdr:rowOff>147637</xdr:rowOff>
    </xdr:from>
    <xdr:to>
      <xdr:col>29</xdr:col>
      <xdr:colOff>542925</xdr:colOff>
      <xdr:row>128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15F9AD-F174-F787-16D5-994FF4232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428625</xdr:colOff>
      <xdr:row>67</xdr:row>
      <xdr:rowOff>47625</xdr:rowOff>
    </xdr:from>
    <xdr:to>
      <xdr:col>31</xdr:col>
      <xdr:colOff>95249</xdr:colOff>
      <xdr:row>80</xdr:row>
      <xdr:rowOff>119063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CCFA31AE-C811-BFE9-AD63-9D3A50256793}"/>
            </a:ext>
          </a:extLst>
        </xdr:cNvPr>
        <xdr:cNvGrpSpPr/>
      </xdr:nvGrpSpPr>
      <xdr:grpSpPr>
        <a:xfrm>
          <a:off x="11391900" y="12858750"/>
          <a:ext cx="8220074" cy="2547938"/>
          <a:chOff x="11391900" y="12858750"/>
          <a:chExt cx="8220074" cy="2547938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8CB52887-2F76-43B2-8B83-5AD386C12848}"/>
              </a:ext>
            </a:extLst>
          </xdr:cNvPr>
          <xdr:cNvSpPr/>
        </xdr:nvSpPr>
        <xdr:spPr>
          <a:xfrm>
            <a:off x="17716500" y="13211175"/>
            <a:ext cx="1857375" cy="2105025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7B438105-C182-4261-8A93-2031C0F11637}"/>
              </a:ext>
            </a:extLst>
          </xdr:cNvPr>
          <xdr:cNvGraphicFramePr>
            <a:graphicFrameLocks/>
          </xdr:cNvGraphicFramePr>
        </xdr:nvGraphicFramePr>
        <xdr:xfrm>
          <a:off x="11391900" y="12858750"/>
          <a:ext cx="8077200" cy="25479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2C02D65-25C7-4A09-BEAA-231E5D11A1A5}"/>
              </a:ext>
            </a:extLst>
          </xdr:cNvPr>
          <xdr:cNvSpPr txBox="1"/>
        </xdr:nvSpPr>
        <xdr:spPr>
          <a:xfrm>
            <a:off x="18211799" y="13239750"/>
            <a:ext cx="1400175" cy="1400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400" b="1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Low sales in Dec wipe out 2020 Sales gain</a:t>
            </a:r>
            <a:r>
              <a:rPr lang="en-US" sz="1400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. Sales grew only </a:t>
            </a:r>
            <a:r>
              <a:rPr lang="en-US" sz="1400" b="1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0.22% </a:t>
            </a:r>
            <a:r>
              <a:rPr lang="en-US" sz="1400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in 2020.</a:t>
            </a:r>
            <a:endParaRPr lang="en-US" sz="1400">
              <a:solidFill>
                <a:srgbClr val="0D1A63"/>
              </a:solidFill>
              <a:effectLst/>
              <a:latin typeface="Roboto" panose="02000000000000000000" pitchFamily="2" charset="0"/>
              <a:ea typeface="Roboto" panose="02000000000000000000" pitchFamily="2" charset="0"/>
            </a:endParaRPr>
          </a:p>
        </xdr:txBody>
      </xdr:sp>
    </xdr:grpSp>
    <xdr:clientData/>
  </xdr:twoCellAnchor>
  <xdr:twoCellAnchor>
    <xdr:from>
      <xdr:col>19</xdr:col>
      <xdr:colOff>0</xdr:colOff>
      <xdr:row>129</xdr:row>
      <xdr:rowOff>0</xdr:rowOff>
    </xdr:from>
    <xdr:to>
      <xdr:col>29</xdr:col>
      <xdr:colOff>528638</xdr:colOff>
      <xdr:row>141</xdr:row>
      <xdr:rowOff>90488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4C7EA91-4183-4108-A6BB-E9F0CD3F1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552450</xdr:colOff>
      <xdr:row>160</xdr:row>
      <xdr:rowOff>66675</xdr:rowOff>
    </xdr:from>
    <xdr:to>
      <xdr:col>24</xdr:col>
      <xdr:colOff>123825</xdr:colOff>
      <xdr:row>187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65E3187-DA1D-4137-867A-098A07EA9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609599</xdr:colOff>
      <xdr:row>146</xdr:row>
      <xdr:rowOff>0</xdr:rowOff>
    </xdr:from>
    <xdr:to>
      <xdr:col>31</xdr:col>
      <xdr:colOff>476250</xdr:colOff>
      <xdr:row>158</xdr:row>
      <xdr:rowOff>90488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5842E169-65BA-A599-D74F-AB2B65AAFCAE}"/>
            </a:ext>
          </a:extLst>
        </xdr:cNvPr>
        <xdr:cNvGrpSpPr/>
      </xdr:nvGrpSpPr>
      <xdr:grpSpPr>
        <a:xfrm>
          <a:off x="11572874" y="27860625"/>
          <a:ext cx="8420101" cy="2376488"/>
          <a:chOff x="11572874" y="27860625"/>
          <a:chExt cx="8420101" cy="2376488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863A7BB0-6740-4A08-B782-1BF179B95039}"/>
              </a:ext>
            </a:extLst>
          </xdr:cNvPr>
          <xdr:cNvSpPr/>
        </xdr:nvSpPr>
        <xdr:spPr>
          <a:xfrm>
            <a:off x="17726025" y="28355925"/>
            <a:ext cx="2266950" cy="1485900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D7069494-EDBE-49E6-A435-2923F2D0ACC0}"/>
              </a:ext>
            </a:extLst>
          </xdr:cNvPr>
          <xdr:cNvGraphicFramePr>
            <a:graphicFrameLocks/>
          </xdr:cNvGraphicFramePr>
        </xdr:nvGraphicFramePr>
        <xdr:xfrm>
          <a:off x="11572874" y="27860625"/>
          <a:ext cx="8029575" cy="23764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69A0B995-082B-4A4C-AC07-A8952B7369AC}"/>
              </a:ext>
            </a:extLst>
          </xdr:cNvPr>
          <xdr:cNvSpPr txBox="1"/>
        </xdr:nvSpPr>
        <xdr:spPr>
          <a:xfrm>
            <a:off x="18126074" y="29165550"/>
            <a:ext cx="1800225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400" b="1">
                <a:solidFill>
                  <a:srgbClr val="0D1A63"/>
                </a:solidFill>
                <a:effectLst/>
                <a:latin typeface="+mn-lt"/>
                <a:ea typeface="+mn-ea"/>
                <a:cs typeface="+mn-cs"/>
              </a:rPr>
              <a:t>Low sales in Dec wipe out 2020 Sales gain</a:t>
            </a:r>
            <a:r>
              <a:rPr lang="en-US" sz="1400">
                <a:solidFill>
                  <a:srgbClr val="0D1A63"/>
                </a:solidFill>
                <a:effectLst/>
                <a:latin typeface="+mn-lt"/>
                <a:ea typeface="+mn-ea"/>
                <a:cs typeface="+mn-cs"/>
              </a:rPr>
              <a:t>. </a:t>
            </a:r>
            <a:endParaRPr lang="en-US" sz="1400">
              <a:solidFill>
                <a:srgbClr val="0D1A63"/>
              </a:solidFill>
              <a:effectLst/>
            </a:endParaRPr>
          </a:p>
        </xdr:txBody>
      </xdr:sp>
    </xdr:grpSp>
    <xdr:clientData/>
  </xdr:twoCellAnchor>
  <xdr:twoCellAnchor>
    <xdr:from>
      <xdr:col>18</xdr:col>
      <xdr:colOff>342900</xdr:colOff>
      <xdr:row>98</xdr:row>
      <xdr:rowOff>123825</xdr:rowOff>
    </xdr:from>
    <xdr:to>
      <xdr:col>31</xdr:col>
      <xdr:colOff>180975</xdr:colOff>
      <xdr:row>114</xdr:row>
      <xdr:rowOff>128588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7C508F12-AF1E-C15D-E853-7422035DA5DE}"/>
            </a:ext>
          </a:extLst>
        </xdr:cNvPr>
        <xdr:cNvGrpSpPr/>
      </xdr:nvGrpSpPr>
      <xdr:grpSpPr>
        <a:xfrm>
          <a:off x="11306175" y="18840450"/>
          <a:ext cx="8391525" cy="3052763"/>
          <a:chOff x="11306175" y="18840450"/>
          <a:chExt cx="8391525" cy="3052763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06F649DA-C89F-41AE-ACA2-2979C292B7EA}"/>
              </a:ext>
            </a:extLst>
          </xdr:cNvPr>
          <xdr:cNvGrpSpPr/>
        </xdr:nvGrpSpPr>
        <xdr:grpSpPr>
          <a:xfrm>
            <a:off x="11306175" y="18840450"/>
            <a:ext cx="8391525" cy="3052763"/>
            <a:chOff x="11391900" y="12858750"/>
            <a:chExt cx="8100543" cy="2547938"/>
          </a:xfrm>
        </xdr:grpSpPr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5AFC27E5-C11B-1F3E-9221-9467996DD1EF}"/>
                </a:ext>
              </a:extLst>
            </xdr:cNvPr>
            <xdr:cNvGraphicFramePr>
              <a:graphicFrameLocks/>
            </xdr:cNvGraphicFramePr>
          </xdr:nvGraphicFramePr>
          <xdr:xfrm>
            <a:off x="11391900" y="12858750"/>
            <a:ext cx="8077200" cy="25479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C93D3C3A-61C6-5D4A-1A87-87B91FB8E2BD}"/>
                </a:ext>
              </a:extLst>
            </xdr:cNvPr>
            <xdr:cNvSpPr txBox="1"/>
          </xdr:nvSpPr>
          <xdr:spPr>
            <a:xfrm>
              <a:off x="18055489" y="13502098"/>
              <a:ext cx="1436954" cy="6445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200" b="0">
                  <a:solidFill>
                    <a:srgbClr val="0D1A63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+mn-cs"/>
                </a:rPr>
                <a:t>Low sales in Dec wipe out 2020 Sales gain. </a:t>
              </a:r>
              <a:endParaRPr lang="en-US" sz="1200" b="0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</a:endParaRPr>
            </a:p>
          </xdr:txBody>
        </xdr:sp>
      </xdr:grp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B5EAC376-2C3B-33AE-7376-9D3C831E1D68}"/>
              </a:ext>
            </a:extLst>
          </xdr:cNvPr>
          <xdr:cNvGrpSpPr/>
        </xdr:nvGrpSpPr>
        <xdr:grpSpPr>
          <a:xfrm>
            <a:off x="15297155" y="19211925"/>
            <a:ext cx="1695450" cy="772235"/>
            <a:chOff x="15274152" y="19210763"/>
            <a:chExt cx="1693580" cy="772235"/>
          </a:xfrm>
        </xdr:grpSpPr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DACED8D-7915-4331-986A-CA5A9DCD9F11}"/>
                </a:ext>
              </a:extLst>
            </xdr:cNvPr>
            <xdr:cNvSpPr txBox="1"/>
          </xdr:nvSpPr>
          <xdr:spPr>
            <a:xfrm>
              <a:off x="15664666" y="19210763"/>
              <a:ext cx="1303066" cy="7722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200" b="0">
                  <a:solidFill>
                    <a:srgbClr val="0D1A63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+mn-cs"/>
                </a:rPr>
                <a:t>Storm in July limited</a:t>
              </a:r>
              <a:r>
                <a:rPr lang="en-US" sz="1200" b="0" baseline="0">
                  <a:solidFill>
                    <a:srgbClr val="0D1A63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+mn-cs"/>
                </a:rPr>
                <a:t> direct store sales</a:t>
              </a:r>
              <a:endParaRPr lang="en-US" sz="1200" b="0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</a:endParaRPr>
            </a:p>
          </xdr:txBody>
        </xdr:sp>
        <xdr:cxnSp macro="">
          <xdr:nvCxnSpPr>
            <xdr:cNvPr id="39" name="Connector: Elbow 38">
              <a:extLst>
                <a:ext uri="{FF2B5EF4-FFF2-40B4-BE49-F238E27FC236}">
                  <a16:creationId xmlns:a16="http://schemas.microsoft.com/office/drawing/2014/main" id="{0C287CE1-2345-2F68-DA50-6F4B587EF61A}"/>
                </a:ext>
              </a:extLst>
            </xdr:cNvPr>
            <xdr:cNvCxnSpPr/>
          </xdr:nvCxnSpPr>
          <xdr:spPr>
            <a:xfrm rot="5400000">
              <a:off x="15243374" y="19368855"/>
              <a:ext cx="501332" cy="439775"/>
            </a:xfrm>
            <a:prstGeom prst="bentConnector3">
              <a:avLst>
                <a:gd name="adj1" fmla="val 1806"/>
              </a:avLst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18</xdr:col>
      <xdr:colOff>381000</xdr:colOff>
      <xdr:row>52</xdr:row>
      <xdr:rowOff>152400</xdr:rowOff>
    </xdr:from>
    <xdr:to>
      <xdr:col>30</xdr:col>
      <xdr:colOff>533400</xdr:colOff>
      <xdr:row>66</xdr:row>
      <xdr:rowOff>33338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F436CB0F-B09E-1A95-EAD1-D5B1B78D1CDE}"/>
            </a:ext>
          </a:extLst>
        </xdr:cNvPr>
        <xdr:cNvGrpSpPr/>
      </xdr:nvGrpSpPr>
      <xdr:grpSpPr>
        <a:xfrm>
          <a:off x="11344275" y="10058400"/>
          <a:ext cx="8096250" cy="2547938"/>
          <a:chOff x="11344275" y="10058400"/>
          <a:chExt cx="8096250" cy="2547938"/>
        </a:xfrm>
      </xdr:grpSpPr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36E6B5A5-7396-4323-9EB8-8423E2A40A5E}"/>
              </a:ext>
            </a:extLst>
          </xdr:cNvPr>
          <xdr:cNvSpPr/>
        </xdr:nvSpPr>
        <xdr:spPr>
          <a:xfrm>
            <a:off x="17554575" y="10448925"/>
            <a:ext cx="1857375" cy="2105025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26045D2-9D55-494B-A934-9EADDD354610}"/>
              </a:ext>
            </a:extLst>
          </xdr:cNvPr>
          <xdr:cNvSpPr txBox="1"/>
        </xdr:nvSpPr>
        <xdr:spPr>
          <a:xfrm>
            <a:off x="18040350" y="10572750"/>
            <a:ext cx="1400175" cy="1400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400" b="1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Low sales in Dec wipe out 2020 Sales gain</a:t>
            </a:r>
            <a:r>
              <a:rPr lang="en-US" sz="1400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. Sales grew only </a:t>
            </a:r>
            <a:r>
              <a:rPr lang="en-US" sz="1400" b="1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0.22% </a:t>
            </a:r>
            <a:r>
              <a:rPr lang="en-US" sz="1400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in 2020.</a:t>
            </a:r>
            <a:endParaRPr lang="en-US" sz="1400">
              <a:solidFill>
                <a:srgbClr val="0D1A63"/>
              </a:solidFill>
              <a:effectLst/>
              <a:latin typeface="Roboto" panose="02000000000000000000" pitchFamily="2" charset="0"/>
              <a:ea typeface="Roboto" panose="02000000000000000000" pitchFamily="2" charset="0"/>
            </a:endParaRPr>
          </a:p>
        </xdr:txBody>
      </xdr:sp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A9A3FDAC-82A1-401D-84F6-9A7DED2D8C46}"/>
              </a:ext>
            </a:extLst>
          </xdr:cNvPr>
          <xdr:cNvGraphicFramePr>
            <a:graphicFrameLocks/>
          </xdr:cNvGraphicFramePr>
        </xdr:nvGraphicFramePr>
        <xdr:xfrm>
          <a:off x="11344275" y="10058400"/>
          <a:ext cx="6877050" cy="25479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3</xdr:col>
      <xdr:colOff>523875</xdr:colOff>
      <xdr:row>66</xdr:row>
      <xdr:rowOff>190500</xdr:rowOff>
    </xdr:from>
    <xdr:to>
      <xdr:col>16</xdr:col>
      <xdr:colOff>523875</xdr:colOff>
      <xdr:row>80</xdr:row>
      <xdr:rowOff>23813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2727791C-20D1-8CA8-7231-9012500E4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342900</xdr:colOff>
      <xdr:row>80</xdr:row>
      <xdr:rowOff>123826</xdr:rowOff>
    </xdr:from>
    <xdr:to>
      <xdr:col>31</xdr:col>
      <xdr:colOff>38099</xdr:colOff>
      <xdr:row>95</xdr:row>
      <xdr:rowOff>42863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9CC8A9E6-7F98-0D92-B4AD-966357D115B4}"/>
            </a:ext>
          </a:extLst>
        </xdr:cNvPr>
        <xdr:cNvGrpSpPr/>
      </xdr:nvGrpSpPr>
      <xdr:grpSpPr>
        <a:xfrm>
          <a:off x="11306175" y="15411451"/>
          <a:ext cx="8248649" cy="2776537"/>
          <a:chOff x="11306175" y="15411451"/>
          <a:chExt cx="8248649" cy="2776537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ADD1CB0A-3663-D039-9864-9CB13B078811}"/>
              </a:ext>
            </a:extLst>
          </xdr:cNvPr>
          <xdr:cNvSpPr/>
        </xdr:nvSpPr>
        <xdr:spPr>
          <a:xfrm>
            <a:off x="17659350" y="15992475"/>
            <a:ext cx="1857375" cy="2105025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BE450403-9F3F-5051-9DD6-972B9B80F5F3}"/>
              </a:ext>
            </a:extLst>
          </xdr:cNvPr>
          <xdr:cNvGraphicFramePr>
            <a:graphicFrameLocks/>
          </xdr:cNvGraphicFramePr>
        </xdr:nvGraphicFramePr>
        <xdr:xfrm>
          <a:off x="11334750" y="15640050"/>
          <a:ext cx="8077200" cy="25479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86652E67-466F-6760-15CF-290A8B922231}"/>
              </a:ext>
            </a:extLst>
          </xdr:cNvPr>
          <xdr:cNvSpPr txBox="1"/>
        </xdr:nvSpPr>
        <xdr:spPr>
          <a:xfrm>
            <a:off x="18154649" y="16021050"/>
            <a:ext cx="1400175" cy="1400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400" b="1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Low sales in Dec wipe out 2020 Sales gain</a:t>
            </a:r>
            <a:r>
              <a:rPr lang="en-US" sz="1400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. Sales grew only </a:t>
            </a:r>
            <a:r>
              <a:rPr lang="en-US" sz="1400" b="1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0.22% </a:t>
            </a:r>
            <a:r>
              <a:rPr lang="en-US" sz="1400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in 2020.</a:t>
            </a:r>
            <a:endParaRPr lang="en-US" sz="1400">
              <a:solidFill>
                <a:srgbClr val="0D1A63"/>
              </a:solidFill>
              <a:effectLst/>
              <a:latin typeface="Roboto" panose="02000000000000000000" pitchFamily="2" charset="0"/>
              <a:ea typeface="Roboto" panose="02000000000000000000" pitchFamily="2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675A1941-768F-48BC-8A6F-8CC050AF1D7D}"/>
              </a:ext>
            </a:extLst>
          </xdr:cNvPr>
          <xdr:cNvSpPr txBox="1"/>
        </xdr:nvSpPr>
        <xdr:spPr>
          <a:xfrm>
            <a:off x="11306175" y="15411451"/>
            <a:ext cx="3609976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800" b="1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LOSS</a:t>
            </a:r>
            <a:r>
              <a:rPr lang="en-US" sz="1800" b="1" baseline="0">
                <a:solidFill>
                  <a:srgbClr val="0D1A63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+mn-cs"/>
              </a:rPr>
              <a:t> OF CHRISTMAS SALES</a:t>
            </a:r>
            <a:endParaRPr lang="en-US" sz="1800">
              <a:solidFill>
                <a:srgbClr val="0D1A63"/>
              </a:solidFill>
              <a:effectLst/>
              <a:latin typeface="Roboto" panose="02000000000000000000" pitchFamily="2" charset="0"/>
              <a:ea typeface="Roboto" panose="02000000000000000000" pitchFamily="2" charset="0"/>
            </a:endParaRPr>
          </a:p>
        </xdr:txBody>
      </xdr:sp>
    </xdr:grpSp>
    <xdr:clientData/>
  </xdr:twoCellAnchor>
  <xdr:twoCellAnchor>
    <xdr:from>
      <xdr:col>13</xdr:col>
      <xdr:colOff>438150</xdr:colOff>
      <xdr:row>1</xdr:row>
      <xdr:rowOff>104775</xdr:rowOff>
    </xdr:from>
    <xdr:to>
      <xdr:col>19</xdr:col>
      <xdr:colOff>390526</xdr:colOff>
      <xdr:row>3</xdr:row>
      <xdr:rowOff>104775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F47DC6E-4A10-4C98-9DD8-DD6AD904F1CE}"/>
            </a:ext>
          </a:extLst>
        </xdr:cNvPr>
        <xdr:cNvSpPr txBox="1"/>
      </xdr:nvSpPr>
      <xdr:spPr>
        <a:xfrm>
          <a:off x="8353425" y="295275"/>
          <a:ext cx="360997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rgbClr val="0D1A63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rPr>
            <a:t>LOSS</a:t>
          </a:r>
          <a:r>
            <a:rPr lang="en-US" sz="1800" b="1" baseline="0">
              <a:solidFill>
                <a:srgbClr val="0D1A63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rPr>
            <a:t> OF CHRISTMAS SALES</a:t>
          </a:r>
          <a:endParaRPr lang="en-US" sz="1800">
            <a:solidFill>
              <a:srgbClr val="0D1A63"/>
            </a:solidFill>
            <a:effectLst/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21</xdr:row>
      <xdr:rowOff>152400</xdr:rowOff>
    </xdr:from>
    <xdr:to>
      <xdr:col>17</xdr:col>
      <xdr:colOff>9525</xdr:colOff>
      <xdr:row>50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2225CB8-CF58-C312-B9C7-88E16CB326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0825" y="4152900"/>
              <a:ext cx="8553450" cy="5500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1514475</xdr:colOff>
      <xdr:row>10</xdr:row>
      <xdr:rowOff>138112</xdr:rowOff>
    </xdr:from>
    <xdr:to>
      <xdr:col>20</xdr:col>
      <xdr:colOff>552450</xdr:colOff>
      <xdr:row>25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DFB055-AB62-8F4C-9C7A-71EA91E3C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63.685787152775" createdVersion="8" refreshedVersion="8" minRefreshableVersion="3" recordCount="1000" xr:uid="{E2B251A3-66B8-42C7-BFB0-1DA9301E1C80}">
  <cacheSource type="worksheet">
    <worksheetSource ref="A1:J1001" sheet="data"/>
  </cacheSource>
  <cacheFields count="14">
    <cacheField name="country" numFmtId="0">
      <sharedItems/>
    </cacheField>
    <cacheField name=" order_value_EUR " numFmtId="4">
      <sharedItems containsSemiMixedTypes="0" containsString="0" containsNumber="1" minValue="15100.57" maxValue="383996.76"/>
    </cacheField>
    <cacheField name=" cost " numFmtId="0">
      <sharedItems containsSemiMixedTypes="0" containsString="0" containsNumber="1" minValue="12113.68" maxValue="304701.43"/>
    </cacheField>
    <cacheField name="date" numFmtId="14">
      <sharedItems containsSemiMixedTypes="0" containsNonDate="0" containsDate="1" containsString="0" minDate="2019-01-02T00:00:00" maxDate="2020-12-31T00:00:00" count="536">
        <d v="2020-02-12T00:00:00"/>
        <d v="2019-09-26T00:00:00"/>
        <d v="2019-07-11T00:00:00"/>
        <d v="2020-04-02T00:00:00"/>
        <d v="2019-12-22T00:00:00"/>
        <d v="2020-07-14T00:00:00"/>
        <d v="2019-02-05T00:00:00"/>
        <d v="2020-08-30T00:00:00"/>
        <d v="2020-05-10T00:00:00"/>
        <d v="2019-01-20T00:00:00"/>
        <d v="2019-05-04T00:00:00"/>
        <d v="2019-02-23T00:00:00"/>
        <d v="2020-01-04T00:00:00"/>
        <d v="2019-07-20T00:00:00"/>
        <d v="2019-08-06T00:00:00"/>
        <d v="2020-11-08T00:00:00"/>
        <d v="2019-02-26T00:00:00"/>
        <d v="2019-11-22T00:00:00"/>
        <d v="2019-06-05T00:00:00"/>
        <d v="2020-05-11T00:00:00"/>
        <d v="2019-11-06T00:00:00"/>
        <d v="2019-03-10T00:00:00"/>
        <d v="2020-02-07T00:00:00"/>
        <d v="2020-12-23T00:00:00"/>
        <d v="2020-06-10T00:00:00"/>
        <d v="2020-08-14T00:00:00"/>
        <d v="2020-03-10T00:00:00"/>
        <d v="2020-04-03T00:00:00"/>
        <d v="2019-02-15T00:00:00"/>
        <d v="2019-07-08T00:00:00"/>
        <d v="2020-01-20T00:00:00"/>
        <d v="2019-06-25T00:00:00"/>
        <d v="2020-03-23T00:00:00"/>
        <d v="2019-10-28T00:00:00"/>
        <d v="2020-03-28T00:00:00"/>
        <d v="2019-05-07T00:00:00"/>
        <d v="2019-03-29T00:00:00"/>
        <d v="2019-06-13T00:00:00"/>
        <d v="2020-01-28T00:00:00"/>
        <d v="2020-11-03T00:00:00"/>
        <d v="2019-03-05T00:00:00"/>
        <d v="2019-11-18T00:00:00"/>
        <d v="2019-03-26T00:00:00"/>
        <d v="2019-02-03T00:00:00"/>
        <d v="2019-08-29T00:00:00"/>
        <d v="2020-11-05T00:00:00"/>
        <d v="2020-11-12T00:00:00"/>
        <d v="2020-03-12T00:00:00"/>
        <d v="2019-01-29T00:00:00"/>
        <d v="2019-01-18T00:00:00"/>
        <d v="2020-01-18T00:00:00"/>
        <d v="2020-11-02T00:00:00"/>
        <d v="2020-03-09T00:00:00"/>
        <d v="2019-10-29T00:00:00"/>
        <d v="2019-02-08T00:00:00"/>
        <d v="2020-07-21T00:00:00"/>
        <d v="2019-07-15T00:00:00"/>
        <d v="2019-10-13T00:00:00"/>
        <d v="2020-01-13T00:00:00"/>
        <d v="2019-03-15T00:00:00"/>
        <d v="2019-10-12T00:00:00"/>
        <d v="2019-11-25T00:00:00"/>
        <d v="2020-06-14T00:00:00"/>
        <d v="2020-04-15T00:00:00"/>
        <d v="2019-12-02T00:00:00"/>
        <d v="2019-10-19T00:00:00"/>
        <d v="2019-10-27T00:00:00"/>
        <d v="2020-11-13T00:00:00"/>
        <d v="2019-04-11T00:00:00"/>
        <d v="2019-12-27T00:00:00"/>
        <d v="2020-07-12T00:00:00"/>
        <d v="2019-10-25T00:00:00"/>
        <d v="2020-08-08T00:00:00"/>
        <d v="2019-06-11T00:00:00"/>
        <d v="2020-09-01T00:00:00"/>
        <d v="2019-03-22T00:00:00"/>
        <d v="2019-09-12T00:00:00"/>
        <d v="2020-01-06T00:00:00"/>
        <d v="2020-01-11T00:00:00"/>
        <d v="2020-05-18T00:00:00"/>
        <d v="2019-05-17T00:00:00"/>
        <d v="2020-04-01T00:00:00"/>
        <d v="2019-06-24T00:00:00"/>
        <d v="2019-09-15T00:00:00"/>
        <d v="2020-03-05T00:00:00"/>
        <d v="2019-04-26T00:00:00"/>
        <d v="2019-11-02T00:00:00"/>
        <d v="2020-06-07T00:00:00"/>
        <d v="2020-12-02T00:00:00"/>
        <d v="2020-01-15T00:00:00"/>
        <d v="2019-08-01T00:00:00"/>
        <d v="2020-03-30T00:00:00"/>
        <d v="2019-11-09T00:00:00"/>
        <d v="2020-11-14T00:00:00"/>
        <d v="2019-09-13T00:00:00"/>
        <d v="2019-11-24T00:00:00"/>
        <d v="2019-08-26T00:00:00"/>
        <d v="2020-09-16T00:00:00"/>
        <d v="2019-01-14T00:00:00"/>
        <d v="2020-08-18T00:00:00"/>
        <d v="2019-12-01T00:00:00"/>
        <d v="2019-01-13T00:00:00"/>
        <d v="2019-12-19T00:00:00"/>
        <d v="2019-10-07T00:00:00"/>
        <d v="2020-01-21T00:00:00"/>
        <d v="2020-07-27T00:00:00"/>
        <d v="2020-08-27T00:00:00"/>
        <d v="2019-03-28T00:00:00"/>
        <d v="2020-04-28T00:00:00"/>
        <d v="2020-10-09T00:00:00"/>
        <d v="2019-04-21T00:00:00"/>
        <d v="2019-12-08T00:00:00"/>
        <d v="2019-09-30T00:00:00"/>
        <d v="2020-01-23T00:00:00"/>
        <d v="2019-07-13T00:00:00"/>
        <d v="2020-01-25T00:00:00"/>
        <d v="2019-05-26T00:00:00"/>
        <d v="2020-05-07T00:00:00"/>
        <d v="2020-08-16T00:00:00"/>
        <d v="2020-06-15T00:00:00"/>
        <d v="2019-02-19T00:00:00"/>
        <d v="2019-08-28T00:00:00"/>
        <d v="2019-10-20T00:00:00"/>
        <d v="2020-05-17T00:00:00"/>
        <d v="2020-07-10T00:00:00"/>
        <d v="2020-11-18T00:00:00"/>
        <d v="2019-01-09T00:00:00"/>
        <d v="2020-05-29T00:00:00"/>
        <d v="2020-02-09T00:00:00"/>
        <d v="2019-10-23T00:00:00"/>
        <d v="2020-05-08T00:00:00"/>
        <d v="2020-08-29T00:00:00"/>
        <d v="2020-05-21T00:00:00"/>
        <d v="2020-12-12T00:00:00"/>
        <d v="2020-05-19T00:00:00"/>
        <d v="2019-06-01T00:00:00"/>
        <d v="2019-12-09T00:00:00"/>
        <d v="2019-04-30T00:00:00"/>
        <d v="2020-10-29T00:00:00"/>
        <d v="2019-02-01T00:00:00"/>
        <d v="2020-04-26T00:00:00"/>
        <d v="2020-03-11T00:00:00"/>
        <d v="2020-12-15T00:00:00"/>
        <d v="2019-05-24T00:00:00"/>
        <d v="2020-10-10T00:00:00"/>
        <d v="2020-12-26T00:00:00"/>
        <d v="2020-12-22T00:00:00"/>
        <d v="2019-06-15T00:00:00"/>
        <d v="2020-08-25T00:00:00"/>
        <d v="2019-05-30T00:00:00"/>
        <d v="2019-07-03T00:00:00"/>
        <d v="2020-09-27T00:00:00"/>
        <d v="2020-05-20T00:00:00"/>
        <d v="2019-08-03T00:00:00"/>
        <d v="2020-03-01T00:00:00"/>
        <d v="2019-02-20T00:00:00"/>
        <d v="2019-02-04T00:00:00"/>
        <d v="2019-12-28T00:00:00"/>
        <d v="2020-11-23T00:00:00"/>
        <d v="2020-12-06T00:00:00"/>
        <d v="2019-08-16T00:00:00"/>
        <d v="2019-12-24T00:00:00"/>
        <d v="2020-06-02T00:00:00"/>
        <d v="2020-09-05T00:00:00"/>
        <d v="2019-05-06T00:00:00"/>
        <d v="2019-01-21T00:00:00"/>
        <d v="2020-10-02T00:00:00"/>
        <d v="2019-04-19T00:00:00"/>
        <d v="2020-12-04T00:00:00"/>
        <d v="2020-04-27T00:00:00"/>
        <d v="2020-06-29T00:00:00"/>
        <d v="2020-10-23T00:00:00"/>
        <d v="2020-04-05T00:00:00"/>
        <d v="2020-06-09T00:00:00"/>
        <d v="2019-07-23T00:00:00"/>
        <d v="2019-06-08T00:00:00"/>
        <d v="2019-11-14T00:00:00"/>
        <d v="2020-07-15T00:00:00"/>
        <d v="2019-10-24T00:00:00"/>
        <d v="2019-12-11T00:00:00"/>
        <d v="2020-07-03T00:00:00"/>
        <d v="2019-03-14T00:00:00"/>
        <d v="2019-10-15T00:00:00"/>
        <d v="2020-07-24T00:00:00"/>
        <d v="2019-08-24T00:00:00"/>
        <d v="2020-10-22T00:00:00"/>
        <d v="2019-09-08T00:00:00"/>
        <d v="2020-09-30T00:00:00"/>
        <d v="2020-07-05T00:00:00"/>
        <d v="2020-03-19T00:00:00"/>
        <d v="2019-06-16T00:00:00"/>
        <d v="2019-01-05T00:00:00"/>
        <d v="2019-06-21T00:00:00"/>
        <d v="2020-02-13T00:00:00"/>
        <d v="2020-04-14T00:00:00"/>
        <d v="2020-03-21T00:00:00"/>
        <d v="2020-09-09T00:00:00"/>
        <d v="2020-03-25T00:00:00"/>
        <d v="2020-11-28T00:00:00"/>
        <d v="2019-11-03T00:00:00"/>
        <d v="2020-12-29T00:00:00"/>
        <d v="2019-07-24T00:00:00"/>
        <d v="2020-08-09T00:00:00"/>
        <d v="2020-11-24T00:00:00"/>
        <d v="2020-07-20T00:00:00"/>
        <d v="2019-04-23T00:00:00"/>
        <d v="2020-03-08T00:00:00"/>
        <d v="2019-12-05T00:00:00"/>
        <d v="2019-02-14T00:00:00"/>
        <d v="2020-09-15T00:00:00"/>
        <d v="2019-01-08T00:00:00"/>
        <d v="2020-03-27T00:00:00"/>
        <d v="2020-10-19T00:00:00"/>
        <d v="2020-05-28T00:00:00"/>
        <d v="2020-07-16T00:00:00"/>
        <d v="2020-10-12T00:00:00"/>
        <d v="2019-10-30T00:00:00"/>
        <d v="2019-04-06T00:00:00"/>
        <d v="2019-01-27T00:00:00"/>
        <d v="2019-11-30T00:00:00"/>
        <d v="2019-09-10T00:00:00"/>
        <d v="2020-01-14T00:00:00"/>
        <d v="2019-09-06T00:00:00"/>
        <d v="2020-12-16T00:00:00"/>
        <d v="2020-08-12T00:00:00"/>
        <d v="2020-09-24T00:00:00"/>
        <d v="2019-01-19T00:00:00"/>
        <d v="2019-12-20T00:00:00"/>
        <d v="2020-05-02T00:00:00"/>
        <d v="2020-06-22T00:00:00"/>
        <d v="2019-03-16T00:00:00"/>
        <d v="2020-04-25T00:00:00"/>
        <d v="2020-07-29T00:00:00"/>
        <d v="2019-07-22T00:00:00"/>
        <d v="2020-05-27T00:00:00"/>
        <d v="2019-04-09T00:00:00"/>
        <d v="2019-03-31T00:00:00"/>
        <d v="2020-06-12T00:00:00"/>
        <d v="2019-07-28T00:00:00"/>
        <d v="2020-06-01T00:00:00"/>
        <d v="2020-06-26T00:00:00"/>
        <d v="2019-07-05T00:00:00"/>
        <d v="2020-03-15T00:00:00"/>
        <d v="2019-04-15T00:00:00"/>
        <d v="2020-07-04T00:00:00"/>
        <d v="2019-03-04T00:00:00"/>
        <d v="2020-12-07T00:00:00"/>
        <d v="2020-05-14T00:00:00"/>
        <d v="2020-03-03T00:00:00"/>
        <d v="2020-01-22T00:00:00"/>
        <d v="2019-04-24T00:00:00"/>
        <d v="2020-11-20T00:00:00"/>
        <d v="2020-08-03T00:00:00"/>
        <d v="2019-10-22T00:00:00"/>
        <d v="2020-01-12T00:00:00"/>
        <d v="2020-02-08T00:00:00"/>
        <d v="2019-11-29T00:00:00"/>
        <d v="2020-01-19T00:00:00"/>
        <d v="2020-05-30T00:00:00"/>
        <d v="2019-06-04T00:00:00"/>
        <d v="2020-10-18T00:00:00"/>
        <d v="2020-08-04T00:00:00"/>
        <d v="2019-06-17T00:00:00"/>
        <d v="2019-09-21T00:00:00"/>
        <d v="2020-01-31T00:00:00"/>
        <d v="2020-03-18T00:00:00"/>
        <d v="2019-03-24T00:00:00"/>
        <d v="2020-12-14T00:00:00"/>
        <d v="2019-08-27T00:00:00"/>
        <d v="2020-11-19T00:00:00"/>
        <d v="2019-08-13T00:00:00"/>
        <d v="2019-02-22T00:00:00"/>
        <d v="2020-08-24T00:00:00"/>
        <d v="2020-11-22T00:00:00"/>
        <d v="2019-05-02T00:00:00"/>
        <d v="2020-12-27T00:00:00"/>
        <d v="2020-02-04T00:00:00"/>
        <d v="2019-04-18T00:00:00"/>
        <d v="2019-09-09T00:00:00"/>
        <d v="2020-10-17T00:00:00"/>
        <d v="2020-02-10T00:00:00"/>
        <d v="2020-08-05T00:00:00"/>
        <d v="2019-12-23T00:00:00"/>
        <d v="2019-09-03T00:00:00"/>
        <d v="2019-03-11T00:00:00"/>
        <d v="2019-04-22T00:00:00"/>
        <d v="2020-10-03T00:00:00"/>
        <d v="2019-02-07T00:00:00"/>
        <d v="2020-04-12T00:00:00"/>
        <d v="2020-02-24T00:00:00"/>
        <d v="2020-04-13T00:00:00"/>
        <d v="2020-05-26T00:00:00"/>
        <d v="2019-08-31T00:00:00"/>
        <d v="2019-05-21T00:00:00"/>
        <d v="2020-12-13T00:00:00"/>
        <d v="2019-10-18T00:00:00"/>
        <d v="2020-08-26T00:00:00"/>
        <d v="2019-02-11T00:00:00"/>
        <d v="2019-09-29T00:00:00"/>
        <d v="2020-09-22T00:00:00"/>
        <d v="2019-03-19T00:00:00"/>
        <d v="2020-08-01T00:00:00"/>
        <d v="2020-04-10T00:00:00"/>
        <d v="2020-12-09T00:00:00"/>
        <d v="2019-12-12T00:00:00"/>
        <d v="2019-08-20T00:00:00"/>
        <d v="2019-01-12T00:00:00"/>
        <d v="2019-12-26T00:00:00"/>
        <d v="2020-04-04T00:00:00"/>
        <d v="2019-11-10T00:00:00"/>
        <d v="2019-03-21T00:00:00"/>
        <d v="2019-07-18T00:00:00"/>
        <d v="2020-02-20T00:00:00"/>
        <d v="2019-01-17T00:00:00"/>
        <d v="2020-02-17T00:00:00"/>
        <d v="2020-10-04T00:00:00"/>
        <d v="2020-01-03T00:00:00"/>
        <d v="2020-08-31T00:00:00"/>
        <d v="2020-09-04T00:00:00"/>
        <d v="2020-04-07T00:00:00"/>
        <d v="2019-06-26T00:00:00"/>
        <d v="2019-11-01T00:00:00"/>
        <d v="2019-09-27T00:00:00"/>
        <d v="2019-09-22T00:00:00"/>
        <d v="2020-06-05T00:00:00"/>
        <d v="2019-09-11T00:00:00"/>
        <d v="2020-08-23T00:00:00"/>
        <d v="2019-08-22T00:00:00"/>
        <d v="2019-05-29T00:00:00"/>
        <d v="2020-01-24T00:00:00"/>
        <d v="2019-09-20T00:00:00"/>
        <d v="2020-04-29T00:00:00"/>
        <d v="2020-11-15T00:00:00"/>
        <d v="2020-10-28T00:00:00"/>
        <d v="2019-06-03T00:00:00"/>
        <d v="2020-05-16T00:00:00"/>
        <d v="2019-05-15T00:00:00"/>
        <d v="2020-09-23T00:00:00"/>
        <d v="2020-05-03T00:00:00"/>
        <d v="2019-02-09T00:00:00"/>
        <d v="2020-07-18T00:00:00"/>
        <d v="2020-01-07T00:00:00"/>
        <d v="2019-09-18T00:00:00"/>
        <d v="2019-01-15T00:00:00"/>
        <d v="2019-10-08T00:00:00"/>
        <d v="2020-09-03T00:00:00"/>
        <d v="2020-10-24T00:00:00"/>
        <d v="2019-07-02T00:00:00"/>
        <d v="2019-11-20T00:00:00"/>
        <d v="2020-05-15T00:00:00"/>
        <d v="2020-09-12T00:00:00"/>
        <d v="2019-10-04T00:00:00"/>
        <d v="2020-02-18T00:00:00"/>
        <d v="2020-09-08T00:00:00"/>
        <d v="2020-06-24T00:00:00"/>
        <d v="2020-02-21T00:00:00"/>
        <d v="2020-06-08T00:00:00"/>
        <d v="2020-05-05T00:00:00"/>
        <d v="2019-08-09T00:00:00"/>
        <d v="2019-07-07T00:00:00"/>
        <d v="2019-11-26T00:00:00"/>
        <d v="2020-11-11T00:00:00"/>
        <d v="2020-10-08T00:00:00"/>
        <d v="2020-07-25T00:00:00"/>
        <d v="2019-12-04T00:00:00"/>
        <d v="2019-06-28T00:00:00"/>
        <d v="2019-05-12T00:00:00"/>
        <d v="2019-04-08T00:00:00"/>
        <d v="2019-07-10T00:00:00"/>
        <d v="2019-01-25T00:00:00"/>
        <d v="2020-06-23T00:00:00"/>
        <d v="2019-03-20T00:00:00"/>
        <d v="2020-09-07T00:00:00"/>
        <d v="2020-01-30T00:00:00"/>
        <d v="2020-10-20T00:00:00"/>
        <d v="2019-09-23T00:00:00"/>
        <d v="2020-12-20T00:00:00"/>
        <d v="2019-03-01T00:00:00"/>
        <d v="2020-03-06T00:00:00"/>
        <d v="2020-06-30T00:00:00"/>
        <d v="2020-02-06T00:00:00"/>
        <d v="2020-10-11T00:00:00"/>
        <d v="2019-01-16T00:00:00"/>
        <d v="2020-02-15T00:00:00"/>
        <d v="2020-01-02T00:00:00"/>
        <d v="2019-10-10T00:00:00"/>
        <d v="2019-02-25T00:00:00"/>
        <d v="2020-09-19T00:00:00"/>
        <d v="2020-12-30T00:00:00"/>
        <d v="2019-03-09T00:00:00"/>
        <d v="2019-03-25T00:00:00"/>
        <d v="2019-05-27T00:00:00"/>
        <d v="2020-03-26T00:00:00"/>
        <d v="2020-10-06T00:00:00"/>
        <d v="2019-07-01T00:00:00"/>
        <d v="2020-07-31T00:00:00"/>
        <d v="2019-07-04T00:00:00"/>
        <d v="2019-10-03T00:00:00"/>
        <d v="2019-09-28T00:00:00"/>
        <d v="2020-11-29T00:00:00"/>
        <d v="2020-09-17T00:00:00"/>
        <d v="2019-04-25T00:00:00"/>
        <d v="2020-06-19T00:00:00"/>
        <d v="2019-03-13T00:00:00"/>
        <d v="2019-04-04T00:00:00"/>
        <d v="2019-02-12T00:00:00"/>
        <d v="2020-04-11T00:00:00"/>
        <d v="2019-09-17T00:00:00"/>
        <d v="2019-11-27T00:00:00"/>
        <d v="2020-12-24T00:00:00"/>
        <d v="2019-05-31T00:00:00"/>
        <d v="2019-01-02T00:00:00"/>
        <d v="2019-11-13T00:00:00"/>
        <d v="2020-04-30T00:00:00"/>
        <d v="2019-06-30T00:00:00"/>
        <d v="2020-05-06T00:00:00"/>
        <d v="2020-10-05T00:00:00"/>
        <d v="2020-07-23T00:00:00"/>
        <d v="2020-03-20T00:00:00"/>
        <d v="2020-02-28T00:00:00"/>
        <d v="2020-10-27T00:00:00"/>
        <d v="2019-02-10T00:00:00"/>
        <d v="2019-09-04T00:00:00"/>
        <d v="2020-03-02T00:00:00"/>
        <d v="2019-11-15T00:00:00"/>
        <d v="2019-12-07T00:00:00"/>
        <d v="2019-03-23T00:00:00"/>
        <d v="2019-09-25T00:00:00"/>
        <d v="2019-05-08T00:00:00"/>
        <d v="2020-02-16T00:00:00"/>
        <d v="2019-05-09T00:00:00"/>
        <d v="2019-05-16T00:00:00"/>
        <d v="2020-03-24T00:00:00"/>
        <d v="2020-05-09T00:00:00"/>
        <d v="2019-02-16T00:00:00"/>
        <d v="2019-04-05T00:00:00"/>
        <d v="2019-05-23T00:00:00"/>
        <d v="2020-07-17T00:00:00"/>
        <d v="2019-02-06T00:00:00"/>
        <d v="2020-11-16T00:00:00"/>
        <d v="2020-01-27T00:00:00"/>
        <d v="2019-10-17T00:00:00"/>
        <d v="2020-11-09T00:00:00"/>
        <d v="2019-08-15T00:00:00"/>
        <d v="2020-09-28T00:00:00"/>
        <d v="2019-08-05T00:00:00"/>
        <d v="2020-06-13T00:00:00"/>
        <d v="2020-05-23T00:00:00"/>
        <d v="2019-05-20T00:00:00"/>
        <d v="2019-12-18T00:00:00"/>
        <d v="2020-11-30T00:00:00"/>
        <d v="2019-07-30T00:00:00"/>
        <d v="2019-06-20T00:00:00"/>
        <d v="2020-08-21T00:00:00"/>
        <d v="2019-10-16T00:00:00"/>
        <d v="2019-06-02T00:00:00"/>
        <d v="2019-05-19T00:00:00"/>
        <d v="2019-08-12T00:00:00"/>
        <d v="2020-10-25T00:00:00"/>
        <d v="2019-05-13T00:00:00"/>
        <d v="2020-07-07T00:00:00"/>
        <d v="2019-07-31T00:00:00"/>
        <d v="2020-03-04T00:00:00"/>
        <d v="2020-12-08T00:00:00"/>
        <d v="2019-11-11T00:00:00"/>
        <d v="2019-08-23T00:00:00"/>
        <d v="2020-07-11T00:00:00"/>
        <d v="2019-11-28T00:00:00"/>
        <d v="2020-09-06T00:00:00"/>
        <d v="2019-12-13T00:00:00"/>
        <d v="2019-02-17T00:00:00"/>
        <d v="2019-10-09T00:00:00"/>
        <d v="2020-05-22T00:00:00"/>
        <d v="2019-01-11T00:00:00"/>
        <d v="2019-12-21T00:00:00"/>
        <d v="2019-08-08T00:00:00"/>
        <d v="2020-05-24T00:00:00"/>
        <d v="2020-12-11T00:00:00"/>
        <d v="2019-09-19T00:00:00"/>
        <d v="2020-10-30T00:00:00"/>
        <d v="2019-06-22T00:00:00"/>
        <d v="2019-09-01T00:00:00"/>
        <d v="2020-07-09T00:00:00"/>
        <d v="2020-07-06T00:00:00"/>
        <d v="2019-02-27T00:00:00"/>
        <d v="2020-03-13T00:00:00"/>
        <d v="2019-12-30T00:00:00"/>
        <d v="2020-06-21T00:00:00"/>
        <d v="2020-11-21T00:00:00"/>
        <d v="2019-11-21T00:00:00"/>
        <d v="2020-03-16T00:00:00"/>
        <d v="2020-02-26T00:00:00"/>
        <d v="2019-10-21T00:00:00"/>
        <d v="2020-06-20T00:00:00"/>
        <d v="2019-06-14T00:00:00"/>
        <d v="2020-03-17T00:00:00"/>
        <d v="2019-03-12T00:00:00"/>
        <d v="2019-07-19T00:00:00"/>
        <d v="2019-12-03T00:00:00"/>
        <d v="2020-07-22T00:00:00"/>
        <d v="2020-09-20T00:00:00"/>
        <d v="2019-09-24T00:00:00"/>
        <d v="2019-05-25T00:00:00"/>
        <d v="2019-05-22T00:00:00"/>
        <d v="2020-03-22T00:00:00"/>
        <d v="2020-10-15T00:00:00"/>
        <d v="2019-07-09T00:00:00"/>
        <d v="2020-07-30T00:00:00"/>
        <d v="2020-01-09T00:00:00"/>
        <d v="2020-02-03T00:00:00"/>
        <d v="2020-11-27T00:00:00"/>
        <d v="2019-11-04T00:00:00"/>
        <d v="2019-03-27T00:00:00"/>
        <d v="2019-09-02T00:00:00"/>
        <d v="2020-06-25T00:00:00"/>
        <d v="2019-02-02T00:00:00"/>
        <d v="2019-02-13T00:00:00"/>
        <d v="2020-04-09T00:00:00"/>
        <d v="2019-02-21T00:00:00"/>
        <d v="2020-10-31T00:00:00"/>
        <d v="2019-08-11T00:00:00"/>
        <d v="2019-06-12T00:00:00"/>
        <d v="2020-07-02T00:00:00"/>
        <d v="2020-09-11T00:00:00"/>
        <d v="2020-06-28T00:00:00"/>
        <d v="2020-09-18T00:00:00"/>
        <d v="2020-04-22T00:00:00"/>
        <d v="2019-12-25T00:00:00"/>
        <d v="2019-07-27T00:00:00"/>
        <d v="2020-11-07T00:00:00"/>
        <d v="2019-03-18T00:00:00"/>
        <d v="2019-09-16T00:00:00"/>
        <d v="2019-04-13T00:00:00"/>
        <d v="2019-01-07T00:00:00"/>
        <d v="2019-10-14T00:00:00"/>
        <d v="2020-06-18T00:00:00"/>
      </sharedItems>
      <fieldGroup par="12"/>
    </cacheField>
    <cacheField name="category" numFmtId="0">
      <sharedItems/>
    </cacheField>
    <cacheField name="customer_name" numFmtId="0">
      <sharedItems/>
    </cacheField>
    <cacheField name="sales_manager" numFmtId="0">
      <sharedItems count="15">
        <s v="Maxie Marrow"/>
        <s v="Hube Corey"/>
        <s v="Celine Tumasian"/>
        <s v="Emalia Dinse"/>
        <s v="Jessamine Apark"/>
        <s v="Othello Bowes"/>
        <s v="Denice Amberg"/>
        <s v="Lambert Norheny"/>
        <s v="Charil Alpe"/>
        <s v="Ilsa Kob"/>
        <s v="Piggy Roscrigg"/>
        <s v="Glenine Suttaby"/>
        <s v="Rickard Doogood"/>
        <s v="Modestia Byfford"/>
        <s v="Orsa Geekin"/>
      </sharedItems>
    </cacheField>
    <cacheField name="sales_rep" numFmtId="0">
      <sharedItems/>
    </cacheField>
    <cacheField name="device_type" numFmtId="0">
      <sharedItems/>
    </cacheField>
    <cacheField name="order_id" numFmtId="0">
      <sharedItems/>
    </cacheField>
    <cacheField name="Months (date)" numFmtId="0" databaseField="0">
      <fieldGroup base="3">
        <rangePr groupBy="months" startDate="2019-01-02T00:00:00" endDate="2020-12-31T00:00:00"/>
        <groupItems count="14">
          <s v="&lt;2019-01-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0-12-31"/>
        </groupItems>
      </fieldGroup>
    </cacheField>
    <cacheField name="Quarters (date)" numFmtId="0" databaseField="0">
      <fieldGroup base="3">
        <rangePr groupBy="quarters" startDate="2019-01-02T00:00:00" endDate="2020-12-31T00:00:00"/>
        <groupItems count="6">
          <s v="&lt;2019-01-02"/>
          <s v="Qtr1"/>
          <s v="Qtr2"/>
          <s v="Qtr3"/>
          <s v="Qtr4"/>
          <s v="&gt;2020-12-31"/>
        </groupItems>
      </fieldGroup>
    </cacheField>
    <cacheField name="Years (date)" numFmtId="0" databaseField="0">
      <fieldGroup base="3">
        <rangePr groupBy="years" startDate="2019-01-02T00:00:00" endDate="2020-12-31T00:00:00"/>
        <groupItems count="4">
          <s v="&lt;2019-01-02"/>
          <s v="2019"/>
          <s v="2020"/>
          <s v="&gt;2020-12-31"/>
        </groupItems>
      </fieldGroup>
    </cacheField>
    <cacheField name="val_2020" numFmtId="0" formula=" IF('Years (date)'=2020,' order_value_EUR '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64.715145717593" createdVersion="8" refreshedVersion="8" minRefreshableVersion="3" recordCount="1000" xr:uid="{469613D8-2BEE-47DE-BA02-FFBD2C8D06C0}">
  <cacheSource type="worksheet">
    <worksheetSource ref="A1:N1001" sheet="data"/>
  </cacheSource>
  <cacheFields count="14">
    <cacheField name="country" numFmtId="0">
      <sharedItems/>
    </cacheField>
    <cacheField name=" order_value_EUR " numFmtId="4">
      <sharedItems containsSemiMixedTypes="0" containsString="0" containsNumber="1" minValue="15100.57" maxValue="383996.76"/>
    </cacheField>
    <cacheField name=" cost " numFmtId="0">
      <sharedItems containsSemiMixedTypes="0" containsString="0" containsNumber="1" minValue="12113.68" maxValue="304701.43"/>
    </cacheField>
    <cacheField name="date" numFmtId="14">
      <sharedItems containsSemiMixedTypes="0" containsNonDate="0" containsDate="1" containsString="0" minDate="2019-01-02T00:00:00" maxDate="2020-12-31T00:00:00"/>
    </cacheField>
    <cacheField name="category" numFmtId="0">
      <sharedItems/>
    </cacheField>
    <cacheField name="customer_name" numFmtId="0">
      <sharedItems/>
    </cacheField>
    <cacheField name="sales_manager" numFmtId="0">
      <sharedItems/>
    </cacheField>
    <cacheField name="sales_rep" numFmtId="0">
      <sharedItems/>
    </cacheField>
    <cacheField name="device_type" numFmtId="0">
      <sharedItems count="3">
        <s v="Mobile"/>
        <s v="PC"/>
        <s v="Tablet"/>
      </sharedItems>
    </cacheField>
    <cacheField name="order_id" numFmtId="0">
      <sharedItems/>
    </cacheField>
    <cacheField name="x" numFmtId="0">
      <sharedItems containsNonDate="0" containsString="0" containsBlank="1"/>
    </cacheField>
    <cacheField name="ym" numFmtId="0">
      <sharedItems containsSemiMixedTypes="0" containsString="0" containsNumber="1" containsInteger="1" minValue="201901" maxValue="202012" count="24">
        <n v="202002"/>
        <n v="201909"/>
        <n v="201907"/>
        <n v="202004"/>
        <n v="201912"/>
        <n v="202007"/>
        <n v="201902"/>
        <n v="202008"/>
        <n v="202005"/>
        <n v="201901"/>
        <n v="201905"/>
        <n v="202001"/>
        <n v="201908"/>
        <n v="202011"/>
        <n v="201911"/>
        <n v="201906"/>
        <n v="201903"/>
        <n v="202012"/>
        <n v="202006"/>
        <n v="202003"/>
        <n v="201910"/>
        <n v="201904"/>
        <n v="202009"/>
        <n v="202010"/>
      </sharedItems>
    </cacheField>
    <cacheField name="month" numFmtId="0">
      <sharedItems containsSemiMixedTypes="0" containsString="0" containsNumber="1" containsInteger="1" minValue="1" maxValue="12" count="12">
        <n v="2"/>
        <n v="9"/>
        <n v="7"/>
        <n v="4"/>
        <n v="12"/>
        <n v="8"/>
        <n v="5"/>
        <n v="1"/>
        <n v="11"/>
        <n v="6"/>
        <n v="3"/>
        <n v="10"/>
      </sharedItems>
    </cacheField>
    <cacheField name="year" numFmtId="0">
      <sharedItems containsSemiMixedTypes="0" containsString="0" containsNumber="1" containsInteger="1" minValue="2019" maxValue="2020" count="2">
        <n v="2020"/>
        <n v="20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64.993373611112" createdVersion="8" refreshedVersion="8" minRefreshableVersion="3" recordCount="1000" xr:uid="{646C137C-08E5-45F9-B690-8F90AC5CBD15}">
  <cacheSource type="worksheet">
    <worksheetSource ref="A1:O1001" sheet="data"/>
  </cacheSource>
  <cacheFields count="18">
    <cacheField name="country" numFmtId="0">
      <sharedItems count="15">
        <s v="Sweden"/>
        <s v="Finland"/>
        <s v="Portugal"/>
        <s v="Spain"/>
        <s v="UK"/>
        <s v="France"/>
        <s v="Netherlands"/>
        <s v="Belgium"/>
        <s v="Bulgaria"/>
        <s v="Luxembourg"/>
        <s v="Italy"/>
        <s v="Ireland"/>
        <s v="Germany"/>
        <s v="Denmark"/>
        <s v="Austria"/>
      </sharedItems>
    </cacheField>
    <cacheField name=" order_value_EUR " numFmtId="4">
      <sharedItems containsSemiMixedTypes="0" containsString="0" containsNumber="1" minValue="15100.57" maxValue="383996.76"/>
    </cacheField>
    <cacheField name=" cost " numFmtId="0">
      <sharedItems containsSemiMixedTypes="0" containsString="0" containsNumber="1" minValue="12113.68" maxValue="304701.43" count="1000">
        <n v="14122.61"/>
        <n v="92807.78"/>
        <n v="257480.34"/>
        <n v="59752.32"/>
        <n v="146621.76000000001"/>
        <n v="73701.899999999994"/>
        <n v="62245.01"/>
        <n v="126599.15"/>
        <n v="63537.82"/>
        <n v="56043.63"/>
        <n v="120808.16"/>
        <n v="52811.83"/>
        <n v="114790.05"/>
        <n v="132686.74"/>
        <n v="118662.2"/>
        <n v="46102.28"/>
        <n v="91364.06"/>
        <n v="24285.19"/>
        <n v="124193.9"/>
        <n v="134709.28"/>
        <n v="64747.040000000001"/>
        <n v="45101.78"/>
        <n v="14102.75"/>
        <n v="205674.91"/>
        <n v="142975.54999999999"/>
        <n v="41405.519999999997"/>
        <n v="102890.26"/>
        <n v="79702.55"/>
        <n v="84116"/>
        <n v="94270.74"/>
        <n v="31559.759999999998"/>
        <n v="190767.27"/>
        <n v="43757.27"/>
        <n v="97204.33"/>
        <n v="61981.27"/>
        <n v="80342.7"/>
        <n v="24776.45"/>
        <n v="98959.48"/>
        <n v="125117.1"/>
        <n v="146845.04"/>
        <n v="46401.07"/>
        <n v="75367.509999999995"/>
        <n v="24001.759999999998"/>
        <n v="15067.97"/>
        <n v="51414.78"/>
        <n v="103998.35"/>
        <n v="87414"/>
        <n v="82334.649999999994"/>
        <n v="139650.31"/>
        <n v="48914.01"/>
        <n v="68950.100000000006"/>
        <n v="116744.51"/>
        <n v="121241"/>
        <n v="44989.14"/>
        <n v="110436.8"/>
        <n v="36154.39"/>
        <n v="189988.88"/>
        <n v="98127.6"/>
        <n v="66236.67"/>
        <n v="73454.25"/>
        <n v="72000.509999999995"/>
        <n v="32854.25"/>
        <n v="49654.92"/>
        <n v="205415.64"/>
        <n v="47354.92"/>
        <n v="288368.40000000002"/>
        <n v="78067.95"/>
        <n v="34315.97"/>
        <n v="106036.97"/>
        <n v="118345.1"/>
        <n v="233676.49"/>
        <n v="45629.81"/>
        <n v="134268.12"/>
        <n v="85009.46"/>
        <n v="255572.92"/>
        <n v="54733.95"/>
        <n v="19492.62"/>
        <n v="132579.21"/>
        <n v="41103.120000000003"/>
        <n v="109106.13"/>
        <n v="37163.72"/>
        <n v="37039.96"/>
        <n v="91158.6"/>
        <n v="155033.92000000001"/>
        <n v="73767.149999999994"/>
        <n v="72469.740000000005"/>
        <n v="30274.55"/>
        <n v="103684.6"/>
        <n v="94525.24"/>
        <n v="176444.2"/>
        <n v="47121.65"/>
        <n v="116275.1"/>
        <n v="132946.92000000001"/>
        <n v="79068.13"/>
        <n v="91223.06"/>
        <n v="68132.88"/>
        <n v="131543.89000000001"/>
        <n v="60442.51"/>
        <n v="83584.009999999995"/>
        <n v="75318.05"/>
        <n v="112317.21"/>
        <n v="82112.479999999996"/>
        <n v="114388.65"/>
        <n v="38975.1"/>
        <n v="107920.06"/>
        <n v="68454"/>
        <n v="144246.42000000001"/>
        <n v="304701.43"/>
        <n v="48221.3"/>
        <n v="60145.98"/>
        <n v="201468.96"/>
        <n v="25662.45"/>
        <n v="46331.78"/>
        <n v="72391.09"/>
        <n v="84872.4"/>
        <n v="49916.42"/>
        <n v="199152.52"/>
        <n v="59082.91"/>
        <n v="87480.38"/>
        <n v="118927.8"/>
        <n v="123729.81"/>
        <n v="55529.13"/>
        <n v="68010.03"/>
        <n v="31967.360000000001"/>
        <n v="73755.12"/>
        <n v="215695.2"/>
        <n v="24408.080000000002"/>
        <n v="142663.57999999999"/>
        <n v="135696.48000000001"/>
        <n v="30837.919999999998"/>
        <n v="85393.44"/>
        <n v="13743.44"/>
        <n v="32837.589999999997"/>
        <n v="23656.32"/>
        <n v="45031.62"/>
        <n v="60564.91"/>
        <n v="135347.42000000001"/>
        <n v="76195.850000000006"/>
        <n v="40999.94"/>
        <n v="90231.74"/>
        <n v="194951.78"/>
        <n v="114213.68"/>
        <n v="106710.81"/>
        <n v="112267.17"/>
        <n v="120822.85"/>
        <n v="31581.7"/>
        <n v="35356.269999999997"/>
        <n v="141080.04"/>
        <n v="93727.45"/>
        <n v="105113.73"/>
        <n v="259106.43"/>
        <n v="143198.51"/>
        <n v="133990.37"/>
        <n v="43597.77"/>
        <n v="102664.8"/>
        <n v="77171.27"/>
        <n v="98234.71"/>
        <n v="71885.02"/>
        <n v="166748.17000000001"/>
        <n v="139180.1"/>
        <n v="90868.4"/>
        <n v="55902.6"/>
        <n v="17408.61"/>
        <n v="52361.14"/>
        <n v="205605.39"/>
        <n v="130487.51"/>
        <n v="70319.990000000005"/>
        <n v="88594.91"/>
        <n v="36299.97"/>
        <n v="54600.93"/>
        <n v="75839.399999999994"/>
        <n v="101576.49"/>
        <n v="145440.65"/>
        <n v="94822.54"/>
        <n v="63716.09"/>
        <n v="121130.5"/>
        <n v="148877.54"/>
        <n v="130096.08"/>
        <n v="96566.37"/>
        <n v="61330.5"/>
        <n v="85696.39"/>
        <n v="68239.08"/>
        <n v="139125.48000000001"/>
        <n v="76795.960000000006"/>
        <n v="287528.71999999997"/>
        <n v="114691.25"/>
        <n v="156282.15"/>
        <n v="92797.25"/>
        <n v="126572.74"/>
        <n v="75936.7"/>
        <n v="53435.42"/>
        <n v="196544.91"/>
        <n v="177930.69"/>
        <n v="143432.60999999999"/>
        <n v="130624.94"/>
        <n v="97166.07"/>
        <n v="45081.27"/>
        <n v="32591.06"/>
        <n v="92254.34"/>
        <n v="172245.64"/>
        <n v="202250.23999999999"/>
        <n v="45124.19"/>
        <n v="129110.39"/>
        <n v="125401.11"/>
        <n v="44812.86"/>
        <n v="73002.080000000002"/>
        <n v="49416.54"/>
        <n v="132275.84"/>
        <n v="145029.41"/>
        <n v="90341.19"/>
        <n v="21447.97"/>
        <n v="121887.06"/>
        <n v="154975.32999999999"/>
        <n v="52805.48"/>
        <n v="34273.410000000003"/>
        <n v="98289.02"/>
        <n v="112794.83"/>
        <n v="140893.70000000001"/>
        <n v="53049.61"/>
        <n v="117867.62"/>
        <n v="45620.29"/>
        <n v="131067.85"/>
        <n v="72662.210000000006"/>
        <n v="119178.53"/>
        <n v="161233.92000000001"/>
        <n v="26375.35"/>
        <n v="72288.160000000003"/>
        <n v="59773.440000000002"/>
        <n v="82566.039999999994"/>
        <n v="34192.31"/>
        <n v="116046.22"/>
        <n v="218825.43"/>
        <n v="84690.35"/>
        <n v="65536.3"/>
        <n v="149257.23000000001"/>
        <n v="118333.46"/>
        <n v="130494.44"/>
        <n v="112035.07"/>
        <n v="85207.33"/>
        <n v="96719.27"/>
        <n v="221591.86"/>
        <n v="112926.83"/>
        <n v="54635.77"/>
        <n v="28192.66"/>
        <n v="53669.75"/>
        <n v="39387.440000000002"/>
        <n v="142621.4"/>
        <n v="133509.37"/>
        <n v="193587.72"/>
        <n v="97294.97"/>
        <n v="22043.95"/>
        <n v="39244.629999999997"/>
        <n v="133912.4"/>
        <n v="96050.67"/>
        <n v="129643.3"/>
        <n v="38765.82"/>
        <n v="60336.7"/>
        <n v="72309.95"/>
        <n v="60181.33"/>
        <n v="102282.42"/>
        <n v="65326.8"/>
        <n v="113708.2"/>
        <n v="43918.78"/>
        <n v="97470.73"/>
        <n v="63411.83"/>
        <n v="118526.5"/>
        <n v="144999.6"/>
        <n v="86115.05"/>
        <n v="160749.37"/>
        <n v="134423.99"/>
        <n v="43791.97"/>
        <n v="43338.75"/>
        <n v="66116.600000000006"/>
        <n v="98229.37"/>
        <n v="52176.3"/>
        <n v="49379.09"/>
        <n v="69774.19"/>
        <n v="147370.42000000001"/>
        <n v="32781.300000000003"/>
        <n v="58014.63"/>
        <n v="55897.21"/>
        <n v="39788.629999999997"/>
        <n v="219502.46"/>
        <n v="38112.730000000003"/>
        <n v="51269.05"/>
        <n v="183764.34"/>
        <n v="130703.8"/>
        <n v="179426.05"/>
        <n v="48561.56"/>
        <n v="13430.7"/>
        <n v="74490.44"/>
        <n v="138046.17000000001"/>
        <n v="53009.31"/>
        <n v="120566.07"/>
        <n v="106368.19"/>
        <n v="55572.41"/>
        <n v="64500.28"/>
        <n v="65471.86"/>
        <n v="110277.9"/>
        <n v="98954.65"/>
        <n v="120044.69"/>
        <n v="29109.06"/>
        <n v="141449.62"/>
        <n v="177308.61"/>
        <n v="64124.79"/>
        <n v="154936.71"/>
        <n v="84731.8"/>
        <n v="27922.42"/>
        <n v="24658.45"/>
        <n v="31900.28"/>
        <n v="58544.18"/>
        <n v="134757.21"/>
        <n v="41835.949999999997"/>
        <n v="70652.87"/>
        <n v="88151.47"/>
        <n v="122646.33"/>
        <n v="27072.84"/>
        <n v="137527.4"/>
        <n v="64311.64"/>
        <n v="120744.82"/>
        <n v="29424.59"/>
        <n v="63245.29"/>
        <n v="49239.69"/>
        <n v="149834.75"/>
        <n v="44090.96"/>
        <n v="61959.73"/>
        <n v="86694.33"/>
        <n v="123653.67"/>
        <n v="72384.03"/>
        <n v="83281.33"/>
        <n v="239530.86"/>
        <n v="57309.42"/>
        <n v="99997.65"/>
        <n v="98720.53"/>
        <n v="52363.95"/>
        <n v="26593.200000000001"/>
        <n v="71699.59"/>
        <n v="44292.53"/>
        <n v="50690.04"/>
        <n v="217959.37"/>
        <n v="72219.63"/>
        <n v="105441.05"/>
        <n v="131102.96"/>
        <n v="38344.92"/>
        <n v="72464.59"/>
        <n v="83414.92"/>
        <n v="80399.53"/>
        <n v="89917.94"/>
        <n v="48820.47"/>
        <n v="68971.350000000006"/>
        <n v="204507.25"/>
        <n v="139114.10999999999"/>
        <n v="106514.89"/>
        <n v="116257.18"/>
        <n v="50419.38"/>
        <n v="122303.44"/>
        <n v="139413.93"/>
        <n v="140675.25"/>
        <n v="46745.13"/>
        <n v="137568.76999999999"/>
        <n v="64098.31"/>
        <n v="47443.43"/>
        <n v="79127.710000000006"/>
        <n v="95506.96"/>
        <n v="126940.58"/>
        <n v="39208.089999999997"/>
        <n v="104118.5"/>
        <n v="204438.49"/>
        <n v="75504.84"/>
        <n v="99372.32"/>
        <n v="108614.9"/>
        <n v="97218.04"/>
        <n v="97527.65"/>
        <n v="80593.649999999994"/>
        <n v="105709.86"/>
        <n v="23198.53"/>
        <n v="102590.33"/>
        <n v="31304.04"/>
        <n v="116886.15"/>
        <n v="53645.57"/>
        <n v="227950.25"/>
        <n v="270401.71000000002"/>
        <n v="100710.8"/>
        <n v="133979.06"/>
        <n v="52487.39"/>
        <n v="148852.74"/>
        <n v="84217.94"/>
        <n v="146702.99"/>
        <n v="22600.32"/>
        <n v="65894.69"/>
        <n v="69363.81"/>
        <n v="40575.85"/>
        <n v="23517.55"/>
        <n v="86928.03"/>
        <n v="112948.11"/>
        <n v="180455.31"/>
        <n v="38880.67"/>
        <n v="117492.58"/>
        <n v="231514.37"/>
        <n v="108269.2"/>
        <n v="12113.68"/>
        <n v="134148.15"/>
        <n v="52837.14"/>
        <n v="128494.86"/>
        <n v="45589.74"/>
        <n v="138208.53"/>
        <n v="136574.45000000001"/>
        <n v="22339.75"/>
        <n v="115708.14"/>
        <n v="26614.6"/>
        <n v="160031.46"/>
        <n v="33765.089999999997"/>
        <n v="28017.42"/>
        <n v="105800.56"/>
        <n v="130402.89"/>
        <n v="35669.83"/>
        <n v="254079.32"/>
        <n v="48693.55"/>
        <n v="56032.84"/>
        <n v="83379.429999999993"/>
        <n v="86665"/>
        <n v="40739.769999999997"/>
        <n v="81706.95"/>
        <n v="115262.94"/>
        <n v="30579.07"/>
        <n v="39234.949999999997"/>
        <n v="36252.339999999997"/>
        <n v="95190.38"/>
        <n v="199010.01"/>
        <n v="55764.6"/>
        <n v="142665.42000000001"/>
        <n v="35755.54"/>
        <n v="143896.01"/>
        <n v="115325.33"/>
        <n v="108600.06"/>
        <n v="147354.39000000001"/>
        <n v="42040.959999999999"/>
        <n v="136981.35999999999"/>
        <n v="30546.5"/>
        <n v="104692.08"/>
        <n v="42927.03"/>
        <n v="30491.51"/>
        <n v="94336.18"/>
        <n v="131336.73000000001"/>
        <n v="65836.960000000006"/>
        <n v="84128.53"/>
        <n v="113351.32"/>
        <n v="64422.19"/>
        <n v="107012.89"/>
        <n v="56191.95"/>
        <n v="105039.91"/>
        <n v="155079.51"/>
        <n v="80367.88"/>
        <n v="103683.73"/>
        <n v="119193.91"/>
        <n v="147074.76999999999"/>
        <n v="116741.92"/>
        <n v="74916.36"/>
        <n v="117822.61"/>
        <n v="91641.27"/>
        <n v="116764.68"/>
        <n v="91104.81"/>
        <n v="94130.4"/>
        <n v="27475.84"/>
        <n v="108732.98"/>
        <n v="123030.97"/>
        <n v="139923.25"/>
        <n v="117916.94"/>
        <n v="166127.04999999999"/>
        <n v="213104.91"/>
        <n v="139986.9"/>
        <n v="128478.86"/>
        <n v="117658.4"/>
        <n v="54920.21"/>
        <n v="56996.99"/>
        <n v="126453.61"/>
        <n v="53113.45"/>
        <n v="89779.02"/>
        <n v="68148.179999999993"/>
        <n v="113212.32"/>
        <n v="64316.75"/>
        <n v="74089.48"/>
        <n v="40576.89"/>
        <n v="138237.92000000001"/>
        <n v="92119.67"/>
        <n v="111414.1"/>
        <n v="128845.63"/>
        <n v="120277.3"/>
        <n v="100640.7"/>
        <n v="169005.93"/>
        <n v="32368.3"/>
        <n v="46089.06"/>
        <n v="69548.62"/>
        <n v="58759.05"/>
        <n v="93195.76"/>
        <n v="182173.13"/>
        <n v="74584.3"/>
        <n v="139069.04999999999"/>
        <n v="74794.66"/>
        <n v="105231.51"/>
        <n v="52635.24"/>
        <n v="162577.96"/>
        <n v="100284.52"/>
        <n v="127926.09"/>
        <n v="67959.25"/>
        <n v="34757.86"/>
        <n v="100977.16"/>
        <n v="192869.73"/>
        <n v="74400.460000000006"/>
        <n v="80790.929999999993"/>
        <n v="69254.990000000005"/>
        <n v="173029.46"/>
        <n v="85312.4"/>
        <n v="35109.800000000003"/>
        <n v="47756.88"/>
        <n v="114132.43"/>
        <n v="26770.53"/>
        <n v="29339.96"/>
        <n v="32793"/>
        <n v="32001.06"/>
        <n v="149824.04"/>
        <n v="29701.93"/>
        <n v="102656.29"/>
        <n v="206727.65"/>
        <n v="76475.570000000007"/>
        <n v="208757.67"/>
        <n v="175355.45"/>
        <n v="120633.87"/>
        <n v="68446.740000000005"/>
        <n v="17148.18"/>
        <n v="216165.64"/>
        <n v="229656.38"/>
        <n v="77722.25"/>
        <n v="104975.19"/>
        <n v="90588.12"/>
        <n v="52437.52"/>
        <n v="64047.44"/>
        <n v="17938.099999999999"/>
        <n v="129486.79"/>
        <n v="93063.6"/>
        <n v="72889.36"/>
        <n v="84765.87"/>
        <n v="19147.400000000001"/>
        <n v="73264.23"/>
        <n v="31708.77"/>
        <n v="107776.58"/>
        <n v="126114.45"/>
        <n v="113050.41"/>
        <n v="28509.39"/>
        <n v="166116.5"/>
        <n v="59220.98"/>
        <n v="99686.48"/>
        <n v="116111.09"/>
        <n v="78266.759999999995"/>
        <n v="185543.31"/>
        <n v="212058.58"/>
        <n v="108473.39"/>
        <n v="104005.09"/>
        <n v="24970.92"/>
        <n v="78005.440000000002"/>
        <n v="142809.54"/>
        <n v="146049.01"/>
        <n v="93365.45"/>
        <n v="195435.4"/>
        <n v="122258.74"/>
        <n v="264592.51"/>
        <n v="47384.61"/>
        <n v="120416.48"/>
        <n v="48232.79"/>
        <n v="72306.7"/>
        <n v="130878.57"/>
        <n v="111746.92"/>
        <n v="71580.12"/>
        <n v="94546.09"/>
        <n v="45908.75"/>
        <n v="90970.98"/>
        <n v="46785.98"/>
        <n v="245714"/>
        <n v="70548.2"/>
        <n v="27708.06"/>
        <n v="36907.39"/>
        <n v="93940.62"/>
        <n v="103970.49"/>
        <n v="95769.21"/>
        <n v="170181.07"/>
        <n v="27985.24"/>
        <n v="133991.78"/>
        <n v="142433.46"/>
        <n v="63982.11"/>
        <n v="79242.03"/>
        <n v="70811.240000000005"/>
        <n v="34773.980000000003"/>
        <n v="126080.02"/>
        <n v="96700.29"/>
        <n v="77966.600000000006"/>
        <n v="122994.88"/>
        <n v="23719.49"/>
        <n v="131541.23000000001"/>
        <n v="90683.24"/>
        <n v="25457.58"/>
        <n v="20454.77"/>
        <n v="103032.61"/>
        <n v="120117.61"/>
        <n v="106841.93"/>
        <n v="89420.05"/>
        <n v="111850.68"/>
        <n v="62416.53"/>
        <n v="71198.45"/>
        <n v="105981.92"/>
        <n v="63545.63"/>
        <n v="153401.21"/>
        <n v="138872.91"/>
        <n v="199607.15"/>
        <n v="195138.09"/>
        <n v="89441.85"/>
        <n v="75380.53"/>
        <n v="245822.88"/>
        <n v="97476.43"/>
        <n v="43039.53"/>
        <n v="77788.97"/>
        <n v="90868.67"/>
        <n v="118480.04"/>
        <n v="142717.22"/>
        <n v="136895.85999999999"/>
        <n v="16787.150000000001"/>
        <n v="40564.1"/>
        <n v="122260.56"/>
        <n v="163052.82"/>
        <n v="34656.67"/>
        <n v="69479.350000000006"/>
        <n v="56145.21"/>
        <n v="182321.07"/>
        <n v="48876.12"/>
        <n v="84045.65"/>
        <n v="180413.86"/>
        <n v="41480.300000000003"/>
        <n v="67310.55"/>
        <n v="135788.88"/>
        <n v="135567.12"/>
        <n v="97304.51"/>
        <n v="81770.710000000006"/>
        <n v="81191.789999999994"/>
        <n v="64383.42"/>
        <n v="153059.69"/>
        <n v="115056.65"/>
        <n v="18802.21"/>
        <n v="16930.34"/>
        <n v="69405.039999999994"/>
        <n v="32666.65"/>
        <n v="153421.22"/>
        <n v="28748.82"/>
        <n v="29698.03"/>
        <n v="55462.239999999998"/>
        <n v="62951.21"/>
        <n v="123579.2"/>
        <n v="101939.48"/>
        <n v="58421.31"/>
        <n v="180928.27"/>
        <n v="53455.62"/>
        <n v="16469.580000000002"/>
        <n v="108047.95"/>
        <n v="37882.720000000001"/>
        <n v="32985.32"/>
        <n v="37764.5"/>
        <n v="71501.100000000006"/>
        <n v="149866.32999999999"/>
        <n v="73050.69"/>
        <n v="63378.63"/>
        <n v="47688.55"/>
        <n v="86581.39"/>
        <n v="49099.25"/>
        <n v="65535.6"/>
        <n v="143278.31"/>
        <n v="121173.26"/>
        <n v="40749.89"/>
        <n v="31138"/>
        <n v="113019.51"/>
        <n v="47378.05"/>
        <n v="27300.82"/>
        <n v="85176.06"/>
        <n v="95795.520000000004"/>
        <n v="59750.03"/>
        <n v="69967.83"/>
        <n v="45641.17"/>
        <n v="153573.54"/>
        <n v="65587.320000000007"/>
        <n v="75337.649999999994"/>
        <n v="138283.82999999999"/>
        <n v="88395.39"/>
        <n v="44047.22"/>
        <n v="151518.96"/>
        <n v="64721.7"/>
        <n v="89328.35"/>
        <n v="62870.73"/>
        <n v="45716.06"/>
        <n v="58842.86"/>
        <n v="65423.49"/>
        <n v="34255.26"/>
        <n v="93433.69"/>
        <n v="96750.22"/>
        <n v="105386.53"/>
        <n v="132584.56"/>
        <n v="104531.19"/>
        <n v="101762.04"/>
        <n v="57808.91"/>
        <n v="142083.89000000001"/>
        <n v="54250.97"/>
        <n v="166442.60999999999"/>
        <n v="129258.09"/>
        <n v="214105.99"/>
        <n v="64509.47"/>
        <n v="165617.44"/>
        <n v="68918.850000000006"/>
        <n v="64434.02"/>
        <n v="63316.25"/>
        <n v="86568.86"/>
        <n v="149681.47"/>
        <n v="98017.57"/>
        <n v="49967.98"/>
        <n v="65295.54"/>
        <n v="199388.3"/>
        <n v="177637.49"/>
        <n v="140746.53"/>
        <n v="22832.99"/>
        <n v="150739.1"/>
        <n v="108534.21"/>
        <n v="148818.57999999999"/>
        <n v="108988.86"/>
        <n v="42533.18"/>
        <n v="24610.15"/>
        <n v="40174.379999999997"/>
        <n v="39435.11"/>
        <n v="56778.54"/>
        <n v="36244.879999999997"/>
        <n v="100719.02"/>
        <n v="36571.279999999999"/>
        <n v="64227.45"/>
        <n v="38250.74"/>
        <n v="212113.24"/>
        <n v="115194.9"/>
        <n v="132166.6"/>
        <n v="72534.23"/>
        <n v="61604.51"/>
        <n v="106383.36"/>
        <n v="128647.41"/>
        <n v="120172.06"/>
        <n v="104384.7"/>
        <n v="73004.91"/>
        <n v="149816.07"/>
        <n v="95432.73"/>
        <n v="58014.66"/>
        <n v="150324.5"/>
        <n v="47587.73"/>
        <n v="169485.23"/>
        <n v="86710.96"/>
        <n v="98244.97"/>
        <n v="213413.56"/>
        <n v="46308.55"/>
        <n v="56672.3"/>
        <n v="46713.8"/>
        <n v="133195.66"/>
        <n v="16364.25"/>
        <n v="106853.11"/>
        <n v="95746.71"/>
        <n v="110963.17"/>
        <n v="59560.93"/>
        <n v="46583.63"/>
        <n v="101516.45"/>
        <n v="106214.86"/>
        <n v="123611.44"/>
        <n v="81837.05"/>
        <n v="132912.68"/>
        <n v="155807.88"/>
        <n v="78819.89"/>
        <n v="145968.35999999999"/>
        <n v="54040.91"/>
        <n v="79773.600000000006"/>
        <n v="84030.23"/>
        <n v="145952.24"/>
        <n v="61694.59"/>
        <n v="51855.29"/>
        <n v="137398.59"/>
        <n v="122385.7"/>
        <n v="95448.37"/>
        <n v="248275.93"/>
        <n v="92705.4"/>
        <n v="71630"/>
        <n v="97762.23"/>
        <n v="123158.19"/>
        <n v="216155.25"/>
        <n v="109203.84"/>
        <n v="103874.97"/>
        <n v="111593.02"/>
        <n v="139413.92000000001"/>
        <n v="34634.720000000001"/>
        <n v="112140.88"/>
        <n v="44592.6"/>
        <n v="31298.799999999999"/>
        <n v="92791.97"/>
        <n v="39630.17"/>
        <n v="244926.18"/>
        <n v="134178.01999999999"/>
        <n v="93104.94"/>
        <n v="154649.1"/>
        <n v="136818.63"/>
        <n v="218737.35"/>
        <n v="89720.95"/>
        <n v="212449.39"/>
        <n v="46986.31"/>
        <n v="30517.759999999998"/>
        <n v="22450.04"/>
        <n v="98408.48"/>
        <n v="137942.06"/>
        <n v="124035.14"/>
        <n v="75976.42"/>
        <n v="98171.79"/>
        <n v="102217.88"/>
        <n v="167553.15"/>
        <n v="73646.52"/>
        <n v="92106.34"/>
        <n v="99873.91"/>
        <n v="151779.29999999999"/>
        <n v="77806.11"/>
        <n v="115407.48"/>
        <n v="37816.269999999997"/>
        <n v="90759.47"/>
        <n v="54790.27"/>
        <n v="63987.040000000001"/>
        <n v="30847.21"/>
        <n v="115240.03"/>
        <n v="30010.92"/>
        <n v="53237.13"/>
        <n v="135044.88"/>
        <n v="134121.1"/>
        <n v="142690.18"/>
        <n v="84571.17"/>
        <n v="60731.82"/>
        <n v="104585.25"/>
        <n v="33352.449999999997"/>
        <n v="123136.25"/>
        <n v="23958.35"/>
        <n v="115101.7"/>
        <n v="87261.49"/>
        <n v="42316.82"/>
        <n v="81854.259999999995"/>
        <n v="68536.570000000007"/>
        <n v="92470.16"/>
        <n v="34458.559999999998"/>
        <n v="135739.64000000001"/>
        <n v="100691.37"/>
        <n v="53919.79"/>
        <n v="43443.8"/>
        <n v="261730.24"/>
        <n v="76519.12"/>
        <n v="122399.66"/>
        <n v="54671.71"/>
        <n v="69604.58"/>
        <n v="60077.279999999999"/>
        <n v="53920.06"/>
        <n v="41180.160000000003"/>
        <n v="63936.160000000003"/>
        <n v="64532.01"/>
        <n v="137390.82999999999"/>
        <n v="131529"/>
        <n v="15857.49"/>
        <n v="37317.360000000001"/>
        <n v="130614.75"/>
        <n v="211446.46"/>
        <n v="135376.85999999999"/>
        <n v="214142.55"/>
        <n v="91430.07"/>
        <n v="50041.41"/>
        <n v="64992.53"/>
        <n v="59108.62"/>
        <n v="103024.52"/>
        <n v="67415.210000000006"/>
        <n v="105881.76"/>
        <n v="135965.82999999999"/>
        <n v="89853.52"/>
        <n v="49223.22"/>
        <n v="130087.64"/>
        <n v="110924.13"/>
        <n v="23938.799999999999"/>
        <n v="144985.56"/>
        <n v="122303.08"/>
        <n v="46905.19"/>
        <n v="66568.740000000005"/>
        <n v="123710.97"/>
        <n v="71329.600000000006"/>
        <n v="56754.720000000001"/>
        <n v="83208.679999999993"/>
        <n v="77572.710000000006"/>
        <n v="84761.75"/>
        <n v="126360.36"/>
        <n v="72540.66"/>
        <n v="26800.66"/>
        <n v="32508.07"/>
        <n v="73979.210000000006"/>
        <n v="33113.15"/>
        <n v="75569.649999999994"/>
        <n v="30101.52"/>
        <n v="158970.75"/>
        <n v="89503.91"/>
        <n v="23924.959999999999"/>
        <n v="80793.31"/>
        <n v="217269.5"/>
        <n v="136037.76000000001"/>
        <n v="38987.32"/>
        <n v="133307"/>
        <n v="30412.799999999999"/>
        <n v="103042.66"/>
        <n v="21168.53"/>
        <n v="148063.76"/>
        <n v="65819.64"/>
        <n v="57295.56"/>
        <n v="215326.95"/>
        <n v="48783.4"/>
        <n v="62714.74"/>
        <n v="86770.57"/>
        <n v="48976.959999999999"/>
        <n v="59166.13"/>
        <n v="64811.199999999997"/>
        <n v="142273.54999999999"/>
        <n v="154734.75"/>
        <n v="172014.71"/>
        <n v="31954.18"/>
        <n v="136620.39000000001"/>
        <n v="145688.38"/>
        <n v="175344.16"/>
        <n v="201848.41"/>
        <n v="16543.93"/>
        <n v="130611.16"/>
        <n v="22454.05"/>
        <n v="54238.92"/>
        <n v="56883.62"/>
        <n v="35802.68"/>
        <n v="136562.9"/>
        <n v="138102.04"/>
        <n v="96030.18"/>
        <n v="48076.46"/>
        <n v="63359.4"/>
        <n v="56439.28"/>
        <n v="61617.41"/>
        <n v="115372.45"/>
        <n v="117806.48"/>
        <n v="49324.23"/>
        <n v="47663.92"/>
        <n v="67161.070000000007"/>
        <n v="80700.2"/>
        <n v="35480.85"/>
        <n v="81395.75"/>
        <n v="97897.22"/>
        <n v="72488.100000000006"/>
        <n v="179100.09"/>
        <n v="28397.39"/>
        <n v="65474.27"/>
        <n v="39116.870000000003"/>
        <n v="150383.32"/>
        <n v="139729.59"/>
        <n v="146859.34"/>
        <n v="106147.69"/>
        <n v="130605.38"/>
        <n v="102927.16"/>
        <n v="26743.9"/>
        <n v="87285.43"/>
        <n v="105033.28"/>
        <n v="46993.23"/>
        <n v="60448.34"/>
        <n v="76548.34"/>
        <n v="234444.72"/>
        <n v="209799.15"/>
        <n v="100027.6"/>
        <n v="77498.23"/>
        <n v="137419.74"/>
        <n v="65806.03"/>
        <n v="69559.73"/>
        <n v="105366.29"/>
        <n v="75669.259999999995"/>
        <n v="103777.39"/>
        <n v="52736.58"/>
        <n v="86657.9"/>
        <n v="106406.98"/>
        <n v="187446.59"/>
        <n v="51715.23"/>
        <n v="88066.99"/>
        <n v="78533.14"/>
        <n v="191439.74"/>
        <n v="60145.55"/>
        <n v="46255.76"/>
        <n v="136561.32999999999"/>
        <n v="76899.3"/>
        <n v="69011.3"/>
        <n v="109310.55"/>
        <n v="123230.39999999999"/>
        <n v="47711.57"/>
        <n v="40319.410000000003"/>
        <n v="101131.1"/>
        <n v="60023.88"/>
        <n v="69171.009999999995"/>
        <n v="86679.64"/>
      </sharedItems>
    </cacheField>
    <cacheField name="date" numFmtId="14">
      <sharedItems containsSemiMixedTypes="0" containsNonDate="0" containsDate="1" containsString="0" minDate="2019-01-02T00:00:00" maxDate="2020-12-31T00:00:00"/>
    </cacheField>
    <cacheField name="category" numFmtId="0">
      <sharedItems count="10">
        <s v="Books"/>
        <s v="Games"/>
        <s v="Clothing"/>
        <s v="Beauty"/>
        <s v="Accessories"/>
        <s v="Appliances"/>
        <s v="Smartphones"/>
        <s v="Outdoors"/>
        <s v="Electronics"/>
        <s v="Other"/>
      </sharedItems>
    </cacheField>
    <cacheField name="customer_name" numFmtId="0">
      <sharedItems count="75">
        <s v="Goldner-Dibbert"/>
        <s v="Hilll-Vandervort"/>
        <s v="Larkin-Collier"/>
        <s v="Hessel-Stiedemann"/>
        <s v="Johns and Sons"/>
        <s v="Farrell, Swaniawski and Crist"/>
        <s v="Schoen-Keeling"/>
        <s v="Hermiston, Simonis and Wisoky"/>
        <s v="Gislason-Stanton"/>
        <s v="Swaniawski, Runolfsson and Green"/>
        <s v="Wisoky Inc"/>
        <s v="Tillman and Sons"/>
        <s v="Rowe, Hermiston and Kessler"/>
        <s v="Stamm Inc"/>
        <s v="Romaguera-Dietrich"/>
        <s v="Franecki-White"/>
        <s v="Jacobson, Marvin and Brown"/>
        <s v="Armstrong-Little"/>
        <s v="Murray, Reichel and Nolan"/>
        <s v="Considine-Fisher"/>
        <s v="Kirlin and Sons"/>
        <s v="Friesen-Rath"/>
        <s v="Keeling, Monahan and Pollich"/>
        <s v="Dibbert Inc"/>
        <s v="Labadie and Sons"/>
        <s v="Wiza and Sons"/>
        <s v="Schmitt, Purdy and Johnson"/>
        <s v="Hamill, Kulas and Roob"/>
        <s v="Fisher, Morar and Skiles"/>
        <s v="McGlynn-Bergstrom"/>
        <s v="Spencer, Rogahn and Muller"/>
        <s v="Wunsch LLC"/>
        <s v="Walter LLC"/>
        <s v="Christiansen, Donnelly and Bechtelar"/>
        <s v="Altenwerth-Konopelski"/>
        <s v="Hegmann Group"/>
        <s v="Leffler, Prohaska and Streich"/>
        <s v="Smith Group"/>
        <s v="Zieme, Bailey and Herzog"/>
        <s v="Bashirian, Okuneva and Bechtelar"/>
        <s v="McGlynn-Prosacco"/>
        <s v="O'Connell-Mitchell"/>
        <s v="West-Cummings"/>
        <s v="Shanahan, Schaden and Parker"/>
        <s v="Lubowitz, McLaughlin and Erdman"/>
        <s v="Rath-Schroeder"/>
        <s v="Dickinson, Hyatt and Berge"/>
        <s v="McClure Inc"/>
        <s v="Hane Inc"/>
        <s v="Kihn Inc"/>
        <s v="Schowalter, Lesch and Beahan"/>
        <s v="Corwin and Sons"/>
        <s v="Lueilwitz, Kerluke and Lesch"/>
        <s v="Morissette Group"/>
        <s v="Tromp LLC"/>
        <s v="Marquardt-Kuvalis"/>
        <s v="Romaguera-Haley"/>
        <s v="Konopelski LLC"/>
        <s v="Stehr LLC"/>
        <s v="Parisian, Steuber and Satterfield"/>
        <s v="Homenick-Marvin"/>
        <s v="Friesen and Sons"/>
        <s v="Stehr-Bogan"/>
        <s v="Connelly-Mohr"/>
        <s v="Hartmann, Hane and Pfannerstill"/>
        <s v="Gleichner-Green"/>
        <s v="Baumbach Group"/>
        <s v="Wyman Group"/>
        <s v="Stamm-Zulauf"/>
        <s v="Gorczany-Lehner"/>
        <s v="Schuster Inc"/>
        <s v="Heaney, Gulgowski and Kshlerin"/>
        <s v="Littel-Blick"/>
        <s v="Abbott, Roberts and Torp"/>
        <s v="Lind, Mueller and Stoltenberg"/>
      </sharedItems>
    </cacheField>
    <cacheField name="sales_manager" numFmtId="0">
      <sharedItems count="15">
        <s v="Maxie Marrow"/>
        <s v="Hube Corey"/>
        <s v="Celine Tumasian"/>
        <s v="Emalia Dinse"/>
        <s v="Jessamine Apark"/>
        <s v="Othello Bowes"/>
        <s v="Denice Amberg"/>
        <s v="Lambert Norheny"/>
        <s v="Charil Alpe"/>
        <s v="Ilsa Kob"/>
        <s v="Piggy Roscrigg"/>
        <s v="Glenine Suttaby"/>
        <s v="Rickard Doogood"/>
        <s v="Modestia Byfford"/>
        <s v="Orsa Geekin"/>
      </sharedItems>
    </cacheField>
    <cacheField name="sales_rep" numFmtId="0">
      <sharedItems count="35">
        <s v="Madelon Bront"/>
        <s v="Wat Bowkley"/>
        <s v="Smitty Culverhouse"/>
        <s v="Aurelie Wren"/>
        <s v="Bertha Walbrook"/>
        <s v="Perri Aldersley"/>
        <s v="Winny Agnolo"/>
        <s v="Maighdiln Upcraft"/>
        <s v="Genevra Charrisson"/>
        <s v="Anita Woakes"/>
        <s v="Amelina Piscopiello"/>
        <s v="Jay Morefield"/>
        <s v="Corene Shirer"/>
        <s v="Alyosha Meah"/>
        <s v="Nero Harbisher"/>
        <s v="Hortense Gerring"/>
        <s v="Collin Mackness"/>
        <s v="Shermy McGready"/>
        <s v="Jocelyn Laurentino"/>
        <s v="Caro Morfield"/>
        <s v="Crysta Halls"/>
        <s v="Ora Grennan"/>
        <s v="Joshua Prevost"/>
        <s v="Avrit Chanders"/>
        <s v="Bernadine Fullagar"/>
        <s v="Tarrah Castelletti"/>
        <s v="Bunnie Tonbridge"/>
        <s v="Palm Wetherald"/>
        <s v="Casie MacBain"/>
        <s v="Brynn Dempster"/>
        <s v="Case Desorts"/>
        <s v="Mellicent Mattys"/>
        <s v="Bank Coumbe"/>
        <s v="Manuel Goudie"/>
        <s v="Cobby Andersen"/>
      </sharedItems>
    </cacheField>
    <cacheField name="device_type" numFmtId="0">
      <sharedItems count="3">
        <s v="Mobile"/>
        <s v="PC"/>
        <s v="Tablet"/>
      </sharedItems>
    </cacheField>
    <cacheField name="order_id" numFmtId="0">
      <sharedItems/>
    </cacheField>
    <cacheField name="x" numFmtId="0">
      <sharedItems containsNonDate="0" containsString="0" containsBlank="1"/>
    </cacheField>
    <cacheField name="ym" numFmtId="0">
      <sharedItems containsSemiMixedTypes="0" containsString="0" containsNumber="1" containsInteger="1" minValue="201901" maxValue="202012"/>
    </cacheField>
    <cacheField name="month" numFmtId="0">
      <sharedItems containsSemiMixedTypes="0" containsString="0" containsNumber="1" containsInteger="1" minValue="1" maxValue="12" count="12">
        <n v="2"/>
        <n v="9"/>
        <n v="7"/>
        <n v="4"/>
        <n v="12"/>
        <n v="8"/>
        <n v="5"/>
        <n v="1"/>
        <n v="11"/>
        <n v="6"/>
        <n v="3"/>
        <n v="10"/>
      </sharedItems>
    </cacheField>
    <cacheField name="year" numFmtId="0">
      <sharedItems containsSemiMixedTypes="0" containsString="0" containsNumber="1" containsInteger="1" minValue="2019" maxValue="2020" count="2">
        <n v="2020"/>
        <n v="2019"/>
      </sharedItems>
    </cacheField>
    <cacheField name="month_name" numFmtId="0">
      <sharedItems count="12">
        <s v="Feb"/>
        <s v="Sep"/>
        <s v="Jul"/>
        <s v="Apr"/>
        <s v="Dec"/>
        <s v="Aug"/>
        <s v="May"/>
        <s v="Jan"/>
        <s v="Nov"/>
        <s v="Jun"/>
        <s v="Mar"/>
        <s v="Oct"/>
      </sharedItems>
    </cacheField>
    <cacheField name="GP" numFmtId="0" formula="' order_value_EUR '-' cost '" databaseField="0"/>
    <cacheField name="Profit" numFmtId="0" formula="' order_value_EUR '-' cost '" databaseField="0"/>
    <cacheField name="GPM" numFmtId="0" formula="Profit/' order_value_EUR 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66.906681250002" createdVersion="8" refreshedVersion="8" minRefreshableVersion="3" recordCount="1000" xr:uid="{E5259D70-22D1-4C91-8518-42D2852918A7}">
  <cacheSource type="worksheet">
    <worksheetSource ref="A1:P1001" sheet="data"/>
  </cacheSource>
  <cacheFields count="19">
    <cacheField name="country" numFmtId="0">
      <sharedItems count="15">
        <s v="Sweden"/>
        <s v="Finland"/>
        <s v="Portugal"/>
        <s v="Spain"/>
        <s v="UK"/>
        <s v="France"/>
        <s v="Netherlands"/>
        <s v="Belgium"/>
        <s v="Bulgaria"/>
        <s v="Luxembourg"/>
        <s v="Italy"/>
        <s v="Ireland"/>
        <s v="Germany"/>
        <s v="Denmark"/>
        <s v="Austria"/>
      </sharedItems>
    </cacheField>
    <cacheField name="order_value_EUR " numFmtId="4">
      <sharedItems containsSemiMixedTypes="0" containsString="0" containsNumber="1" minValue="15100.57" maxValue="383996.76"/>
    </cacheField>
    <cacheField name=" cost " numFmtId="0">
      <sharedItems containsSemiMixedTypes="0" containsString="0" containsNumber="1" minValue="12113.68" maxValue="304701.43"/>
    </cacheField>
    <cacheField name="date" numFmtId="14">
      <sharedItems containsSemiMixedTypes="0" containsNonDate="0" containsDate="1" containsString="0" minDate="2019-01-02T00:00:00" maxDate="2020-12-31T00:00:00"/>
    </cacheField>
    <cacheField name="category" numFmtId="0">
      <sharedItems count="10">
        <s v="Books"/>
        <s v="Games"/>
        <s v="Clothing"/>
        <s v="Beauty"/>
        <s v="Accessories"/>
        <s v="Appliances"/>
        <s v="Smartphones"/>
        <s v="Outdoors"/>
        <s v="Electronics"/>
        <s v="Other"/>
      </sharedItems>
    </cacheField>
    <cacheField name="customer_name" numFmtId="0">
      <sharedItems count="75">
        <s v="Goldner-Dibbert"/>
        <s v="Hilll-Vandervort"/>
        <s v="Larkin-Collier"/>
        <s v="Hessel-Stiedemann"/>
        <s v="Johns and Sons"/>
        <s v="Farrell, Swaniawski and Crist"/>
        <s v="Schoen-Keeling"/>
        <s v="Hermiston, Simonis and Wisoky"/>
        <s v="Gislason-Stanton"/>
        <s v="Swaniawski, Runolfsson and Green"/>
        <s v="Wisoky Inc"/>
        <s v="Tillman and Sons"/>
        <s v="Rowe, Hermiston and Kessler"/>
        <s v="Stamm Inc"/>
        <s v="Romaguera-Dietrich"/>
        <s v="Franecki-White"/>
        <s v="Jacobson, Marvin and Brown"/>
        <s v="Armstrong-Little"/>
        <s v="Murray, Reichel and Nolan"/>
        <s v="Considine-Fisher"/>
        <s v="Kirlin and Sons"/>
        <s v="Friesen-Rath"/>
        <s v="Keeling, Monahan and Pollich"/>
        <s v="Dibbert Inc"/>
        <s v="Labadie and Sons"/>
        <s v="Wiza and Sons"/>
        <s v="Schmitt, Purdy and Johnson"/>
        <s v="Hamill, Kulas and Roob"/>
        <s v="Fisher, Morar and Skiles"/>
        <s v="McGlynn-Bergstrom"/>
        <s v="Spencer, Rogahn and Muller"/>
        <s v="Wunsch LLC"/>
        <s v="Walter LLC"/>
        <s v="Christiansen, Donnelly and Bechtelar"/>
        <s v="Altenwerth-Konopelski"/>
        <s v="Hegmann Group"/>
        <s v="Leffler, Prohaska and Streich"/>
        <s v="Smith Group"/>
        <s v="Zieme, Bailey and Herzog"/>
        <s v="Bashirian, Okuneva and Bechtelar"/>
        <s v="McGlynn-Prosacco"/>
        <s v="O'Connell-Mitchell"/>
        <s v="West-Cummings"/>
        <s v="Shanahan, Schaden and Parker"/>
        <s v="Lubowitz, McLaughlin and Erdman"/>
        <s v="Rath-Schroeder"/>
        <s v="Dickinson, Hyatt and Berge"/>
        <s v="McClure Inc"/>
        <s v="Hane Inc"/>
        <s v="Kihn Inc"/>
        <s v="Schowalter, Lesch and Beahan"/>
        <s v="Corwin and Sons"/>
        <s v="Lueilwitz, Kerluke and Lesch"/>
        <s v="Morissette Group"/>
        <s v="Tromp LLC"/>
        <s v="Marquardt-Kuvalis"/>
        <s v="Romaguera-Haley"/>
        <s v="Konopelski LLC"/>
        <s v="Stehr LLC"/>
        <s v="Parisian, Steuber and Satterfield"/>
        <s v="Homenick-Marvin"/>
        <s v="Friesen and Sons"/>
        <s v="Stehr-Bogan"/>
        <s v="Connelly-Mohr"/>
        <s v="Hartmann, Hane and Pfannerstill"/>
        <s v="Gleichner-Green"/>
        <s v="Baumbach Group"/>
        <s v="Wyman Group"/>
        <s v="Stamm-Zulauf"/>
        <s v="Gorczany-Lehner"/>
        <s v="Schuster Inc"/>
        <s v="Heaney, Gulgowski and Kshlerin"/>
        <s v="Littel-Blick"/>
        <s v="Abbott, Roberts and Torp"/>
        <s v="Lind, Mueller and Stoltenberg"/>
      </sharedItems>
    </cacheField>
    <cacheField name="sales_manager" numFmtId="0">
      <sharedItems count="15">
        <s v="Maxie Marrow"/>
        <s v="Hube Corey"/>
        <s v="Celine Tumasian"/>
        <s v="Emalia Dinse"/>
        <s v="Jessamine Apark"/>
        <s v="Othello Bowes"/>
        <s v="Denice Amberg"/>
        <s v="Lambert Norheny"/>
        <s v="Charil Alpe"/>
        <s v="Ilsa Kob"/>
        <s v="Piggy Roscrigg"/>
        <s v="Glenine Suttaby"/>
        <s v="Rickard Doogood"/>
        <s v="Modestia Byfford"/>
        <s v="Orsa Geekin"/>
      </sharedItems>
    </cacheField>
    <cacheField name="sales_rep" numFmtId="0">
      <sharedItems count="35">
        <s v="Madelon Bront"/>
        <s v="Wat Bowkley"/>
        <s v="Smitty Culverhouse"/>
        <s v="Aurelie Wren"/>
        <s v="Bertha Walbrook"/>
        <s v="Perri Aldersley"/>
        <s v="Winny Agnolo"/>
        <s v="Maighdiln Upcraft"/>
        <s v="Genevra Charrisson"/>
        <s v="Anita Woakes"/>
        <s v="Amelina Piscopiello"/>
        <s v="Jay Morefield"/>
        <s v="Corene Shirer"/>
        <s v="Alyosha Meah"/>
        <s v="Nero Harbisher"/>
        <s v="Hortense Gerring"/>
        <s v="Collin Mackness"/>
        <s v="Shermy McGready"/>
        <s v="Jocelyn Laurentino"/>
        <s v="Caro Morfield"/>
        <s v="Crysta Halls"/>
        <s v="Ora Grennan"/>
        <s v="Joshua Prevost"/>
        <s v="Avrit Chanders"/>
        <s v="Bernadine Fullagar"/>
        <s v="Tarrah Castelletti"/>
        <s v="Bunnie Tonbridge"/>
        <s v="Palm Wetherald"/>
        <s v="Casie MacBain"/>
        <s v="Brynn Dempster"/>
        <s v="Case Desorts"/>
        <s v="Mellicent Mattys"/>
        <s v="Bank Coumbe"/>
        <s v="Manuel Goudie"/>
        <s v="Cobby Andersen"/>
      </sharedItems>
    </cacheField>
    <cacheField name="device_type" numFmtId="0">
      <sharedItems/>
    </cacheField>
    <cacheField name="order_id" numFmtId="0">
      <sharedItems/>
    </cacheField>
    <cacheField name="x" numFmtId="0">
      <sharedItems containsNonDate="0" containsString="0" containsBlank="1"/>
    </cacheField>
    <cacheField name="ym" numFmtId="0">
      <sharedItems containsSemiMixedTypes="0" containsString="0" containsNumber="1" containsInteger="1" minValue="201901" maxValue="202012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19" maxValue="2020" count="2">
        <n v="2020"/>
        <n v="2019"/>
      </sharedItems>
    </cacheField>
    <cacheField name="month_name" numFmtId="0">
      <sharedItems count="12">
        <s v="Feb"/>
        <s v="Sep"/>
        <s v="Jul"/>
        <s v="Apr"/>
        <s v="Dec"/>
        <s v="Aug"/>
        <s v="May"/>
        <s v="Jan"/>
        <s v="Nov"/>
        <s v="Jun"/>
        <s v="Mar"/>
        <s v="Oct"/>
      </sharedItems>
    </cacheField>
    <cacheField name="Diff" numFmtId="0">
      <sharedItems containsSemiMixedTypes="0" containsString="0" containsNumber="1" minValue="-383996.76" maxValue="353925.06"/>
    </cacheField>
    <cacheField name="GP" numFmtId="0" formula="#NAME?-' cost '" databaseField="0"/>
    <cacheField name="Profit" numFmtId="0" formula="#NAME?-' cost '" databaseField="0"/>
    <cacheField name="GPM" numFmtId="0" formula="Profit/#NAME?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weden"/>
    <n v="17524.02"/>
    <n v="14122.61"/>
    <x v="0"/>
    <s v="Books"/>
    <s v="Goldner-Dibbert"/>
    <x v="0"/>
    <s v="Madelon Bront"/>
    <s v="Mobile"/>
    <s v="70-0511466"/>
  </r>
  <r>
    <s v="Finland"/>
    <n v="116563.4"/>
    <n v="92807.78"/>
    <x v="1"/>
    <s v="Games"/>
    <s v="Hilll-Vandervort"/>
    <x v="1"/>
    <s v="Wat Bowkley"/>
    <s v="Mobile"/>
    <s v="28-6585323"/>
  </r>
  <r>
    <s v="Portugal"/>
    <n v="296465.56"/>
    <n v="257480.34"/>
    <x v="2"/>
    <s v="Clothing"/>
    <s v="Larkin-Collier"/>
    <x v="2"/>
    <s v="Smitty Culverhouse"/>
    <s v="PC"/>
    <s v="58-7703341"/>
  </r>
  <r>
    <s v="Portugal"/>
    <n v="74532.02"/>
    <n v="59752.32"/>
    <x v="3"/>
    <s v="Beauty"/>
    <s v="Hessel-Stiedemann"/>
    <x v="2"/>
    <s v="Aurelie Wren"/>
    <s v="PC"/>
    <s v="14-6700183"/>
  </r>
  <r>
    <s v="Spain"/>
    <n v="178763.42"/>
    <n v="146621.76000000001"/>
    <x v="4"/>
    <s v="Games"/>
    <s v="Johns and Sons"/>
    <x v="3"/>
    <s v="Bertha Walbrook"/>
    <s v="Tablet"/>
    <s v="15-8765160"/>
  </r>
  <r>
    <s v="Spain"/>
    <n v="84900.24"/>
    <n v="73701.899999999994"/>
    <x v="5"/>
    <s v="Clothing"/>
    <s v="Farrell, Swaniawski and Crist"/>
    <x v="3"/>
    <s v="Perri Aldersley"/>
    <s v="PC"/>
    <s v="60-6998932"/>
  </r>
  <r>
    <s v="Portugal"/>
    <n v="71620.08"/>
    <n v="62245.01"/>
    <x v="6"/>
    <s v="Books"/>
    <s v="Schoen-Keeling"/>
    <x v="2"/>
    <s v="Smitty Culverhouse"/>
    <s v="PC"/>
    <s v="69-6259390"/>
  </r>
  <r>
    <s v="UK"/>
    <n v="156585.22"/>
    <n v="126599.15"/>
    <x v="7"/>
    <s v="Accessories"/>
    <s v="Hermiston, Simonis and Wisoky"/>
    <x v="4"/>
    <s v="Winny Agnolo"/>
    <s v="PC"/>
    <s v="64-5761908"/>
  </r>
  <r>
    <s v="Portugal"/>
    <n v="78461.13"/>
    <n v="63537.82"/>
    <x v="8"/>
    <s v="Appliances"/>
    <s v="Hessel-Stiedemann"/>
    <x v="2"/>
    <s v="Smitty Culverhouse"/>
    <s v="Mobile"/>
    <s v="91-4126746"/>
  </r>
  <r>
    <s v="France"/>
    <n v="64827.8"/>
    <n v="56043.63"/>
    <x v="9"/>
    <s v="Appliances"/>
    <s v="Gislason-Stanton"/>
    <x v="5"/>
    <s v="Maighdiln Upcraft"/>
    <s v="PC"/>
    <s v="62-3312495"/>
  </r>
  <r>
    <s v="Sweden"/>
    <n v="142664.34"/>
    <n v="120808.16"/>
    <x v="10"/>
    <s v="Appliances"/>
    <s v="Swaniawski, Runolfsson and Green"/>
    <x v="0"/>
    <s v="Madelon Bront"/>
    <s v="PC"/>
    <s v="85-6625096"/>
  </r>
  <r>
    <s v="UK"/>
    <n v="66673.19"/>
    <n v="52811.83"/>
    <x v="11"/>
    <s v="Smartphones"/>
    <s v="Gislason-Stanton"/>
    <x v="4"/>
    <s v="Winny Agnolo"/>
    <s v="PC"/>
    <s v="25-6368157"/>
  </r>
  <r>
    <s v="Portugal"/>
    <n v="136915.60999999999"/>
    <n v="114790.05"/>
    <x v="12"/>
    <s v="Outdoors"/>
    <s v="Hessel-Stiedemann"/>
    <x v="2"/>
    <s v="Aurelie Wren"/>
    <s v="Tablet"/>
    <s v="15-3943365"/>
  </r>
  <r>
    <s v="UK"/>
    <n v="164971.70000000001"/>
    <n v="132686.74"/>
    <x v="13"/>
    <s v="Accessories"/>
    <s v="Wisoky Inc"/>
    <x v="4"/>
    <s v="Winny Agnolo"/>
    <s v="PC"/>
    <s v="32-3534634"/>
  </r>
  <r>
    <s v="UK"/>
    <n v="149486.26999999999"/>
    <n v="118662.2"/>
    <x v="14"/>
    <s v="Beauty"/>
    <s v="Johns and Sons"/>
    <x v="4"/>
    <s v="Genevra Charrisson"/>
    <s v="PC"/>
    <s v="02-3972649"/>
  </r>
  <r>
    <s v="Sweden"/>
    <n v="54078.92"/>
    <n v="46102.28"/>
    <x v="15"/>
    <s v="Books"/>
    <s v="Tillman and Sons"/>
    <x v="0"/>
    <s v="Anita Woakes"/>
    <s v="PC"/>
    <s v="08-7576451"/>
  </r>
  <r>
    <s v="France"/>
    <n v="107499.78"/>
    <n v="91364.06"/>
    <x v="16"/>
    <s v="Smartphones"/>
    <s v="Rowe, Hermiston and Kessler"/>
    <x v="5"/>
    <s v="Amelina Piscopiello"/>
    <s v="PC"/>
    <s v="68-3583935"/>
  </r>
  <r>
    <s v="UK"/>
    <n v="29493.79"/>
    <n v="24285.19"/>
    <x v="17"/>
    <s v="Games"/>
    <s v="Tillman and Sons"/>
    <x v="4"/>
    <s v="Jay Morefield"/>
    <s v="PC"/>
    <s v="53-7769693"/>
  </r>
  <r>
    <s v="Portugal"/>
    <n v="147656.51999999999"/>
    <n v="124193.9"/>
    <x v="18"/>
    <s v="Smartphones"/>
    <s v="Goldner-Dibbert"/>
    <x v="2"/>
    <s v="Corene Shirer"/>
    <s v="PC"/>
    <s v="85-4732103"/>
  </r>
  <r>
    <s v="Portugal"/>
    <n v="156839.31"/>
    <n v="134709.28"/>
    <x v="19"/>
    <s v="Smartphones"/>
    <s v="Stamm Inc"/>
    <x v="2"/>
    <s v="Corene Shirer"/>
    <s v="PC"/>
    <s v="27-9800293"/>
  </r>
  <r>
    <s v="Spain"/>
    <n v="81412.100000000006"/>
    <n v="64747.040000000001"/>
    <x v="20"/>
    <s v="Electronics"/>
    <s v="Johns and Sons"/>
    <x v="3"/>
    <s v="Bertha Walbrook"/>
    <s v="PC"/>
    <s v="67-3929836"/>
  </r>
  <r>
    <s v="Sweden"/>
    <n v="56717.53"/>
    <n v="45101.78"/>
    <x v="21"/>
    <s v="Clothing"/>
    <s v="Johns and Sons"/>
    <x v="0"/>
    <s v="Alyosha Meah"/>
    <s v="PC"/>
    <s v="13-0526029"/>
  </r>
  <r>
    <s v="Netherlands"/>
    <n v="17028.189999999999"/>
    <n v="14102.75"/>
    <x v="22"/>
    <s v="Clothing"/>
    <s v="Johns and Sons"/>
    <x v="6"/>
    <s v="Nero Harbisher"/>
    <s v="PC"/>
    <s v="38-5910704"/>
  </r>
  <r>
    <s v="Finland"/>
    <n v="236462.3"/>
    <n v="205674.91"/>
    <x v="23"/>
    <s v="Clothing"/>
    <s v="Hessel-Stiedemann"/>
    <x v="1"/>
    <s v="Wat Bowkley"/>
    <s v="PC"/>
    <s v="41-6407014"/>
  </r>
  <r>
    <s v="Portugal"/>
    <n v="172989.17"/>
    <n v="142975.54999999999"/>
    <x v="24"/>
    <s v="Beauty"/>
    <s v="Romaguera-Dietrich"/>
    <x v="2"/>
    <s v="Hortense Gerring"/>
    <s v="PC"/>
    <s v="22-6745595"/>
  </r>
  <r>
    <s v="Sweden"/>
    <n v="48179.57"/>
    <n v="41405.519999999997"/>
    <x v="25"/>
    <s v="Books"/>
    <s v="Franecki-White"/>
    <x v="0"/>
    <s v="Anita Woakes"/>
    <s v="PC"/>
    <s v="96-3022721"/>
  </r>
  <r>
    <s v="Portugal"/>
    <n v="121318.55"/>
    <n v="102890.26"/>
    <x v="26"/>
    <s v="Electronics"/>
    <s v="Jacobson, Marvin and Brown"/>
    <x v="2"/>
    <s v="Aurelie Wren"/>
    <s v="Tablet"/>
    <s v="48-0713329"/>
  </r>
  <r>
    <s v="Belgium"/>
    <n v="93153.98"/>
    <n v="79702.55"/>
    <x v="27"/>
    <s v="Appliances"/>
    <s v="Armstrong-Little"/>
    <x v="7"/>
    <s v="Collin Mackness"/>
    <s v="Mobile"/>
    <s v="50-0942872"/>
  </r>
  <r>
    <s v="Bulgaria"/>
    <n v="98289.32"/>
    <n v="84116"/>
    <x v="28"/>
    <s v="Appliances"/>
    <s v="Murray, Reichel and Nolan"/>
    <x v="8"/>
    <s v="Shermy McGready"/>
    <s v="PC"/>
    <s v="78-2307905"/>
  </r>
  <r>
    <s v="Luxembourg"/>
    <n v="108920.56"/>
    <n v="94270.74"/>
    <x v="29"/>
    <s v="Books"/>
    <s v="Swaniawski, Runolfsson and Green"/>
    <x v="9"/>
    <s v="Jocelyn Laurentino"/>
    <s v="PC"/>
    <s v="63-0019978"/>
  </r>
  <r>
    <s v="Portugal"/>
    <n v="37273.839999999997"/>
    <n v="31559.759999999998"/>
    <x v="30"/>
    <s v="Games"/>
    <s v="Considine-Fisher"/>
    <x v="2"/>
    <s v="Aurelie Wren"/>
    <s v="Tablet"/>
    <s v="26-9948924"/>
  </r>
  <r>
    <s v="Spain"/>
    <n v="221745.05"/>
    <n v="190767.27"/>
    <x v="31"/>
    <s v="Appliances"/>
    <s v="Kirlin and Sons"/>
    <x v="3"/>
    <s v="Bertha Walbrook"/>
    <s v="Mobile"/>
    <s v="72-7630507"/>
  </r>
  <r>
    <s v="Netherlands"/>
    <n v="54566.99"/>
    <n v="43757.27"/>
    <x v="32"/>
    <s v="Smartphones"/>
    <s v="Friesen-Rath"/>
    <x v="6"/>
    <s v="Nero Harbisher"/>
    <s v="PC"/>
    <s v="36-3410564"/>
  </r>
  <r>
    <s v="Portugal"/>
    <n v="111639.29"/>
    <n v="97204.33"/>
    <x v="33"/>
    <s v="Smartphones"/>
    <s v="Keeling, Monahan and Pollich"/>
    <x v="2"/>
    <s v="Hortense Gerring"/>
    <s v="PC"/>
    <s v="82-4653018"/>
  </r>
  <r>
    <s v="Sweden"/>
    <n v="74273.539999999994"/>
    <n v="61981.27"/>
    <x v="34"/>
    <s v="Beauty"/>
    <s v="Swaniawski, Runolfsson and Green"/>
    <x v="0"/>
    <s v="Caro Morfield"/>
    <s v="PC"/>
    <s v="29-1001593"/>
  </r>
  <r>
    <s v="Portugal"/>
    <n v="95566.43"/>
    <n v="80342.7"/>
    <x v="35"/>
    <s v="Clothing"/>
    <s v="Hessel-Stiedemann"/>
    <x v="2"/>
    <s v="Hortense Gerring"/>
    <s v="PC"/>
    <s v="59-5568557"/>
  </r>
  <r>
    <s v="France"/>
    <n v="28783.05"/>
    <n v="24776.45"/>
    <x v="36"/>
    <s v="Clothing"/>
    <s v="Dibbert Inc"/>
    <x v="5"/>
    <s v="Maighdiln Upcraft"/>
    <s v="PC"/>
    <s v="12-1249283"/>
  </r>
  <r>
    <s v="UK"/>
    <n v="124414.74"/>
    <n v="98959.48"/>
    <x v="37"/>
    <s v="Outdoors"/>
    <s v="Labadie and Sons"/>
    <x v="4"/>
    <s v="Winny Agnolo"/>
    <s v="PC"/>
    <s v="96-0180648"/>
  </r>
  <r>
    <s v="Portugal"/>
    <n v="153029.72"/>
    <n v="125117.1"/>
    <x v="38"/>
    <s v="Games"/>
    <s v="Friesen-Rath"/>
    <x v="2"/>
    <s v="Corene Shirer"/>
    <s v="PC"/>
    <s v="51-9029547"/>
  </r>
  <r>
    <s v="Sweden"/>
    <n v="174919.64"/>
    <n v="146845.04"/>
    <x v="39"/>
    <s v="Clothing"/>
    <s v="Wiza and Sons"/>
    <x v="0"/>
    <s v="Caro Morfield"/>
    <s v="Mobile"/>
    <s v="84-2614836"/>
  </r>
  <r>
    <s v="France"/>
    <n v="55804.05"/>
    <n v="46401.07"/>
    <x v="40"/>
    <s v="Electronics"/>
    <s v="Rowe, Hermiston and Kessler"/>
    <x v="5"/>
    <s v="Crysta Halls"/>
    <s v="PC"/>
    <s v="57-6995715"/>
  </r>
  <r>
    <s v="France"/>
    <n v="89160.66"/>
    <n v="75367.509999999995"/>
    <x v="41"/>
    <s v="Beauty"/>
    <s v="Wiza and Sons"/>
    <x v="5"/>
    <s v="Crysta Halls"/>
    <s v="PC"/>
    <s v="27-4115444"/>
  </r>
  <r>
    <s v="UK"/>
    <n v="27987.13"/>
    <n v="24001.759999999998"/>
    <x v="42"/>
    <s v="Games"/>
    <s v="Labadie and Sons"/>
    <x v="4"/>
    <s v="Genevra Charrisson"/>
    <s v="PC"/>
    <s v="34-3302340"/>
  </r>
  <r>
    <s v="France"/>
    <n v="18326.41"/>
    <n v="15067.97"/>
    <x v="43"/>
    <s v="Games"/>
    <s v="Schmitt, Purdy and Johnson"/>
    <x v="5"/>
    <s v="Ora Grennan"/>
    <s v="PC"/>
    <s v="25-6638623"/>
  </r>
  <r>
    <s v="Netherlands"/>
    <n v="62708.6"/>
    <n v="51414.78"/>
    <x v="44"/>
    <s v="Smartphones"/>
    <s v="Hamill, Kulas and Roob"/>
    <x v="6"/>
    <s v="Nero Harbisher"/>
    <s v="PC"/>
    <s v="11-5260310"/>
  </r>
  <r>
    <s v="UK"/>
    <n v="124668.36"/>
    <n v="103998.35"/>
    <x v="45"/>
    <s v="Games"/>
    <s v="Hessel-Stiedemann"/>
    <x v="4"/>
    <s v="Winny Agnolo"/>
    <s v="PC"/>
    <s v="68-5024232"/>
  </r>
  <r>
    <s v="Italy"/>
    <n v="109390.57"/>
    <n v="87414"/>
    <x v="46"/>
    <s v="Other"/>
    <s v="Schoen-Keeling"/>
    <x v="10"/>
    <s v="Joshua Prevost"/>
    <s v="Mobile"/>
    <s v="90-2530115"/>
  </r>
  <r>
    <s v="Portugal"/>
    <n v="103279.79"/>
    <n v="82334.649999999994"/>
    <x v="47"/>
    <s v="Appliances"/>
    <s v="Johns and Sons"/>
    <x v="2"/>
    <s v="Aurelie Wren"/>
    <s v="PC"/>
    <s v="23-8271333"/>
  </r>
  <r>
    <s v="France"/>
    <n v="173478.65"/>
    <n v="139650.31"/>
    <x v="48"/>
    <s v="Books"/>
    <s v="Johns and Sons"/>
    <x v="5"/>
    <s v="Avrit Chanders"/>
    <s v="PC"/>
    <s v="99-7422044"/>
  </r>
  <r>
    <s v="Sweden"/>
    <n v="57927.54"/>
    <n v="48914.01"/>
    <x v="49"/>
    <s v="Games"/>
    <s v="Fisher, Morar and Skiles"/>
    <x v="0"/>
    <s v="Alyosha Meah"/>
    <s v="Mobile"/>
    <s v="67-6692861"/>
  </r>
  <r>
    <s v="Portugal"/>
    <n v="84767.77"/>
    <n v="68950.100000000006"/>
    <x v="50"/>
    <s v="Electronics"/>
    <s v="McGlynn-Bergstrom"/>
    <x v="2"/>
    <s v="Smitty Culverhouse"/>
    <s v="Mobile"/>
    <s v="20-3441688"/>
  </r>
  <r>
    <s v="France"/>
    <n v="138175.53"/>
    <n v="116744.51"/>
    <x v="39"/>
    <s v="Other"/>
    <s v="Spencer, Rogahn and Muller"/>
    <x v="5"/>
    <s v="Ora Grennan"/>
    <s v="PC"/>
    <s v="80-8230605"/>
  </r>
  <r>
    <s v="Portugal"/>
    <n v="143107.89000000001"/>
    <n v="121241"/>
    <x v="51"/>
    <s v="Electronics"/>
    <s v="Kirlin and Sons"/>
    <x v="2"/>
    <s v="Hortense Gerring"/>
    <s v="Mobile"/>
    <s v="18-0704377"/>
  </r>
  <r>
    <s v="Sweden"/>
    <n v="54446.5"/>
    <n v="44989.14"/>
    <x v="52"/>
    <s v="Appliances"/>
    <s v="Wunsch LLC"/>
    <x v="0"/>
    <s v="Alyosha Meah"/>
    <s v="Tablet"/>
    <s v="47-5524071"/>
  </r>
  <r>
    <s v="Portugal"/>
    <n v="136324.9"/>
    <n v="110436.8"/>
    <x v="53"/>
    <s v="Electronics"/>
    <s v="Walter LLC"/>
    <x v="2"/>
    <s v="Hortense Gerring"/>
    <s v="Tablet"/>
    <s v="76-2572347"/>
  </r>
  <r>
    <s v="Portugal"/>
    <n v="43066.58"/>
    <n v="36154.39"/>
    <x v="54"/>
    <s v="Games"/>
    <s v="Hamill, Kulas and Roob"/>
    <x v="2"/>
    <s v="Hortense Gerring"/>
    <s v="Mobile"/>
    <s v="74-4429133"/>
  </r>
  <r>
    <s v="France"/>
    <n v="224626.25"/>
    <n v="189988.88"/>
    <x v="55"/>
    <s v="Electronics"/>
    <s v="Christiansen, Donnelly and Bechtelar"/>
    <x v="5"/>
    <s v="Ora Grennan"/>
    <s v="PC"/>
    <s v="69-1300467"/>
  </r>
  <r>
    <s v="France"/>
    <n v="115689.22"/>
    <n v="98127.6"/>
    <x v="56"/>
    <s v="Clothing"/>
    <s v="Altenwerth-Konopelski"/>
    <x v="5"/>
    <s v="Avrit Chanders"/>
    <s v="PC"/>
    <s v="99-8643527"/>
  </r>
  <r>
    <s v="Bulgaria"/>
    <n v="78293.94"/>
    <n v="66236.67"/>
    <x v="57"/>
    <s v="Appliances"/>
    <s v="Rowe, Hermiston and Kessler"/>
    <x v="8"/>
    <s v="Bernadine Fullagar"/>
    <s v="Mobile"/>
    <s v="14-1143584"/>
  </r>
  <r>
    <s v="Portugal"/>
    <n v="92698.45"/>
    <n v="73454.25"/>
    <x v="58"/>
    <s v="Clothing"/>
    <s v="Hessel-Stiedemann"/>
    <x v="2"/>
    <s v="Corene Shirer"/>
    <s v="PC"/>
    <s v="62-4331197"/>
  </r>
  <r>
    <s v="Bulgaria"/>
    <n v="83141.47"/>
    <n v="72000.509999999995"/>
    <x v="59"/>
    <s v="Outdoors"/>
    <s v="Wisoky Inc"/>
    <x v="8"/>
    <s v="Shermy McGready"/>
    <s v="Mobile"/>
    <s v="02-3333733"/>
  </r>
  <r>
    <s v="Portugal"/>
    <n v="38982.26"/>
    <n v="32854.25"/>
    <x v="60"/>
    <s v="Clothing"/>
    <s v="Hegmann Group"/>
    <x v="2"/>
    <s v="Smitty Culverhouse"/>
    <s v="Mobile"/>
    <s v="09-3959499"/>
  </r>
  <r>
    <s v="Portugal"/>
    <n v="57120.58"/>
    <n v="49654.92"/>
    <x v="61"/>
    <s v="Games"/>
    <s v="Leffler, Prohaska and Streich"/>
    <x v="2"/>
    <s v="Aurelie Wren"/>
    <s v="PC"/>
    <s v="55-7848276"/>
  </r>
  <r>
    <s v="Sweden"/>
    <n v="240759.07"/>
    <n v="205415.64"/>
    <x v="62"/>
    <s v="Appliances"/>
    <s v="Schmitt, Purdy and Johnson"/>
    <x v="0"/>
    <s v="Tarrah Castelletti"/>
    <s v="PC"/>
    <s v="98-1814878"/>
  </r>
  <r>
    <s v="Sweden"/>
    <n v="53849.120000000003"/>
    <n v="47354.92"/>
    <x v="63"/>
    <s v="Games"/>
    <s v="Rowe, Hermiston and Kessler"/>
    <x v="0"/>
    <s v="Alyosha Meah"/>
    <s v="PC"/>
    <s v="83-9569509"/>
  </r>
  <r>
    <s v="Ireland"/>
    <n v="361182.87"/>
    <n v="288368.40000000002"/>
    <x v="64"/>
    <s v="Books"/>
    <s v="Smith Group"/>
    <x v="11"/>
    <s v="Bunnie Tonbridge"/>
    <s v="PC"/>
    <s v="44-1953194"/>
  </r>
  <r>
    <s v="Sweden"/>
    <n v="97063.22"/>
    <n v="78067.95"/>
    <x v="65"/>
    <s v="Appliances"/>
    <s v="Zieme, Bailey and Herzog"/>
    <x v="0"/>
    <s v="Madelon Bront"/>
    <s v="Tablet"/>
    <s v="50-0376562"/>
  </r>
  <r>
    <s v="Spain"/>
    <n v="39110.97"/>
    <n v="34315.97"/>
    <x v="66"/>
    <s v="Clothing"/>
    <s v="Bashirian, Okuneva and Bechtelar"/>
    <x v="3"/>
    <s v="Perri Aldersley"/>
    <s v="PC"/>
    <s v="06-9596696"/>
  </r>
  <r>
    <s v="France"/>
    <n v="123672.7"/>
    <n v="106036.97"/>
    <x v="67"/>
    <s v="Smartphones"/>
    <s v="McGlynn-Prosacco"/>
    <x v="5"/>
    <s v="Crysta Halls"/>
    <s v="PC"/>
    <s v="46-2632808"/>
  </r>
  <r>
    <s v="France"/>
    <n v="144640.79999999999"/>
    <n v="118345.1"/>
    <x v="68"/>
    <s v="Electronics"/>
    <s v="Murray, Reichel and Nolan"/>
    <x v="5"/>
    <s v="Avrit Chanders"/>
    <s v="PC"/>
    <s v="77-7771177"/>
  </r>
  <r>
    <s v="France"/>
    <n v="268779.03000000003"/>
    <n v="233676.49"/>
    <x v="69"/>
    <s v="Smartphones"/>
    <s v="O'Connell-Mitchell"/>
    <x v="5"/>
    <s v="Ora Grennan"/>
    <s v="Mobile"/>
    <s v="13-0624842"/>
  </r>
  <r>
    <s v="Sweden"/>
    <n v="53593.86"/>
    <n v="45629.81"/>
    <x v="70"/>
    <s v="Electronics"/>
    <s v="Friesen-Rath"/>
    <x v="0"/>
    <s v="Caro Morfield"/>
    <s v="PC"/>
    <s v="71-4409662"/>
  </r>
  <r>
    <s v="France"/>
    <n v="155044.01999999999"/>
    <n v="134268.12"/>
    <x v="71"/>
    <s v="Beauty"/>
    <s v="West-Cummings"/>
    <x v="5"/>
    <s v="Amelina Piscopiello"/>
    <s v="PC"/>
    <s v="46-0270404"/>
  </r>
  <r>
    <s v="Portugal"/>
    <n v="102495.13"/>
    <n v="85009.46"/>
    <x v="72"/>
    <s v="Smartphones"/>
    <s v="Hermiston, Simonis and Wisoky"/>
    <x v="2"/>
    <s v="Hortense Gerring"/>
    <s v="Tablet"/>
    <s v="70-7107956"/>
  </r>
  <r>
    <s v="Portugal"/>
    <n v="294472.77"/>
    <n v="255572.92"/>
    <x v="73"/>
    <s v="Smartphones"/>
    <s v="Gislason-Stanton"/>
    <x v="2"/>
    <s v="Smitty Culverhouse"/>
    <s v="Tablet"/>
    <s v="84-5310661"/>
  </r>
  <r>
    <s v="Sweden"/>
    <n v="64053.77"/>
    <n v="54733.95"/>
    <x v="74"/>
    <s v="Beauty"/>
    <s v="Armstrong-Little"/>
    <x v="0"/>
    <s v="Anita Woakes"/>
    <s v="PC"/>
    <s v="75-6638402"/>
  </r>
  <r>
    <s v="UK"/>
    <n v="24543.72"/>
    <n v="19492.62"/>
    <x v="75"/>
    <s v="Clothing"/>
    <s v="Hessel-Stiedemann"/>
    <x v="4"/>
    <s v="Jay Morefield"/>
    <s v="PC"/>
    <s v="53-0615558"/>
  </r>
  <r>
    <s v="Portugal"/>
    <n v="161544.06"/>
    <n v="132579.21"/>
    <x v="76"/>
    <s v="Clothing"/>
    <s v="Johns and Sons"/>
    <x v="2"/>
    <s v="Smitty Culverhouse"/>
    <s v="PC"/>
    <s v="00-2549549"/>
  </r>
  <r>
    <s v="Portugal"/>
    <n v="50303.66"/>
    <n v="41103.120000000003"/>
    <x v="77"/>
    <s v="Appliances"/>
    <s v="Christiansen, Donnelly and Bechtelar"/>
    <x v="2"/>
    <s v="Smitty Culverhouse"/>
    <s v="PC"/>
    <s v="23-1397222"/>
  </r>
  <r>
    <s v="Sweden"/>
    <n v="124593.04"/>
    <n v="109106.13"/>
    <x v="78"/>
    <s v="Appliances"/>
    <s v="Johns and Sons"/>
    <x v="0"/>
    <s v="Madelon Bront"/>
    <s v="Mobile"/>
    <s v="00-4698524"/>
  </r>
  <r>
    <s v="Sweden"/>
    <n v="44147.92"/>
    <n v="37163.72"/>
    <x v="79"/>
    <s v="Beauty"/>
    <s v="Murray, Reichel and Nolan"/>
    <x v="0"/>
    <s v="Madelon Bront"/>
    <s v="PC"/>
    <s v="76-3837496"/>
  </r>
  <r>
    <s v="Bulgaria"/>
    <n v="42239.66"/>
    <n v="37039.96"/>
    <x v="80"/>
    <s v="Smartphones"/>
    <s v="Johns and Sons"/>
    <x v="8"/>
    <s v="Shermy McGready"/>
    <s v="PC"/>
    <s v="61-7979087"/>
  </r>
  <r>
    <s v="Sweden"/>
    <n v="113763.38"/>
    <n v="91158.6"/>
    <x v="81"/>
    <s v="Books"/>
    <s v="Christiansen, Donnelly and Bechtelar"/>
    <x v="0"/>
    <s v="Madelon Bront"/>
    <s v="PC"/>
    <s v="52-8377955"/>
  </r>
  <r>
    <s v="Portugal"/>
    <n v="183363.6"/>
    <n v="155033.92000000001"/>
    <x v="82"/>
    <s v="Smartphones"/>
    <s v="Johns and Sons"/>
    <x v="2"/>
    <s v="Hortense Gerring"/>
    <s v="PC"/>
    <s v="87-6162387"/>
  </r>
  <r>
    <s v="France"/>
    <n v="85220.83"/>
    <n v="73767.149999999994"/>
    <x v="83"/>
    <s v="Beauty"/>
    <s v="Shanahan, Schaden and Parker"/>
    <x v="5"/>
    <s v="Crysta Halls"/>
    <s v="Tablet"/>
    <s v="11-8965256"/>
  </r>
  <r>
    <s v="Portugal"/>
    <n v="87513.27"/>
    <n v="72469.740000000005"/>
    <x v="84"/>
    <s v="Books"/>
    <s v="Lubowitz, McLaughlin and Erdman"/>
    <x v="2"/>
    <s v="Corene Shirer"/>
    <s v="Mobile"/>
    <s v="16-9079414"/>
  </r>
  <r>
    <s v="Bulgaria"/>
    <n v="37073.910000000003"/>
    <n v="30274.55"/>
    <x v="85"/>
    <s v="Books"/>
    <s v="Rath-Schroeder"/>
    <x v="8"/>
    <s v="Bernadine Fullagar"/>
    <s v="Tablet"/>
    <s v="15-9091881"/>
  </r>
  <r>
    <s v="France"/>
    <n v="122139.94"/>
    <n v="103684.6"/>
    <x v="86"/>
    <s v="Smartphones"/>
    <s v="Smith Group"/>
    <x v="5"/>
    <s v="Ora Grennan"/>
    <s v="PC"/>
    <s v="07-3222085"/>
  </r>
  <r>
    <s v="France"/>
    <n v="107586.21"/>
    <n v="94525.24"/>
    <x v="87"/>
    <s v="Electronics"/>
    <s v="Spencer, Rogahn and Muller"/>
    <x v="5"/>
    <s v="Amelina Piscopiello"/>
    <s v="PC"/>
    <s v="20-3384992"/>
  </r>
  <r>
    <s v="UK"/>
    <n v="203958.16"/>
    <n v="176444.2"/>
    <x v="88"/>
    <s v="Appliances"/>
    <s v="Larkin-Collier"/>
    <x v="4"/>
    <s v="Genevra Charrisson"/>
    <s v="PC"/>
    <s v="09-3404706"/>
  </r>
  <r>
    <s v="Portugal"/>
    <n v="55132.39"/>
    <n v="47121.65"/>
    <x v="73"/>
    <s v="Clothing"/>
    <s v="Dickinson, Hyatt and Berge"/>
    <x v="2"/>
    <s v="Hortense Gerring"/>
    <s v="PC"/>
    <s v="97-8712680"/>
  </r>
  <r>
    <s v="Ireland"/>
    <n v="135424.06"/>
    <n v="116275.1"/>
    <x v="89"/>
    <s v="Electronics"/>
    <s v="Hamill, Kulas and Roob"/>
    <x v="11"/>
    <s v="Palm Wetherald"/>
    <s v="PC"/>
    <s v="43-4245267"/>
  </r>
  <r>
    <s v="Sweden"/>
    <n v="167123.72"/>
    <n v="132946.92000000001"/>
    <x v="90"/>
    <s v="Smartphones"/>
    <s v="Hegmann Group"/>
    <x v="0"/>
    <s v="Alyosha Meah"/>
    <s v="PC"/>
    <s v="58-8969119"/>
  </r>
  <r>
    <s v="Germany"/>
    <n v="92868.37"/>
    <n v="79068.13"/>
    <x v="91"/>
    <s v="Electronics"/>
    <s v="Fisher, Morar and Skiles"/>
    <x v="12"/>
    <s v="Casie MacBain"/>
    <s v="PC"/>
    <s v="88-8436664"/>
  </r>
  <r>
    <s v="Portugal"/>
    <n v="108689.45"/>
    <n v="91223.06"/>
    <x v="92"/>
    <s v="Appliances"/>
    <s v="Walter LLC"/>
    <x v="2"/>
    <s v="Brynn Dempster"/>
    <s v="Mobile"/>
    <s v="35-6825112"/>
  </r>
  <r>
    <s v="Portugal"/>
    <n v="79874.42"/>
    <n v="68132.88"/>
    <x v="93"/>
    <s v="Outdoors"/>
    <s v="Farrell, Swaniawski and Crist"/>
    <x v="2"/>
    <s v="Smitty Culverhouse"/>
    <s v="PC"/>
    <s v="24-4511396"/>
  </r>
  <r>
    <s v="Germany"/>
    <n v="153011.39000000001"/>
    <n v="131543.89000000001"/>
    <x v="94"/>
    <s v="Appliances"/>
    <s v="Johns and Sons"/>
    <x v="12"/>
    <s v="Casie MacBain"/>
    <s v="PC"/>
    <s v="99-0564964"/>
  </r>
  <r>
    <s v="Portugal"/>
    <n v="72857.41"/>
    <n v="60442.51"/>
    <x v="8"/>
    <s v="Clothing"/>
    <s v="Armstrong-Little"/>
    <x v="2"/>
    <s v="Brynn Dempster"/>
    <s v="PC"/>
    <s v="47-9920494"/>
  </r>
  <r>
    <s v="France"/>
    <n v="102771.44"/>
    <n v="83584.009999999995"/>
    <x v="95"/>
    <s v="Accessories"/>
    <s v="McClure Inc"/>
    <x v="5"/>
    <s v="Maighdiln Upcraft"/>
    <s v="PC"/>
    <s v="82-9352154"/>
  </r>
  <r>
    <s v="UK"/>
    <n v="90559.16"/>
    <n v="75318.05"/>
    <x v="96"/>
    <s v="Outdoors"/>
    <s v="Dickinson, Hyatt and Berge"/>
    <x v="4"/>
    <s v="Genevra Charrisson"/>
    <s v="PC"/>
    <s v="74-6920956"/>
  </r>
  <r>
    <s v="Portugal"/>
    <n v="141796.75"/>
    <n v="112317.21"/>
    <x v="97"/>
    <s v="Games"/>
    <s v="Johns and Sons"/>
    <x v="2"/>
    <s v="Corene Shirer"/>
    <s v="PC"/>
    <s v="16-8778373"/>
  </r>
  <r>
    <s v="Bulgaria"/>
    <n v="103874.1"/>
    <n v="82112.479999999996"/>
    <x v="98"/>
    <s v="Outdoors"/>
    <s v="Johns and Sons"/>
    <x v="8"/>
    <s v="Shermy McGready"/>
    <s v="PC"/>
    <s v="85-4014655"/>
  </r>
  <r>
    <s v="Spain"/>
    <n v="134908.19"/>
    <n v="114388.65"/>
    <x v="99"/>
    <s v="Clothing"/>
    <s v="Romaguera-Dietrich"/>
    <x v="3"/>
    <s v="Perri Aldersley"/>
    <s v="PC"/>
    <s v="25-2355172"/>
  </r>
  <r>
    <s v="Portugal"/>
    <n v="45256.74"/>
    <n v="38975.1"/>
    <x v="98"/>
    <s v="Other"/>
    <s v="Spencer, Rogahn and Muller"/>
    <x v="2"/>
    <s v="Smitty Culverhouse"/>
    <s v="PC"/>
    <s v="31-7667796"/>
  </r>
  <r>
    <s v="Portugal"/>
    <n v="131018.65"/>
    <n v="107920.06"/>
    <x v="3"/>
    <s v="Clothing"/>
    <s v="Hane Inc"/>
    <x v="2"/>
    <s v="Brynn Dempster"/>
    <s v="PC"/>
    <s v="39-2536155"/>
  </r>
  <r>
    <s v="Ireland"/>
    <n v="84877.87"/>
    <n v="68454"/>
    <x v="100"/>
    <s v="Electronics"/>
    <s v="Zieme, Bailey and Herzog"/>
    <x v="11"/>
    <s v="Bunnie Tonbridge"/>
    <s v="PC"/>
    <s v="30-8840089"/>
  </r>
  <r>
    <s v="France"/>
    <n v="168197.78"/>
    <n v="144246.42000000001"/>
    <x v="101"/>
    <s v="Smartphones"/>
    <s v="Kihn Inc"/>
    <x v="5"/>
    <s v="Crysta Halls"/>
    <s v="PC"/>
    <s v="93-8309926"/>
  </r>
  <r>
    <s v="UK"/>
    <n v="383996.76"/>
    <n v="304701.43"/>
    <x v="102"/>
    <s v="Other"/>
    <s v="Johns and Sons"/>
    <x v="4"/>
    <s v="Winny Agnolo"/>
    <s v="PC"/>
    <s v="42-7823733"/>
  </r>
  <r>
    <s v="France"/>
    <n v="56811.14"/>
    <n v="48221.3"/>
    <x v="103"/>
    <s v="Clothing"/>
    <s v="Schowalter, Lesch and Beahan"/>
    <x v="5"/>
    <s v="Ora Grennan"/>
    <s v="PC"/>
    <s v="03-9337803"/>
  </r>
  <r>
    <s v="Portugal"/>
    <n v="74364.460000000006"/>
    <n v="60145.98"/>
    <x v="104"/>
    <s v="Clothing"/>
    <s v="Altenwerth-Konopelski"/>
    <x v="2"/>
    <s v="Aurelie Wren"/>
    <s v="Mobile"/>
    <s v="42-1879788"/>
  </r>
  <r>
    <s v="Finland"/>
    <n v="235608.66"/>
    <n v="201468.96"/>
    <x v="105"/>
    <s v="Games"/>
    <s v="Hegmann Group"/>
    <x v="1"/>
    <s v="Wat Bowkley"/>
    <s v="Tablet"/>
    <s v="42-8394841"/>
  </r>
  <r>
    <s v="Sweden"/>
    <n v="31627.37"/>
    <n v="25662.45"/>
    <x v="106"/>
    <s v="Beauty"/>
    <s v="Christiansen, Donnelly and Bechtelar"/>
    <x v="0"/>
    <s v="Caro Morfield"/>
    <s v="Mobile"/>
    <s v="84-5642889"/>
  </r>
  <r>
    <s v="Sweden"/>
    <n v="57227.99"/>
    <n v="46331.78"/>
    <x v="107"/>
    <s v="Appliances"/>
    <s v="Johns and Sons"/>
    <x v="0"/>
    <s v="Alyosha Meah"/>
    <s v="PC"/>
    <s v="92-7234550"/>
  </r>
  <r>
    <s v="Portugal"/>
    <n v="84598.68"/>
    <n v="72391.09"/>
    <x v="108"/>
    <s v="Clothing"/>
    <s v="Hamill, Kulas and Roob"/>
    <x v="2"/>
    <s v="Brynn Dempster"/>
    <s v="PC"/>
    <s v="98-5721101"/>
  </r>
  <r>
    <s v="Sweden"/>
    <n v="98322.98"/>
    <n v="84872.4"/>
    <x v="109"/>
    <s v="Clothing"/>
    <s v="Hessel-Stiedemann"/>
    <x v="0"/>
    <s v="Tarrah Castelletti"/>
    <s v="PC"/>
    <s v="32-9344186"/>
  </r>
  <r>
    <s v="Netherlands"/>
    <n v="62567.58"/>
    <n v="49916.42"/>
    <x v="110"/>
    <s v="Clothing"/>
    <s v="Hessel-Stiedemann"/>
    <x v="6"/>
    <s v="Nero Harbisher"/>
    <s v="PC"/>
    <s v="40-7356336"/>
  </r>
  <r>
    <s v="Sweden"/>
    <n v="239423.57"/>
    <n v="199152.52"/>
    <x v="111"/>
    <s v="Electronics"/>
    <s v="Hamill, Kulas and Roob"/>
    <x v="0"/>
    <s v="Madelon Bront"/>
    <s v="Mobile"/>
    <s v="94-1762263"/>
  </r>
  <r>
    <s v="France"/>
    <n v="68773.03"/>
    <n v="59082.91"/>
    <x v="112"/>
    <s v="Games"/>
    <s v="Hessel-Stiedemann"/>
    <x v="5"/>
    <s v="Amelina Piscopiello"/>
    <s v="PC"/>
    <s v="26-5649751"/>
  </r>
  <r>
    <s v="Germany"/>
    <n v="102918.09"/>
    <n v="87480.38"/>
    <x v="33"/>
    <s v="Smartphones"/>
    <s v="Swaniawski, Runolfsson and Green"/>
    <x v="12"/>
    <s v="Casie MacBain"/>
    <s v="PC"/>
    <s v="88-5343320"/>
  </r>
  <r>
    <s v="UK"/>
    <n v="150313.19"/>
    <n v="118927.8"/>
    <x v="113"/>
    <s v="Beauty"/>
    <s v="Johns and Sons"/>
    <x v="4"/>
    <s v="Jay Morefield"/>
    <s v="PC"/>
    <s v="09-6527060"/>
  </r>
  <r>
    <s v="Sweden"/>
    <n v="144072.9"/>
    <n v="123729.81"/>
    <x v="114"/>
    <s v="Beauty"/>
    <s v="Fisher, Morar and Skiles"/>
    <x v="0"/>
    <s v="Anita Woakes"/>
    <s v="PC"/>
    <s v="85-3431441"/>
  </r>
  <r>
    <s v="Sweden"/>
    <n v="69681.429999999993"/>
    <n v="55529.13"/>
    <x v="115"/>
    <s v="Clothing"/>
    <s v="Romaguera-Dietrich"/>
    <x v="0"/>
    <s v="Alyosha Meah"/>
    <s v="PC"/>
    <s v="78-3301264"/>
  </r>
  <r>
    <s v="Sweden"/>
    <n v="78542.59"/>
    <n v="68010.03"/>
    <x v="116"/>
    <s v="Games"/>
    <s v="Kihn Inc"/>
    <x v="0"/>
    <s v="Caro Morfield"/>
    <s v="PC"/>
    <s v="02-9523107"/>
  </r>
  <r>
    <s v="Portugal"/>
    <n v="37582.129999999997"/>
    <n v="31967.360000000001"/>
    <x v="117"/>
    <s v="Appliances"/>
    <s v="Hilll-Vandervort"/>
    <x v="2"/>
    <s v="Smitty Culverhouse"/>
    <s v="Mobile"/>
    <s v="19-9205287"/>
  </r>
  <r>
    <s v="Sweden"/>
    <n v="88329.48"/>
    <n v="73755.12"/>
    <x v="118"/>
    <s v="Clothing"/>
    <s v="Corwin and Sons"/>
    <x v="0"/>
    <s v="Caro Morfield"/>
    <s v="Mobile"/>
    <s v="94-1199389"/>
  </r>
  <r>
    <s v="Portugal"/>
    <n v="249099.44"/>
    <n v="215695.2"/>
    <x v="119"/>
    <s v="Other"/>
    <s v="Johns and Sons"/>
    <x v="2"/>
    <s v="Corene Shirer"/>
    <s v="PC"/>
    <s v="88-4621939"/>
  </r>
  <r>
    <s v="UK"/>
    <n v="28328.78"/>
    <n v="24408.080000000002"/>
    <x v="120"/>
    <s v="Clothing"/>
    <s v="Dickinson, Hyatt and Berge"/>
    <x v="4"/>
    <s v="Jay Morefield"/>
    <s v="PC"/>
    <s v="68-9634139"/>
  </r>
  <r>
    <s v="Portugal"/>
    <n v="162246.76"/>
    <n v="142663.57999999999"/>
    <x v="121"/>
    <s v="Games"/>
    <s v="Hessel-Stiedemann"/>
    <x v="2"/>
    <s v="Corene Shirer"/>
    <s v="PC"/>
    <s v="44-5200140"/>
  </r>
  <r>
    <s v="Germany"/>
    <n v="161217.16"/>
    <n v="135696.48000000001"/>
    <x v="122"/>
    <s v="Games"/>
    <s v="Labadie and Sons"/>
    <x v="12"/>
    <s v="Casie MacBain"/>
    <s v="PC"/>
    <s v="98-6247105"/>
  </r>
  <r>
    <s v="France"/>
    <n v="37397.43"/>
    <n v="30837.919999999998"/>
    <x v="123"/>
    <s v="Games"/>
    <s v="Hegmann Group"/>
    <x v="5"/>
    <s v="Avrit Chanders"/>
    <s v="PC"/>
    <s v="24-6566439"/>
  </r>
  <r>
    <s v="UK"/>
    <n v="99064.31"/>
    <n v="85393.44"/>
    <x v="124"/>
    <s v="Books"/>
    <s v="Johns and Sons"/>
    <x v="4"/>
    <s v="Winny Agnolo"/>
    <s v="PC"/>
    <s v="52-9152387"/>
  </r>
  <r>
    <s v="Sweden"/>
    <n v="15817.05"/>
    <n v="13743.44"/>
    <x v="21"/>
    <s v="Clothing"/>
    <s v="Kihn Inc"/>
    <x v="0"/>
    <s v="Anita Woakes"/>
    <s v="PC"/>
    <s v="26-9787272"/>
  </r>
  <r>
    <s v="Portugal"/>
    <n v="38930.160000000003"/>
    <n v="32837.589999999997"/>
    <x v="125"/>
    <s v="Outdoors"/>
    <s v="Spencer, Rogahn and Muller"/>
    <x v="2"/>
    <s v="Brynn Dempster"/>
    <s v="PC"/>
    <s v="12-2202467"/>
  </r>
  <r>
    <s v="Portugal"/>
    <n v="28859.73"/>
    <n v="23656.32"/>
    <x v="126"/>
    <s v="Electronics"/>
    <s v="Larkin-Collier"/>
    <x v="2"/>
    <s v="Corene Shirer"/>
    <s v="Mobile"/>
    <s v="82-0537890"/>
  </r>
  <r>
    <s v="France"/>
    <n v="54079.040000000001"/>
    <n v="45031.62"/>
    <x v="127"/>
    <s v="Games"/>
    <s v="Lueilwitz, Kerluke and Lesch"/>
    <x v="5"/>
    <s v="Avrit Chanders"/>
    <s v="PC"/>
    <s v="15-6838362"/>
  </r>
  <r>
    <s v="Sweden"/>
    <n v="70596.7"/>
    <n v="60564.91"/>
    <x v="128"/>
    <s v="Electronics"/>
    <s v="Hilll-Vandervort"/>
    <x v="0"/>
    <s v="Alyosha Meah"/>
    <s v="PC"/>
    <s v="51-0685379"/>
  </r>
  <r>
    <s v="UK"/>
    <n v="169629.55"/>
    <n v="135347.42000000001"/>
    <x v="129"/>
    <s v="Outdoors"/>
    <s v="Johns and Sons"/>
    <x v="4"/>
    <s v="Jay Morefield"/>
    <s v="PC"/>
    <s v="76-5919033"/>
  </r>
  <r>
    <s v="Portugal"/>
    <n v="95387.89"/>
    <n v="76195.850000000006"/>
    <x v="130"/>
    <s v="Books"/>
    <s v="Gislason-Stanton"/>
    <x v="2"/>
    <s v="Aurelie Wren"/>
    <s v="PC"/>
    <s v="34-7627348"/>
  </r>
  <r>
    <s v="France"/>
    <n v="50585.98"/>
    <n v="40999.94"/>
    <x v="131"/>
    <s v="Beauty"/>
    <s v="Bashirian, Okuneva and Bechtelar"/>
    <x v="5"/>
    <s v="Maighdiln Upcraft"/>
    <s v="Tablet"/>
    <s v="32-1940437"/>
  </r>
  <r>
    <s v="Sweden"/>
    <n v="103726.57"/>
    <n v="90231.74"/>
    <x v="132"/>
    <s v="Clothing"/>
    <s v="Dibbert Inc"/>
    <x v="0"/>
    <s v="Caro Morfield"/>
    <s v="Mobile"/>
    <s v="25-9913528"/>
  </r>
  <r>
    <s v="UK"/>
    <n v="222700.23"/>
    <n v="194951.78"/>
    <x v="133"/>
    <s v="Appliances"/>
    <s v="Johns and Sons"/>
    <x v="4"/>
    <s v="Genevra Charrisson"/>
    <s v="Mobile"/>
    <s v="73-3464233"/>
  </r>
  <r>
    <s v="Portugal"/>
    <n v="143322.47"/>
    <n v="114213.68"/>
    <x v="134"/>
    <s v="Books"/>
    <s v="Johns and Sons"/>
    <x v="2"/>
    <s v="Corene Shirer"/>
    <s v="PC"/>
    <s v="04-2863062"/>
  </r>
  <r>
    <s v="UK"/>
    <n v="128227.36"/>
    <n v="106710.81"/>
    <x v="135"/>
    <s v="Accessories"/>
    <s v="Murray, Reichel and Nolan"/>
    <x v="4"/>
    <s v="Jay Morefield"/>
    <s v="PC"/>
    <s v="18-7077174"/>
  </r>
  <r>
    <s v="Sweden"/>
    <n v="127939.8"/>
    <n v="112267.17"/>
    <x v="136"/>
    <s v="Clothing"/>
    <s v="Gislason-Stanton"/>
    <x v="0"/>
    <s v="Alyosha Meah"/>
    <s v="PC"/>
    <s v="64-8300193"/>
  </r>
  <r>
    <s v="Sweden"/>
    <n v="146540.75"/>
    <n v="120822.85"/>
    <x v="137"/>
    <s v="Smartphones"/>
    <s v="Swaniawski, Runolfsson and Green"/>
    <x v="0"/>
    <s v="Anita Woakes"/>
    <s v="PC"/>
    <s v="84-2858993"/>
  </r>
  <r>
    <s v="Portugal"/>
    <n v="36321.68"/>
    <n v="31581.7"/>
    <x v="138"/>
    <s v="Books"/>
    <s v="Kirlin and Sons"/>
    <x v="2"/>
    <s v="Smitty Culverhouse"/>
    <s v="PC"/>
    <s v="72-2647440"/>
  </r>
  <r>
    <s v="Spain"/>
    <n v="42814.57"/>
    <n v="35356.269999999997"/>
    <x v="139"/>
    <s v="Beauty"/>
    <s v="Wiza and Sons"/>
    <x v="3"/>
    <s v="Perri Aldersley"/>
    <s v="PC"/>
    <s v="68-1806238"/>
  </r>
  <r>
    <s v="UK"/>
    <n v="169262.2"/>
    <n v="141080.04"/>
    <x v="140"/>
    <s v="Beauty"/>
    <s v="Considine-Fisher"/>
    <x v="4"/>
    <s v="Winny Agnolo"/>
    <s v="PC"/>
    <s v="87-0922827"/>
  </r>
  <r>
    <s v="Sweden"/>
    <n v="114427.36"/>
    <n v="93727.45"/>
    <x v="141"/>
    <s v="Other"/>
    <s v="Tillman and Sons"/>
    <x v="0"/>
    <s v="Madelon Bront"/>
    <s v="PC"/>
    <s v="33-8547717"/>
  </r>
  <r>
    <s v="UK"/>
    <n v="126979.62"/>
    <n v="105113.73"/>
    <x v="1"/>
    <s v="Electronics"/>
    <s v="Dibbert Inc"/>
    <x v="4"/>
    <s v="Genevra Charrisson"/>
    <s v="PC"/>
    <s v="15-5051694"/>
  </r>
  <r>
    <s v="Luxembourg"/>
    <n v="294874.74"/>
    <n v="259106.43"/>
    <x v="142"/>
    <s v="Books"/>
    <s v="Morissette Group"/>
    <x v="9"/>
    <s v="Jocelyn Laurentino"/>
    <s v="PC"/>
    <s v="37-2363680"/>
  </r>
  <r>
    <s v="UK"/>
    <n v="173258.94"/>
    <n v="143198.51"/>
    <x v="143"/>
    <s v="Clothing"/>
    <s v="Johns and Sons"/>
    <x v="4"/>
    <s v="Jay Morefield"/>
    <s v="PC"/>
    <s v="92-4106004"/>
  </r>
  <r>
    <s v="Luxembourg"/>
    <n v="158362.32999999999"/>
    <n v="133990.37"/>
    <x v="25"/>
    <s v="Books"/>
    <s v="Hessel-Stiedemann"/>
    <x v="9"/>
    <s v="Jocelyn Laurentino"/>
    <s v="PC"/>
    <s v="39-1671087"/>
  </r>
  <r>
    <s v="UK"/>
    <n v="50689.19"/>
    <n v="43597.77"/>
    <x v="125"/>
    <s v="Clothing"/>
    <s v="Swaniawski, Runolfsson and Green"/>
    <x v="4"/>
    <s v="Jay Morefield"/>
    <s v="PC"/>
    <s v="77-9240051"/>
  </r>
  <r>
    <s v="Ireland"/>
    <n v="117358.02"/>
    <n v="102664.8"/>
    <x v="51"/>
    <s v="Clothing"/>
    <s v="Goldner-Dibbert"/>
    <x v="11"/>
    <s v="Palm Wetherald"/>
    <s v="PC"/>
    <s v="79-8966057"/>
  </r>
  <r>
    <s v="Sweden"/>
    <n v="93996.68"/>
    <n v="77171.27"/>
    <x v="144"/>
    <s v="Games"/>
    <s v="Swaniawski, Runolfsson and Green"/>
    <x v="0"/>
    <s v="Alyosha Meah"/>
    <s v="Mobile"/>
    <s v="75-0683725"/>
  </r>
  <r>
    <s v="UK"/>
    <n v="119769.22"/>
    <n v="98234.71"/>
    <x v="78"/>
    <s v="Books"/>
    <s v="Bashirian, Okuneva and Bechtelar"/>
    <x v="4"/>
    <s v="Jay Morefield"/>
    <s v="PC"/>
    <s v="55-5032186"/>
  </r>
  <r>
    <s v="France"/>
    <n v="84194.21"/>
    <n v="71885.02"/>
    <x v="145"/>
    <s v="Books"/>
    <s v="Zieme, Bailey and Herzog"/>
    <x v="5"/>
    <s v="Avrit Chanders"/>
    <s v="Mobile"/>
    <s v="31-8836719"/>
  </r>
  <r>
    <s v="Finland"/>
    <n v="205582.75"/>
    <n v="166748.17000000001"/>
    <x v="146"/>
    <s v="Beauty"/>
    <s v="Tromp LLC"/>
    <x v="1"/>
    <s v="Wat Bowkley"/>
    <s v="PC"/>
    <s v="64-4923214"/>
  </r>
  <r>
    <s v="Sweden"/>
    <n v="159793.46"/>
    <n v="139180.1"/>
    <x v="147"/>
    <s v="Smartphones"/>
    <s v="Swaniawski, Runolfsson and Green"/>
    <x v="0"/>
    <s v="Alyosha Meah"/>
    <s v="Tablet"/>
    <s v="98-2574776"/>
  </r>
  <r>
    <s v="Portugal"/>
    <n v="104711.22"/>
    <n v="90868.4"/>
    <x v="148"/>
    <s v="Clothing"/>
    <s v="Marquardt-Kuvalis"/>
    <x v="2"/>
    <s v="Corene Shirer"/>
    <s v="PC"/>
    <s v="33-0729966"/>
  </r>
  <r>
    <s v="France"/>
    <n v="69126.5"/>
    <n v="55902.6"/>
    <x v="111"/>
    <s v="Electronics"/>
    <s v="Farrell, Swaniawski and Crist"/>
    <x v="5"/>
    <s v="Avrit Chanders"/>
    <s v="PC"/>
    <s v="07-3201531"/>
  </r>
  <r>
    <s v="Sweden"/>
    <n v="20226.11"/>
    <n v="17408.61"/>
    <x v="11"/>
    <s v="Electronics"/>
    <s v="Larkin-Collier"/>
    <x v="0"/>
    <s v="Caro Morfield"/>
    <s v="PC"/>
    <s v="21-3278349"/>
  </r>
  <r>
    <s v="France"/>
    <n v="65036.81"/>
    <n v="52361.14"/>
    <x v="149"/>
    <s v="Other"/>
    <s v="Considine-Fisher"/>
    <x v="5"/>
    <s v="Amelina Piscopiello"/>
    <s v="PC"/>
    <s v="50-1695443"/>
  </r>
  <r>
    <s v="France"/>
    <n v="254021.98"/>
    <n v="205605.39"/>
    <x v="150"/>
    <s v="Clothing"/>
    <s v="McGlynn-Prosacco"/>
    <x v="5"/>
    <s v="Maighdiln Upcraft"/>
    <s v="PC"/>
    <s v="52-3693331"/>
  </r>
  <r>
    <s v="Luxembourg"/>
    <n v="160185.99"/>
    <n v="130487.51"/>
    <x v="151"/>
    <s v="Accessories"/>
    <s v="Zieme, Bailey and Herzog"/>
    <x v="9"/>
    <s v="Jocelyn Laurentino"/>
    <s v="PC"/>
    <s v="98-3033030"/>
  </r>
  <r>
    <s v="UK"/>
    <n v="81219.67"/>
    <n v="70319.990000000005"/>
    <x v="152"/>
    <s v="Clothing"/>
    <s v="Hessel-Stiedemann"/>
    <x v="4"/>
    <s v="Genevra Charrisson"/>
    <s v="PC"/>
    <s v="34-5793997"/>
  </r>
  <r>
    <s v="Portugal"/>
    <n v="108412.76"/>
    <n v="88594.91"/>
    <x v="153"/>
    <s v="Smartphones"/>
    <s v="Romaguera-Haley"/>
    <x v="2"/>
    <s v="Corene Shirer"/>
    <s v="Mobile"/>
    <s v="52-7280101"/>
  </r>
  <r>
    <s v="Spain"/>
    <n v="42028.45"/>
    <n v="36299.97"/>
    <x v="154"/>
    <s v="Other"/>
    <s v="Hessel-Stiedemann"/>
    <x v="3"/>
    <s v="Perri Aldersley"/>
    <s v="PC"/>
    <s v="55-3118263"/>
  </r>
  <r>
    <s v="Sweden"/>
    <n v="62272.959999999999"/>
    <n v="54600.93"/>
    <x v="155"/>
    <s v="Beauty"/>
    <s v="Romaguera-Haley"/>
    <x v="0"/>
    <s v="Caro Morfield"/>
    <s v="PC"/>
    <s v="58-9822844"/>
  </r>
  <r>
    <s v="Sweden"/>
    <n v="91350.76"/>
    <n v="75839.399999999994"/>
    <x v="156"/>
    <s v="Games"/>
    <s v="Tillman and Sons"/>
    <x v="0"/>
    <s v="Alyosha Meah"/>
    <s v="PC"/>
    <s v="51-5324396"/>
  </r>
  <r>
    <s v="UK"/>
    <n v="123272.44"/>
    <n v="101576.49"/>
    <x v="9"/>
    <s v="Clothing"/>
    <s v="Christiansen, Donnelly and Bechtelar"/>
    <x v="4"/>
    <s v="Genevra Charrisson"/>
    <s v="Tablet"/>
    <s v="99-5465830"/>
  </r>
  <r>
    <s v="Luxembourg"/>
    <n v="182852.21"/>
    <n v="145440.65"/>
    <x v="157"/>
    <s v="Outdoors"/>
    <s v="Johns and Sons"/>
    <x v="9"/>
    <s v="Jocelyn Laurentino"/>
    <s v="PC"/>
    <s v="01-8696189"/>
  </r>
  <r>
    <s v="Portugal"/>
    <n v="118321.11"/>
    <n v="94822.54"/>
    <x v="158"/>
    <s v="Electronics"/>
    <s v="Tillman and Sons"/>
    <x v="2"/>
    <s v="Aurelie Wren"/>
    <s v="Tablet"/>
    <s v="20-7636879"/>
  </r>
  <r>
    <s v="UK"/>
    <n v="74295.81"/>
    <n v="63716.09"/>
    <x v="68"/>
    <s v="Games"/>
    <s v="Keeling, Monahan and Pollich"/>
    <x v="4"/>
    <s v="Genevra Charrisson"/>
    <s v="PC"/>
    <s v="85-8092784"/>
  </r>
  <r>
    <s v="UK"/>
    <n v="152865.34"/>
    <n v="121130.5"/>
    <x v="159"/>
    <s v="Clothing"/>
    <s v="Konopelski LLC"/>
    <x v="4"/>
    <s v="Genevra Charrisson"/>
    <s v="PC"/>
    <s v="97-5905883"/>
  </r>
  <r>
    <s v="France"/>
    <n v="171458.64"/>
    <n v="148877.54"/>
    <x v="160"/>
    <s v="Books"/>
    <s v="McGlynn-Bergstrom"/>
    <x v="5"/>
    <s v="Crysta Halls"/>
    <s v="PC"/>
    <s v="74-6473826"/>
  </r>
  <r>
    <s v="UK"/>
    <n v="156177.76999999999"/>
    <n v="130096.08"/>
    <x v="161"/>
    <s v="Clothing"/>
    <s v="Johns and Sons"/>
    <x v="4"/>
    <s v="Winny Agnolo"/>
    <s v="PC"/>
    <s v="91-0416047"/>
  </r>
  <r>
    <s v="Portugal"/>
    <n v="116023.51"/>
    <n v="96566.37"/>
    <x v="162"/>
    <s v="Smartphones"/>
    <s v="Tillman and Sons"/>
    <x v="2"/>
    <s v="Smitty Culverhouse"/>
    <s v="PC"/>
    <s v="34-0232219"/>
  </r>
  <r>
    <s v="France"/>
    <n v="70657.259999999995"/>
    <n v="61330.5"/>
    <x v="163"/>
    <s v="Other"/>
    <s v="Rowe, Hermiston and Kessler"/>
    <x v="5"/>
    <s v="Maighdiln Upcraft"/>
    <s v="PC"/>
    <s v="34-0783331"/>
  </r>
  <r>
    <s v="Netherlands"/>
    <n v="104152.15"/>
    <n v="85696.39"/>
    <x v="164"/>
    <s v="Smartphones"/>
    <s v="Swaniawski, Runolfsson and Green"/>
    <x v="6"/>
    <s v="Nero Harbisher"/>
    <s v="Mobile"/>
    <s v="30-8215510"/>
  </r>
  <r>
    <s v="Portugal"/>
    <n v="84224.98"/>
    <n v="68239.08"/>
    <x v="165"/>
    <s v="Appliances"/>
    <s v="Hessel-Stiedemann"/>
    <x v="2"/>
    <s v="Aurelie Wren"/>
    <s v="Mobile"/>
    <s v="95-3196761"/>
  </r>
  <r>
    <s v="Portugal"/>
    <n v="172505.24"/>
    <n v="139125.48000000001"/>
    <x v="166"/>
    <s v="Accessories"/>
    <s v="Romaguera-Haley"/>
    <x v="2"/>
    <s v="Brynn Dempster"/>
    <s v="PC"/>
    <s v="99-3651863"/>
  </r>
  <r>
    <s v="Portugal"/>
    <n v="89830.34"/>
    <n v="76795.960000000006"/>
    <x v="167"/>
    <s v="Games"/>
    <s v="Johns and Sons"/>
    <x v="2"/>
    <s v="Aurelie Wren"/>
    <s v="Tablet"/>
    <s v="94-8641337"/>
  </r>
  <r>
    <s v="Netherlands"/>
    <n v="353925.06"/>
    <n v="287528.71999999997"/>
    <x v="168"/>
    <s v="Clothing"/>
    <s v="Corwin and Sons"/>
    <x v="6"/>
    <s v="Nero Harbisher"/>
    <s v="PC"/>
    <s v="36-2694099"/>
  </r>
  <r>
    <s v="France"/>
    <n v="141436.98000000001"/>
    <n v="114691.25"/>
    <x v="116"/>
    <s v="Outdoors"/>
    <s v="Walter LLC"/>
    <x v="5"/>
    <s v="Maighdiln Upcraft"/>
    <s v="PC"/>
    <s v="40-5308505"/>
  </r>
  <r>
    <s v="UK"/>
    <n v="178465.4"/>
    <n v="156282.15"/>
    <x v="169"/>
    <s v="Accessories"/>
    <s v="Romaguera-Haley"/>
    <x v="4"/>
    <s v="Winny Agnolo"/>
    <s v="PC"/>
    <s v="68-8279682"/>
  </r>
  <r>
    <s v="Sweden"/>
    <n v="110092.84"/>
    <n v="92797.25"/>
    <x v="170"/>
    <s v="Other"/>
    <s v="Rowe, Hermiston and Kessler"/>
    <x v="0"/>
    <s v="Anita Woakes"/>
    <s v="Tablet"/>
    <s v="50-2481520"/>
  </r>
  <r>
    <s v="UK"/>
    <n v="154715.49"/>
    <n v="126572.74"/>
    <x v="171"/>
    <s v="Electronics"/>
    <s v="Smith Group"/>
    <x v="4"/>
    <s v="Genevra Charrisson"/>
    <s v="PC"/>
    <s v="46-1054213"/>
  </r>
  <r>
    <s v="Sweden"/>
    <n v="92877.57"/>
    <n v="75936.7"/>
    <x v="172"/>
    <s v="Electronics"/>
    <s v="Wisoky Inc"/>
    <x v="0"/>
    <s v="Madelon Bront"/>
    <s v="Mobile"/>
    <s v="40-9497268"/>
  </r>
  <r>
    <s v="France"/>
    <n v="66141.13"/>
    <n v="53435.42"/>
    <x v="116"/>
    <s v="Clothing"/>
    <s v="Stehr LLC"/>
    <x v="5"/>
    <s v="Ora Grennan"/>
    <s v="PC"/>
    <s v="54-5107115"/>
  </r>
  <r>
    <s v="Germany"/>
    <n v="241782.39"/>
    <n v="196544.91"/>
    <x v="173"/>
    <s v="Appliances"/>
    <s v="Johns and Sons"/>
    <x v="12"/>
    <s v="Casie MacBain"/>
    <s v="PC"/>
    <s v="15-7053450"/>
  </r>
  <r>
    <s v="Portugal"/>
    <n v="211872.69"/>
    <n v="177930.69"/>
    <x v="174"/>
    <s v="Games"/>
    <s v="Johns and Sons"/>
    <x v="2"/>
    <s v="Hortense Gerring"/>
    <s v="Mobile"/>
    <s v="36-2012010"/>
  </r>
  <r>
    <s v="Portugal"/>
    <n v="170408.23"/>
    <n v="143432.60999999999"/>
    <x v="39"/>
    <s v="Clothing"/>
    <s v="Romaguera-Haley"/>
    <x v="2"/>
    <s v="Aurelie Wren"/>
    <s v="Mobile"/>
    <s v="61-7521706"/>
  </r>
  <r>
    <s v="Sweden"/>
    <n v="157683.41"/>
    <n v="130624.94"/>
    <x v="175"/>
    <s v="Electronics"/>
    <s v="Hegmann Group"/>
    <x v="0"/>
    <s v="Alyosha Meah"/>
    <s v="Tablet"/>
    <s v="17-0893784"/>
  </r>
  <r>
    <s v="Portugal"/>
    <n v="116157.89"/>
    <n v="97166.07"/>
    <x v="176"/>
    <s v="Games"/>
    <s v="Parisian, Steuber and Satterfield"/>
    <x v="2"/>
    <s v="Hortense Gerring"/>
    <s v="PC"/>
    <s v="23-5766200"/>
  </r>
  <r>
    <s v="France"/>
    <n v="56106.13"/>
    <n v="45081.27"/>
    <x v="47"/>
    <s v="Electronics"/>
    <s v="Rowe, Hermiston and Kessler"/>
    <x v="5"/>
    <s v="Amelina Piscopiello"/>
    <s v="PC"/>
    <s v="24-3140242"/>
  </r>
  <r>
    <s v="Sweden"/>
    <n v="40385.449999999997"/>
    <n v="32591.06"/>
    <x v="177"/>
    <s v="Smartphones"/>
    <s v="Armstrong-Little"/>
    <x v="0"/>
    <s v="Tarrah Castelletti"/>
    <s v="PC"/>
    <s v="81-0573181"/>
  </r>
  <r>
    <s v="UK"/>
    <n v="112491.58"/>
    <n v="92254.34"/>
    <x v="178"/>
    <s v="Appliances"/>
    <s v="Hessel-Stiedemann"/>
    <x v="4"/>
    <s v="Genevra Charrisson"/>
    <s v="Mobile"/>
    <s v="13-1936536"/>
  </r>
  <r>
    <s v="Finland"/>
    <n v="200635.57"/>
    <n v="172245.64"/>
    <x v="179"/>
    <s v="Clothing"/>
    <s v="Larkin-Collier"/>
    <x v="1"/>
    <s v="Wat Bowkley"/>
    <s v="PC"/>
    <s v="94-8026718"/>
  </r>
  <r>
    <s v="Portugal"/>
    <n v="243176.92"/>
    <n v="202250.23999999999"/>
    <x v="180"/>
    <s v="Appliances"/>
    <s v="Gislason-Stanton"/>
    <x v="2"/>
    <s v="Hortense Gerring"/>
    <s v="PC"/>
    <s v="81-5976459"/>
  </r>
  <r>
    <s v="Portugal"/>
    <n v="52227.07"/>
    <n v="45124.19"/>
    <x v="181"/>
    <s v="Books"/>
    <s v="Farrell, Swaniawski and Crist"/>
    <x v="2"/>
    <s v="Corene Shirer"/>
    <s v="PC"/>
    <s v="28-6038070"/>
  </r>
  <r>
    <s v="Bulgaria"/>
    <n v="147672.87"/>
    <n v="129110.39"/>
    <x v="182"/>
    <s v="Electronics"/>
    <s v="Homenick-Marvin"/>
    <x v="8"/>
    <s v="Bernadine Fullagar"/>
    <s v="PC"/>
    <s v="81-7970957"/>
  </r>
  <r>
    <s v="France"/>
    <n v="149500.60999999999"/>
    <n v="125401.11"/>
    <x v="183"/>
    <s v="Games"/>
    <s v="McGlynn-Bergstrom"/>
    <x v="5"/>
    <s v="Crysta Halls"/>
    <s v="PC"/>
    <s v="60-8646184"/>
  </r>
  <r>
    <s v="France"/>
    <n v="53089.52"/>
    <n v="44812.86"/>
    <x v="184"/>
    <s v="Beauty"/>
    <s v="Goldner-Dibbert"/>
    <x v="5"/>
    <s v="Crysta Halls"/>
    <s v="PC"/>
    <s v="32-2114915"/>
  </r>
  <r>
    <s v="France"/>
    <n v="85223.07"/>
    <n v="73002.080000000002"/>
    <x v="83"/>
    <s v="Beauty"/>
    <s v="Hamill, Kulas and Roob"/>
    <x v="5"/>
    <s v="Maighdiln Upcraft"/>
    <s v="PC"/>
    <s v="58-7865136"/>
  </r>
  <r>
    <s v="Denmark"/>
    <n v="58948.52"/>
    <n v="49416.54"/>
    <x v="152"/>
    <s v="Clothing"/>
    <s v="Wisoky Inc"/>
    <x v="13"/>
    <s v="Case Desorts"/>
    <s v="PC"/>
    <s v="98-9112505"/>
  </r>
  <r>
    <s v="Portugal"/>
    <n v="165696.9"/>
    <n v="132275.84"/>
    <x v="185"/>
    <s v="Electronics"/>
    <s v="Franecki-White"/>
    <x v="2"/>
    <s v="Aurelie Wren"/>
    <s v="PC"/>
    <s v="03-0455038"/>
  </r>
  <r>
    <s v="Sweden"/>
    <n v="177993.88"/>
    <n v="145029.41"/>
    <x v="64"/>
    <s v="Outdoors"/>
    <s v="Johns and Sons"/>
    <x v="0"/>
    <s v="Alyosha Meah"/>
    <s v="Tablet"/>
    <s v="71-0122842"/>
  </r>
  <r>
    <s v="France"/>
    <n v="108713.83"/>
    <n v="90341.19"/>
    <x v="52"/>
    <s v="Clothing"/>
    <s v="Hessel-Stiedemann"/>
    <x v="5"/>
    <s v="Amelina Piscopiello"/>
    <s v="PC"/>
    <s v="55-1395838"/>
  </r>
  <r>
    <s v="Finland"/>
    <n v="25816.05"/>
    <n v="21447.97"/>
    <x v="186"/>
    <s v="Clothing"/>
    <s v="Smith Group"/>
    <x v="1"/>
    <s v="Mellicent Mattys"/>
    <s v="Mobile"/>
    <s v="95-7886861"/>
  </r>
  <r>
    <s v="Portugal"/>
    <n v="154072.89000000001"/>
    <n v="121887.06"/>
    <x v="187"/>
    <s v="Beauty"/>
    <s v="Rowe, Hermiston and Kessler"/>
    <x v="2"/>
    <s v="Smitty Culverhouse"/>
    <s v="PC"/>
    <s v="19-3013452"/>
  </r>
  <r>
    <s v="Finland"/>
    <n v="194962.05"/>
    <n v="154975.32999999999"/>
    <x v="188"/>
    <s v="Appliances"/>
    <s v="Rowe, Hermiston and Kessler"/>
    <x v="1"/>
    <s v="Mellicent Mattys"/>
    <s v="PC"/>
    <s v="54-5082146"/>
  </r>
  <r>
    <s v="Portugal"/>
    <n v="60744.83"/>
    <n v="52805.48"/>
    <x v="189"/>
    <s v="Smartphones"/>
    <s v="Gislason-Stanton"/>
    <x v="2"/>
    <s v="Brynn Dempster"/>
    <s v="PC"/>
    <s v="69-4462108"/>
  </r>
  <r>
    <s v="Sweden"/>
    <n v="39313.39"/>
    <n v="34273.410000000003"/>
    <x v="144"/>
    <s v="Beauty"/>
    <s v="Corwin and Sons"/>
    <x v="0"/>
    <s v="Anita Woakes"/>
    <s v="Mobile"/>
    <s v="68-3731565"/>
  </r>
  <r>
    <s v="France"/>
    <n v="119820.82"/>
    <n v="98289.02"/>
    <x v="190"/>
    <s v="Appliances"/>
    <s v="Considine-Fisher"/>
    <x v="5"/>
    <s v="Amelina Piscopiello"/>
    <s v="PC"/>
    <s v="82-2972108"/>
  </r>
  <r>
    <s v="UK"/>
    <n v="129485.51"/>
    <n v="112794.83"/>
    <x v="191"/>
    <s v="Appliances"/>
    <s v="McGlynn-Prosacco"/>
    <x v="4"/>
    <s v="Jay Morefield"/>
    <s v="PC"/>
    <s v="15-2503493"/>
  </r>
  <r>
    <s v="Italy"/>
    <n v="163203.64000000001"/>
    <n v="140893.70000000001"/>
    <x v="192"/>
    <s v="Smartphones"/>
    <s v="Swaniawski, Runolfsson and Green"/>
    <x v="10"/>
    <s v="Joshua Prevost"/>
    <s v="PC"/>
    <s v="37-0857161"/>
  </r>
  <r>
    <s v="France"/>
    <n v="62788.04"/>
    <n v="53049.61"/>
    <x v="193"/>
    <s v="Appliances"/>
    <s v="Altenwerth-Konopelski"/>
    <x v="5"/>
    <s v="Avrit Chanders"/>
    <s v="PC"/>
    <s v="71-2709641"/>
  </r>
  <r>
    <s v="Portugal"/>
    <n v="148037.71"/>
    <n v="117867.62"/>
    <x v="194"/>
    <s v="Electronics"/>
    <s v="Romaguera-Dietrich"/>
    <x v="2"/>
    <s v="Corene Shirer"/>
    <s v="PC"/>
    <s v="10-5899580"/>
  </r>
  <r>
    <s v="Ireland"/>
    <n v="55539.67"/>
    <n v="45620.29"/>
    <x v="195"/>
    <s v="Electronics"/>
    <s v="Altenwerth-Konopelski"/>
    <x v="11"/>
    <s v="Palm Wetherald"/>
    <s v="PC"/>
    <s v="10-9241948"/>
  </r>
  <r>
    <s v="France"/>
    <n v="150135"/>
    <n v="131067.85"/>
    <x v="196"/>
    <s v="Smartphones"/>
    <s v="Larkin-Collier"/>
    <x v="5"/>
    <s v="Avrit Chanders"/>
    <s v="PC"/>
    <s v="68-0080728"/>
  </r>
  <r>
    <s v="Ireland"/>
    <n v="85294.3"/>
    <n v="72662.210000000006"/>
    <x v="197"/>
    <s v="Beauty"/>
    <s v="Zieme, Bailey and Herzog"/>
    <x v="11"/>
    <s v="Bunnie Tonbridge"/>
    <s v="PC"/>
    <s v="47-0640313"/>
  </r>
  <r>
    <s v="Luxembourg"/>
    <n v="136079.62"/>
    <n v="119178.53"/>
    <x v="44"/>
    <s v="Games"/>
    <s v="West-Cummings"/>
    <x v="9"/>
    <s v="Jocelyn Laurentino"/>
    <s v="PC"/>
    <s v="37-6597365"/>
  </r>
  <r>
    <s v="Finland"/>
    <n v="186397.6"/>
    <n v="161233.92000000001"/>
    <x v="168"/>
    <s v="Appliances"/>
    <s v="Friesen and Sons"/>
    <x v="1"/>
    <s v="Mellicent Mattys"/>
    <s v="Mobile"/>
    <s v="13-0833129"/>
  </r>
  <r>
    <s v="Germany"/>
    <n v="32695.37"/>
    <n v="26375.35"/>
    <x v="198"/>
    <s v="Accessories"/>
    <s v="Johns and Sons"/>
    <x v="12"/>
    <s v="Casie MacBain"/>
    <s v="Mobile"/>
    <s v="15-2994585"/>
  </r>
  <r>
    <s v="France"/>
    <n v="86077.83"/>
    <n v="72288.160000000003"/>
    <x v="199"/>
    <s v="Appliances"/>
    <s v="Johns and Sons"/>
    <x v="5"/>
    <s v="Amelina Piscopiello"/>
    <s v="PC"/>
    <s v="85-7784608"/>
  </r>
  <r>
    <s v="Sweden"/>
    <n v="72885.55"/>
    <n v="59773.440000000002"/>
    <x v="200"/>
    <s v="Clothing"/>
    <s v="Johns and Sons"/>
    <x v="0"/>
    <s v="Anita Woakes"/>
    <s v="PC"/>
    <s v="22-3969127"/>
  </r>
  <r>
    <s v="Portugal"/>
    <n v="100469.75"/>
    <n v="82566.039999999994"/>
    <x v="80"/>
    <s v="Electronics"/>
    <s v="Johns and Sons"/>
    <x v="2"/>
    <s v="Aurelie Wren"/>
    <s v="PC"/>
    <s v="80-2242820"/>
  </r>
  <r>
    <s v="Sweden"/>
    <n v="40831.519999999997"/>
    <n v="34192.31"/>
    <x v="85"/>
    <s v="Appliances"/>
    <s v="Labadie and Sons"/>
    <x v="0"/>
    <s v="Madelon Bront"/>
    <s v="PC"/>
    <s v="35-1705563"/>
  </r>
  <r>
    <s v="Italy"/>
    <n v="142353.07"/>
    <n v="116046.22"/>
    <x v="201"/>
    <s v="Books"/>
    <s v="Dibbert Inc"/>
    <x v="10"/>
    <s v="Joshua Prevost"/>
    <s v="PC"/>
    <s v="93-9941140"/>
  </r>
  <r>
    <s v="Sweden"/>
    <n v="250315.06"/>
    <n v="218825.43"/>
    <x v="29"/>
    <s v="Beauty"/>
    <s v="McGlynn-Prosacco"/>
    <x v="0"/>
    <s v="Alyosha Meah"/>
    <s v="PC"/>
    <s v="36-2366573"/>
  </r>
  <r>
    <s v="UK"/>
    <n v="100094.97"/>
    <n v="84690.35"/>
    <x v="15"/>
    <s v="Games"/>
    <s v="Swaniawski, Runolfsson and Green"/>
    <x v="4"/>
    <s v="Genevra Charrisson"/>
    <s v="PC"/>
    <s v="10-9932801"/>
  </r>
  <r>
    <s v="UK"/>
    <n v="77128.75"/>
    <n v="65536.3"/>
    <x v="202"/>
    <s v="Books"/>
    <s v="Dickinson, Hyatt and Berge"/>
    <x v="4"/>
    <s v="Jay Morefield"/>
    <s v="Mobile"/>
    <s v="70-8991739"/>
  </r>
  <r>
    <s v="France"/>
    <n v="176114.73"/>
    <n v="149257.23000000001"/>
    <x v="203"/>
    <s v="Electronics"/>
    <s v="Johns and Sons"/>
    <x v="5"/>
    <s v="Maighdiln Upcraft"/>
    <s v="PC"/>
    <s v="97-4830372"/>
  </r>
  <r>
    <s v="France"/>
    <n v="146325.53"/>
    <n v="118333.46"/>
    <x v="202"/>
    <s v="Games"/>
    <s v="Stehr-Bogan"/>
    <x v="5"/>
    <s v="Crysta Halls"/>
    <s v="PC"/>
    <s v="95-8015610"/>
  </r>
  <r>
    <s v="Germany"/>
    <n v="161823.46"/>
    <n v="130494.44"/>
    <x v="204"/>
    <s v="Clothing"/>
    <s v="Friesen-Rath"/>
    <x v="12"/>
    <s v="Casie MacBain"/>
    <s v="PC"/>
    <s v="84-1062113"/>
  </r>
  <r>
    <s v="Sweden"/>
    <n v="132632.97"/>
    <n v="112035.07"/>
    <x v="205"/>
    <s v="Electronics"/>
    <s v="Keeling, Monahan and Pollich"/>
    <x v="0"/>
    <s v="Anita Woakes"/>
    <s v="PC"/>
    <s v="05-5082715"/>
  </r>
  <r>
    <s v="Portugal"/>
    <n v="107232.99"/>
    <n v="85207.33"/>
    <x v="206"/>
    <s v="Appliances"/>
    <s v="Hessel-Stiedemann"/>
    <x v="2"/>
    <s v="Smitty Culverhouse"/>
    <s v="PC"/>
    <s v="35-6942653"/>
  </r>
  <r>
    <s v="Sweden"/>
    <n v="120763.23"/>
    <n v="96719.27"/>
    <x v="194"/>
    <s v="Clothing"/>
    <s v="Murray, Reichel and Nolan"/>
    <x v="0"/>
    <s v="Anita Woakes"/>
    <s v="PC"/>
    <s v="79-6623911"/>
  </r>
  <r>
    <s v="Bulgaria"/>
    <n v="278731.90000000002"/>
    <n v="221591.86"/>
    <x v="207"/>
    <s v="Appliances"/>
    <s v="West-Cummings"/>
    <x v="8"/>
    <s v="Bernadine Fullagar"/>
    <s v="PC"/>
    <s v="48-7662634"/>
  </r>
  <r>
    <s v="Bulgaria"/>
    <n v="138153.70000000001"/>
    <n v="112926.83"/>
    <x v="208"/>
    <s v="Games"/>
    <s v="McGlynn-Bergstrom"/>
    <x v="8"/>
    <s v="Bernadine Fullagar"/>
    <s v="PC"/>
    <s v="46-5888587"/>
  </r>
  <r>
    <s v="Ireland"/>
    <n v="68802.13"/>
    <n v="54635.77"/>
    <x v="209"/>
    <s v="Beauty"/>
    <s v="Kirlin and Sons"/>
    <x v="11"/>
    <s v="Bunnie Tonbridge"/>
    <s v="PC"/>
    <s v="17-3178991"/>
  </r>
  <r>
    <s v="Finland"/>
    <n v="35619.279999999999"/>
    <n v="28192.66"/>
    <x v="210"/>
    <s v="Electronics"/>
    <s v="Murray, Reichel and Nolan"/>
    <x v="1"/>
    <s v="Wat Bowkley"/>
    <s v="PC"/>
    <s v="18-8528486"/>
  </r>
  <r>
    <s v="UK"/>
    <n v="65014.84"/>
    <n v="53669.75"/>
    <x v="211"/>
    <s v="Outdoors"/>
    <s v="Dickinson, Hyatt and Berge"/>
    <x v="4"/>
    <s v="Genevra Charrisson"/>
    <s v="Mobile"/>
    <s v="55-4588115"/>
  </r>
  <r>
    <s v="Germany"/>
    <n v="48922.42"/>
    <n v="39387.440000000002"/>
    <x v="212"/>
    <s v="Outdoors"/>
    <s v="Murray, Reichel and Nolan"/>
    <x v="12"/>
    <s v="Casie MacBain"/>
    <s v="Tablet"/>
    <s v="19-9073616"/>
  </r>
  <r>
    <s v="France"/>
    <n v="165262.34"/>
    <n v="142621.4"/>
    <x v="134"/>
    <s v="Electronics"/>
    <s v="Altenwerth-Konopelski"/>
    <x v="5"/>
    <s v="Amelina Piscopiello"/>
    <s v="Mobile"/>
    <s v="96-0020600"/>
  </r>
  <r>
    <s v="Portugal"/>
    <n v="164117.24"/>
    <n v="133509.37"/>
    <x v="213"/>
    <s v="Electronics"/>
    <s v="Zieme, Bailey and Herzog"/>
    <x v="2"/>
    <s v="Corene Shirer"/>
    <s v="PC"/>
    <s v="88-7664123"/>
  </r>
  <r>
    <s v="Portugal"/>
    <n v="238085.99"/>
    <n v="193587.72"/>
    <x v="214"/>
    <s v="Clothing"/>
    <s v="Rowe, Hermiston and Kessler"/>
    <x v="2"/>
    <s v="Hortense Gerring"/>
    <s v="PC"/>
    <s v="17-8884817"/>
  </r>
  <r>
    <s v="Sweden"/>
    <n v="117733.51"/>
    <n v="97294.97"/>
    <x v="114"/>
    <s v="Electronics"/>
    <s v="Connelly-Mohr"/>
    <x v="0"/>
    <s v="Tarrah Castelletti"/>
    <s v="PC"/>
    <s v="45-5509135"/>
  </r>
  <r>
    <s v="France"/>
    <n v="26713.46"/>
    <n v="22043.95"/>
    <x v="215"/>
    <s v="Beauty"/>
    <s v="Wisoky Inc"/>
    <x v="5"/>
    <s v="Ora Grennan"/>
    <s v="PC"/>
    <s v="81-4176165"/>
  </r>
  <r>
    <s v="France"/>
    <n v="49664.17"/>
    <n v="39244.629999999997"/>
    <x v="216"/>
    <s v="Books"/>
    <s v="Swaniawski, Runolfsson and Green"/>
    <x v="5"/>
    <s v="Amelina Piscopiello"/>
    <s v="PC"/>
    <s v="24-9702599"/>
  </r>
  <r>
    <s v="Sweden"/>
    <n v="162101.93"/>
    <n v="133912.4"/>
    <x v="102"/>
    <s v="Smartphones"/>
    <s v="Rowe, Hermiston and Kessler"/>
    <x v="0"/>
    <s v="Tarrah Castelletti"/>
    <s v="PC"/>
    <s v="24-4272786"/>
  </r>
  <r>
    <s v="France"/>
    <n v="118027.37"/>
    <n v="96050.67"/>
    <x v="217"/>
    <s v="Beauty"/>
    <s v="Johns and Sons"/>
    <x v="5"/>
    <s v="Ora Grennan"/>
    <s v="PC"/>
    <s v="77-3656041"/>
  </r>
  <r>
    <s v="Sweden"/>
    <n v="147994.63"/>
    <n v="129643.3"/>
    <x v="218"/>
    <s v="Games"/>
    <s v="Stamm Inc"/>
    <x v="0"/>
    <s v="Alyosha Meah"/>
    <s v="PC"/>
    <s v="47-7207206"/>
  </r>
  <r>
    <s v="Finland"/>
    <n v="48946.74"/>
    <n v="38765.82"/>
    <x v="167"/>
    <s v="Accessories"/>
    <s v="Swaniawski, Runolfsson and Green"/>
    <x v="1"/>
    <s v="Mellicent Mattys"/>
    <s v="PC"/>
    <s v="65-2022928"/>
  </r>
  <r>
    <s v="Sweden"/>
    <n v="73860.570000000007"/>
    <n v="60336.7"/>
    <x v="67"/>
    <s v="Clothing"/>
    <s v="McGlynn-Prosacco"/>
    <x v="0"/>
    <s v="Madelon Bront"/>
    <s v="PC"/>
    <s v="16-5837761"/>
  </r>
  <r>
    <s v="Portugal"/>
    <n v="86083.27"/>
    <n v="72309.95"/>
    <x v="219"/>
    <s v="Electronics"/>
    <s v="Connelly-Mohr"/>
    <x v="2"/>
    <s v="Hortense Gerring"/>
    <s v="PC"/>
    <s v="80-7090422"/>
  </r>
  <r>
    <s v="Finland"/>
    <n v="72385.53"/>
    <n v="60181.33"/>
    <x v="220"/>
    <s v="Clothing"/>
    <s v="Johns and Sons"/>
    <x v="1"/>
    <s v="Wat Bowkley"/>
    <s v="PC"/>
    <s v="66-8222460"/>
  </r>
  <r>
    <s v="Portugal"/>
    <n v="120332.26"/>
    <n v="102282.42"/>
    <x v="221"/>
    <s v="Clothing"/>
    <s v="Parisian, Steuber and Satterfield"/>
    <x v="2"/>
    <s v="Hortense Gerring"/>
    <s v="Tablet"/>
    <s v="44-0527427"/>
  </r>
  <r>
    <s v="Sweden"/>
    <n v="81262.34"/>
    <n v="65326.8"/>
    <x v="222"/>
    <s v="Books"/>
    <s v="Johns and Sons"/>
    <x v="0"/>
    <s v="Anita Woakes"/>
    <s v="Mobile"/>
    <s v="75-9517276"/>
  </r>
  <r>
    <s v="Austria"/>
    <n v="139075.59"/>
    <n v="113708.2"/>
    <x v="223"/>
    <s v="Games"/>
    <s v="Murray, Reichel and Nolan"/>
    <x v="14"/>
    <s v="Bank Coumbe"/>
    <s v="PC"/>
    <s v="24-2403756"/>
  </r>
  <r>
    <s v="France"/>
    <n v="50516.2"/>
    <n v="43918.78"/>
    <x v="75"/>
    <s v="Electronics"/>
    <s v="Wiza and Sons"/>
    <x v="5"/>
    <s v="Maighdiln Upcraft"/>
    <s v="PC"/>
    <s v="50-1986322"/>
  </r>
  <r>
    <s v="Sweden"/>
    <n v="112228.82"/>
    <n v="97470.73"/>
    <x v="83"/>
    <s v="Outdoors"/>
    <s v="Gislason-Stanton"/>
    <x v="0"/>
    <s v="Madelon Bront"/>
    <s v="PC"/>
    <s v="75-9585763"/>
  </r>
  <r>
    <s v="France"/>
    <n v="79833.600000000006"/>
    <n v="63411.83"/>
    <x v="147"/>
    <s v="Appliances"/>
    <s v="McGlynn-Bergstrom"/>
    <x v="5"/>
    <s v="Avrit Chanders"/>
    <s v="PC"/>
    <s v="86-6760202"/>
  </r>
  <r>
    <s v="Finland"/>
    <n v="135629.35999999999"/>
    <n v="118526.5"/>
    <x v="224"/>
    <s v="Games"/>
    <s v="Tillman and Sons"/>
    <x v="1"/>
    <s v="Mellicent Mattys"/>
    <s v="PC"/>
    <s v="66-7717800"/>
  </r>
  <r>
    <s v="Luxembourg"/>
    <n v="175332.04"/>
    <n v="144999.6"/>
    <x v="225"/>
    <s v="Accessories"/>
    <s v="Hegmann Group"/>
    <x v="9"/>
    <s v="Jocelyn Laurentino"/>
    <s v="PC"/>
    <s v="89-8942175"/>
  </r>
  <r>
    <s v="Portugal"/>
    <n v="101923.36"/>
    <n v="86115.05"/>
    <x v="226"/>
    <s v="Beauty"/>
    <s v="Shanahan, Schaden and Parker"/>
    <x v="2"/>
    <s v="Brynn Dempster"/>
    <s v="Mobile"/>
    <s v="38-0584273"/>
  </r>
  <r>
    <s v="Germany"/>
    <n v="190100.96"/>
    <n v="160749.37"/>
    <x v="227"/>
    <s v="Electronics"/>
    <s v="Walter LLC"/>
    <x v="12"/>
    <s v="Casie MacBain"/>
    <s v="PC"/>
    <s v="38-8840357"/>
  </r>
  <r>
    <s v="Netherlands"/>
    <n v="152771.9"/>
    <n v="134423.99"/>
    <x v="228"/>
    <s v="Clothing"/>
    <s v="McClure Inc"/>
    <x v="6"/>
    <s v="Nero Harbisher"/>
    <s v="PC"/>
    <s v="82-4495901"/>
  </r>
  <r>
    <s v="France"/>
    <n v="52805.94"/>
    <n v="43791.97"/>
    <x v="229"/>
    <s v="Smartphones"/>
    <s v="Kihn Inc"/>
    <x v="5"/>
    <s v="Amelina Piscopiello"/>
    <s v="PC"/>
    <s v="81-2373308"/>
  </r>
  <r>
    <s v="Portugal"/>
    <n v="51416.24"/>
    <n v="43338.75"/>
    <x v="63"/>
    <s v="Smartphones"/>
    <s v="Spencer, Rogahn and Muller"/>
    <x v="2"/>
    <s v="Aurelie Wren"/>
    <s v="PC"/>
    <s v="15-0224516"/>
  </r>
  <r>
    <s v="Luxembourg"/>
    <n v="76426.539999999994"/>
    <n v="66116.600000000006"/>
    <x v="230"/>
    <s v="Clothing"/>
    <s v="O'Connell-Mitchell"/>
    <x v="9"/>
    <s v="Jocelyn Laurentino"/>
    <s v="PC"/>
    <s v="95-6935153"/>
  </r>
  <r>
    <s v="France"/>
    <n v="118021.59"/>
    <n v="98229.37"/>
    <x v="110"/>
    <s v="Beauty"/>
    <s v="Lubowitz, McLaughlin and Erdman"/>
    <x v="5"/>
    <s v="Maighdiln Upcraft"/>
    <s v="PC"/>
    <s v="60-8661261"/>
  </r>
  <r>
    <s v="Portugal"/>
    <n v="59378.97"/>
    <n v="52176.3"/>
    <x v="231"/>
    <s v="Appliances"/>
    <s v="Schoen-Keeling"/>
    <x v="2"/>
    <s v="Corene Shirer"/>
    <s v="PC"/>
    <s v="56-2783503"/>
  </r>
  <r>
    <s v="Spain"/>
    <n v="61325.25"/>
    <n v="49379.09"/>
    <x v="232"/>
    <s v="Beauty"/>
    <s v="Hessel-Stiedemann"/>
    <x v="3"/>
    <s v="Manuel Goudie"/>
    <s v="Tablet"/>
    <s v="95-1516475"/>
  </r>
  <r>
    <s v="France"/>
    <n v="80431.34"/>
    <n v="69774.19"/>
    <x v="233"/>
    <s v="Beauty"/>
    <s v="Hessel-Stiedemann"/>
    <x v="5"/>
    <s v="Crysta Halls"/>
    <s v="PC"/>
    <s v="32-5562588"/>
  </r>
  <r>
    <s v="Portugal"/>
    <n v="177919.14"/>
    <n v="147370.42000000001"/>
    <x v="87"/>
    <s v="Beauty"/>
    <s v="Walter LLC"/>
    <x v="2"/>
    <s v="Aurelie Wren"/>
    <s v="PC"/>
    <s v="70-7769332"/>
  </r>
  <r>
    <s v="Ireland"/>
    <n v="37520.089999999997"/>
    <n v="32781.300000000003"/>
    <x v="234"/>
    <s v="Clothing"/>
    <s v="Kihn Inc"/>
    <x v="11"/>
    <s v="Bunnie Tonbridge"/>
    <s v="Mobile"/>
    <s v="07-6200800"/>
  </r>
  <r>
    <s v="Spain"/>
    <n v="68745.86"/>
    <n v="58014.63"/>
    <x v="235"/>
    <s v="Electronics"/>
    <s v="Labadie and Sons"/>
    <x v="3"/>
    <s v="Manuel Goudie"/>
    <s v="PC"/>
    <s v="11-2988171"/>
  </r>
  <r>
    <s v="Denmark"/>
    <n v="69017.42"/>
    <n v="55897.21"/>
    <x v="3"/>
    <s v="Electronics"/>
    <s v="Hegmann Group"/>
    <x v="13"/>
    <s v="Case Desorts"/>
    <s v="PC"/>
    <s v="38-3894304"/>
  </r>
  <r>
    <s v="France"/>
    <n v="48850.38"/>
    <n v="39788.629999999997"/>
    <x v="236"/>
    <s v="Appliances"/>
    <s v="Spencer, Rogahn and Muller"/>
    <x v="5"/>
    <s v="Crysta Halls"/>
    <s v="PC"/>
    <s v="33-6126082"/>
  </r>
  <r>
    <s v="Netherlands"/>
    <n v="253291.55"/>
    <n v="219502.46"/>
    <x v="237"/>
    <s v="Books"/>
    <s v="Altenwerth-Konopelski"/>
    <x v="6"/>
    <s v="Nero Harbisher"/>
    <s v="PC"/>
    <s v="25-4970452"/>
  </r>
  <r>
    <s v="Portugal"/>
    <n v="47186.74"/>
    <n v="38112.730000000003"/>
    <x v="238"/>
    <s v="Electronics"/>
    <s v="Hartmann, Hane and Pfannerstill"/>
    <x v="2"/>
    <s v="Aurelie Wren"/>
    <s v="PC"/>
    <s v="34-8903845"/>
  </r>
  <r>
    <s v="Portugal"/>
    <n v="59670.68"/>
    <n v="51269.05"/>
    <x v="220"/>
    <s v="Appliances"/>
    <s v="Shanahan, Schaden and Parker"/>
    <x v="2"/>
    <s v="Aurelie Wren"/>
    <s v="PC"/>
    <s v="32-2110689"/>
  </r>
  <r>
    <s v="Portugal"/>
    <n v="228961.3"/>
    <n v="183764.34"/>
    <x v="239"/>
    <s v="Appliances"/>
    <s v="Johns and Sons"/>
    <x v="2"/>
    <s v="Hortense Gerring"/>
    <s v="PC"/>
    <s v="37-8204282"/>
  </r>
  <r>
    <s v="France"/>
    <n v="165259.57999999999"/>
    <n v="130703.8"/>
    <x v="240"/>
    <s v="Outdoors"/>
    <s v="Armstrong-Little"/>
    <x v="5"/>
    <s v="Crysta Halls"/>
    <s v="PC"/>
    <s v="46-1318487"/>
  </r>
  <r>
    <s v="France"/>
    <n v="219911.81"/>
    <n v="179426.05"/>
    <x v="241"/>
    <s v="Clothing"/>
    <s v="Smith Group"/>
    <x v="5"/>
    <s v="Crysta Halls"/>
    <s v="PC"/>
    <s v="99-3971751"/>
  </r>
  <r>
    <s v="Finland"/>
    <n v="55882.12"/>
    <n v="48561.56"/>
    <x v="152"/>
    <s v="Clothing"/>
    <s v="Murray, Reichel and Nolan"/>
    <x v="1"/>
    <s v="Mellicent Mattys"/>
    <s v="PC"/>
    <s v="24-7985425"/>
  </r>
  <r>
    <s v="France"/>
    <n v="16388.900000000001"/>
    <n v="13430.7"/>
    <x v="242"/>
    <s v="Electronics"/>
    <s v="West-Cummings"/>
    <x v="5"/>
    <s v="Crysta Halls"/>
    <s v="PC"/>
    <s v="30-9690927"/>
  </r>
  <r>
    <s v="Spain"/>
    <n v="85927.37"/>
    <n v="74490.44"/>
    <x v="243"/>
    <s v="Clothing"/>
    <s v="Hartmann, Hane and Pfannerstill"/>
    <x v="3"/>
    <s v="Perri Aldersley"/>
    <s v="PC"/>
    <s v="37-5025811"/>
  </r>
  <r>
    <s v="France"/>
    <n v="161212.39000000001"/>
    <n v="138046.17000000001"/>
    <x v="244"/>
    <s v="Accessories"/>
    <s v="Hilll-Vandervort"/>
    <x v="5"/>
    <s v="Crysta Halls"/>
    <s v="PC"/>
    <s v="21-6670877"/>
  </r>
  <r>
    <s v="France"/>
    <n v="66678.38"/>
    <n v="53009.31"/>
    <x v="245"/>
    <s v="Smartphones"/>
    <s v="Walter LLC"/>
    <x v="5"/>
    <s v="Amelina Piscopiello"/>
    <s v="PC"/>
    <s v="34-3119010"/>
  </r>
  <r>
    <s v="Sweden"/>
    <n v="148243.04999999999"/>
    <n v="120566.07"/>
    <x v="246"/>
    <s v="Beauty"/>
    <s v="Johns and Sons"/>
    <x v="0"/>
    <s v="Madelon Bront"/>
    <s v="PC"/>
    <s v="54-7503816"/>
  </r>
  <r>
    <s v="Ireland"/>
    <n v="126523.36"/>
    <n v="106368.19"/>
    <x v="247"/>
    <s v="Games"/>
    <s v="Gleichner-Green"/>
    <x v="11"/>
    <s v="Bunnie Tonbridge"/>
    <s v="PC"/>
    <s v="96-1698894"/>
  </r>
  <r>
    <s v="Ireland"/>
    <n v="63373.72"/>
    <n v="55572.41"/>
    <x v="248"/>
    <s v="Clothing"/>
    <s v="Dickinson, Hyatt and Berge"/>
    <x v="11"/>
    <s v="Bunnie Tonbridge"/>
    <s v="PC"/>
    <s v="92-0523700"/>
  </r>
  <r>
    <s v="Ireland"/>
    <n v="76767.77"/>
    <n v="64500.28"/>
    <x v="249"/>
    <s v="Games"/>
    <s v="Spencer, Rogahn and Muller"/>
    <x v="11"/>
    <s v="Bunnie Tonbridge"/>
    <s v="PC"/>
    <s v="15-3657248"/>
  </r>
  <r>
    <s v="Portugal"/>
    <n v="78938.820000000007"/>
    <n v="65471.86"/>
    <x v="250"/>
    <s v="Games"/>
    <s v="Fisher, Morar and Skiles"/>
    <x v="2"/>
    <s v="Brynn Dempster"/>
    <s v="PC"/>
    <s v="16-3423161"/>
  </r>
  <r>
    <s v="France"/>
    <n v="131864.04"/>
    <n v="110277.9"/>
    <x v="235"/>
    <s v="Appliances"/>
    <s v="Murray, Reichel and Nolan"/>
    <x v="5"/>
    <s v="Ora Grennan"/>
    <s v="PC"/>
    <s v="67-2684209"/>
  </r>
  <r>
    <s v="Portugal"/>
    <n v="116774.43"/>
    <n v="98954.65"/>
    <x v="110"/>
    <s v="Accessories"/>
    <s v="Labadie and Sons"/>
    <x v="2"/>
    <s v="Hortense Gerring"/>
    <s v="Mobile"/>
    <s v="21-7344983"/>
  </r>
  <r>
    <s v="France"/>
    <n v="141112.84"/>
    <n v="120044.69"/>
    <x v="72"/>
    <s v="Electronics"/>
    <s v="Gislason-Stanton"/>
    <x v="5"/>
    <s v="Avrit Chanders"/>
    <s v="Mobile"/>
    <s v="47-9701762"/>
  </r>
  <r>
    <s v="Bulgaria"/>
    <n v="33210.559999999998"/>
    <n v="29109.06"/>
    <x v="251"/>
    <s v="Books"/>
    <s v="Hessel-Stiedemann"/>
    <x v="8"/>
    <s v="Bernadine Fullagar"/>
    <s v="PC"/>
    <s v="86-3876359"/>
  </r>
  <r>
    <s v="France"/>
    <n v="174392.33"/>
    <n v="141449.62"/>
    <x v="252"/>
    <s v="Smartphones"/>
    <s v="Labadie and Sons"/>
    <x v="5"/>
    <s v="Ora Grennan"/>
    <s v="PC"/>
    <s v="34-4313860"/>
  </r>
  <r>
    <s v="Sweden"/>
    <n v="204484.61"/>
    <n v="177308.61"/>
    <x v="190"/>
    <s v="Games"/>
    <s v="Hermiston, Simonis and Wisoky"/>
    <x v="0"/>
    <s v="Caro Morfield"/>
    <s v="Tablet"/>
    <s v="71-4782689"/>
  </r>
  <r>
    <s v="Germany"/>
    <n v="80986.100000000006"/>
    <n v="64124.79"/>
    <x v="64"/>
    <s v="Appliances"/>
    <s v="Dickinson, Hyatt and Berge"/>
    <x v="12"/>
    <s v="Casie MacBain"/>
    <s v="Mobile"/>
    <s v="85-3690127"/>
  </r>
  <r>
    <s v="Sweden"/>
    <n v="179179.73"/>
    <n v="154936.71"/>
    <x v="253"/>
    <s v="Books"/>
    <s v="Zieme, Bailey and Herzog"/>
    <x v="0"/>
    <s v="Anita Woakes"/>
    <s v="PC"/>
    <s v="66-5810051"/>
  </r>
  <r>
    <s v="Netherlands"/>
    <n v="99731.4"/>
    <n v="84731.8"/>
    <x v="254"/>
    <s v="Electronics"/>
    <s v="Smith Group"/>
    <x v="6"/>
    <s v="Nero Harbisher"/>
    <s v="PC"/>
    <s v="81-9170157"/>
  </r>
  <r>
    <s v="France"/>
    <n v="32661.62"/>
    <n v="27922.42"/>
    <x v="255"/>
    <s v="Electronics"/>
    <s v="Zieme, Bailey and Herzog"/>
    <x v="5"/>
    <s v="Amelina Piscopiello"/>
    <s v="PC"/>
    <s v="24-7300640"/>
  </r>
  <r>
    <s v="Sweden"/>
    <n v="30166.93"/>
    <n v="24658.45"/>
    <x v="256"/>
    <s v="Appliances"/>
    <s v="Corwin and Sons"/>
    <x v="0"/>
    <s v="Tarrah Castelletti"/>
    <s v="PC"/>
    <s v="97-1288901"/>
  </r>
  <r>
    <s v="Germany"/>
    <n v="36747.24"/>
    <n v="31900.28"/>
    <x v="226"/>
    <s v="Accessories"/>
    <s v="Johns and Sons"/>
    <x v="12"/>
    <s v="Casie MacBain"/>
    <s v="PC"/>
    <s v="81-9757849"/>
  </r>
  <r>
    <s v="France"/>
    <n v="66884.7"/>
    <n v="58544.18"/>
    <x v="257"/>
    <s v="Smartphones"/>
    <s v="Wisoky Inc"/>
    <x v="5"/>
    <s v="Crysta Halls"/>
    <s v="PC"/>
    <s v="44-9179070"/>
  </r>
  <r>
    <s v="Portugal"/>
    <n v="165305.70000000001"/>
    <n v="134757.21"/>
    <x v="114"/>
    <s v="Games"/>
    <s v="Christiansen, Donnelly and Bechtelar"/>
    <x v="2"/>
    <s v="Aurelie Wren"/>
    <s v="PC"/>
    <s v="55-2137809"/>
  </r>
  <r>
    <s v="Sweden"/>
    <n v="50618.21"/>
    <n v="41835.949999999997"/>
    <x v="40"/>
    <s v="Beauty"/>
    <s v="Hegmann Group"/>
    <x v="0"/>
    <s v="Tarrah Castelletti"/>
    <s v="PC"/>
    <s v="56-1063618"/>
  </r>
  <r>
    <s v="Sweden"/>
    <n v="82116.31"/>
    <n v="70652.87"/>
    <x v="258"/>
    <s v="Beauty"/>
    <s v="Zieme, Bailey and Herzog"/>
    <x v="0"/>
    <s v="Caro Morfield"/>
    <s v="Tablet"/>
    <s v="01-8080546"/>
  </r>
  <r>
    <s v="Sweden"/>
    <n v="106142.65"/>
    <n v="88151.47"/>
    <x v="259"/>
    <s v="Games"/>
    <s v="Baumbach Group"/>
    <x v="0"/>
    <s v="Anita Woakes"/>
    <s v="PC"/>
    <s v="29-5632797"/>
  </r>
  <r>
    <s v="Portugal"/>
    <n v="149514"/>
    <n v="122646.33"/>
    <x v="260"/>
    <s v="Games"/>
    <s v="Bashirian, Okuneva and Bechtelar"/>
    <x v="2"/>
    <s v="Smitty Culverhouse"/>
    <s v="Mobile"/>
    <s v="20-1191256"/>
  </r>
  <r>
    <s v="Sweden"/>
    <n v="30975.79"/>
    <n v="27072.84"/>
    <x v="242"/>
    <s v="Clothing"/>
    <s v="McGlynn-Bergstrom"/>
    <x v="0"/>
    <s v="Tarrah Castelletti"/>
    <s v="PC"/>
    <s v="33-4022317"/>
  </r>
  <r>
    <s v="France"/>
    <n v="165118.74"/>
    <n v="137527.4"/>
    <x v="86"/>
    <s v="Clothing"/>
    <s v="Smith Group"/>
    <x v="5"/>
    <s v="Amelina Piscopiello"/>
    <s v="PC"/>
    <s v="59-5892824"/>
  </r>
  <r>
    <s v="Germany"/>
    <n v="76652.73"/>
    <n v="64311.64"/>
    <x v="261"/>
    <s v="Accessories"/>
    <s v="Farrell, Swaniawski and Crist"/>
    <x v="12"/>
    <s v="Casie MacBain"/>
    <s v="PC"/>
    <s v="52-3394023"/>
  </r>
  <r>
    <s v="UK"/>
    <n v="151632.32999999999"/>
    <n v="120744.82"/>
    <x v="5"/>
    <s v="Clothing"/>
    <s v="Armstrong-Little"/>
    <x v="4"/>
    <s v="Winny Agnolo"/>
    <s v="PC"/>
    <s v="89-5350599"/>
  </r>
  <r>
    <s v="France"/>
    <n v="35289.75"/>
    <n v="29424.59"/>
    <x v="16"/>
    <s v="Smartphones"/>
    <s v="Armstrong-Little"/>
    <x v="5"/>
    <s v="Maighdiln Upcraft"/>
    <s v="PC"/>
    <s v="92-6298656"/>
  </r>
  <r>
    <s v="France"/>
    <n v="77043.839999999997"/>
    <n v="63245.29"/>
    <x v="255"/>
    <s v="Outdoors"/>
    <s v="Armstrong-Little"/>
    <x v="5"/>
    <s v="Avrit Chanders"/>
    <s v="PC"/>
    <s v="91-7317758"/>
  </r>
  <r>
    <s v="Portugal"/>
    <n v="59691.71"/>
    <n v="49239.69"/>
    <x v="262"/>
    <s v="Other"/>
    <s v="Walter LLC"/>
    <x v="2"/>
    <s v="Hortense Gerring"/>
    <s v="PC"/>
    <s v="60-6055725"/>
  </r>
  <r>
    <s v="Portugal"/>
    <n v="181882.43"/>
    <n v="149834.75"/>
    <x v="238"/>
    <s v="Books"/>
    <s v="McClure Inc"/>
    <x v="2"/>
    <s v="Corene Shirer"/>
    <s v="PC"/>
    <s v="33-2816759"/>
  </r>
  <r>
    <s v="Portugal"/>
    <n v="50796.04"/>
    <n v="44090.96"/>
    <x v="263"/>
    <s v="Books"/>
    <s v="Farrell, Swaniawski and Crist"/>
    <x v="2"/>
    <s v="Hortense Gerring"/>
    <s v="PC"/>
    <s v="05-2359767"/>
  </r>
  <r>
    <s v="Netherlands"/>
    <n v="73981.77"/>
    <n v="61959.73"/>
    <x v="41"/>
    <s v="Clothing"/>
    <s v="Hamill, Kulas and Roob"/>
    <x v="6"/>
    <s v="Nero Harbisher"/>
    <s v="PC"/>
    <s v="73-9492768"/>
  </r>
  <r>
    <s v="UK"/>
    <n v="105686.13"/>
    <n v="86694.33"/>
    <x v="57"/>
    <s v="Outdoors"/>
    <s v="Johns and Sons"/>
    <x v="4"/>
    <s v="Genevra Charrisson"/>
    <s v="PC"/>
    <s v="31-6770318"/>
  </r>
  <r>
    <s v="Sweden"/>
    <n v="149376.26"/>
    <n v="123653.67"/>
    <x v="264"/>
    <s v="Other"/>
    <s v="Fisher, Morar and Skiles"/>
    <x v="0"/>
    <s v="Alyosha Meah"/>
    <s v="PC"/>
    <s v="52-0695511"/>
  </r>
  <r>
    <s v="Netherlands"/>
    <n v="85237.91"/>
    <n v="72384.03"/>
    <x v="265"/>
    <s v="Smartphones"/>
    <s v="Armstrong-Little"/>
    <x v="6"/>
    <s v="Nero Harbisher"/>
    <s v="PC"/>
    <s v="45-8314773"/>
  </r>
  <r>
    <s v="Luxembourg"/>
    <n v="104743.22"/>
    <n v="83281.33"/>
    <x v="266"/>
    <s v="Electronics"/>
    <s v="Johns and Sons"/>
    <x v="9"/>
    <s v="Jocelyn Laurentino"/>
    <s v="Mobile"/>
    <s v="53-0205940"/>
  </r>
  <r>
    <s v="Portugal"/>
    <n v="290551.74"/>
    <n v="239530.86"/>
    <x v="267"/>
    <s v="Other"/>
    <s v="Hessel-Stiedemann"/>
    <x v="2"/>
    <s v="Brynn Dempster"/>
    <s v="PC"/>
    <s v="53-1660551"/>
  </r>
  <r>
    <s v="France"/>
    <n v="72314.73"/>
    <n v="57309.42"/>
    <x v="268"/>
    <s v="Appliances"/>
    <s v="Johns and Sons"/>
    <x v="5"/>
    <s v="Ora Grennan"/>
    <s v="PC"/>
    <s v="70-5394452"/>
  </r>
  <r>
    <s v="Netherlands"/>
    <n v="119858.15"/>
    <n v="99997.65"/>
    <x v="269"/>
    <s v="Electronics"/>
    <s v="McGlynn-Prosacco"/>
    <x v="6"/>
    <s v="Nero Harbisher"/>
    <s v="PC"/>
    <s v="10-0386535"/>
  </r>
  <r>
    <s v="Portugal"/>
    <n v="119937.47"/>
    <n v="98720.53"/>
    <x v="270"/>
    <s v="Games"/>
    <s v="Hartmann, Hane and Pfannerstill"/>
    <x v="2"/>
    <s v="Aurelie Wren"/>
    <s v="PC"/>
    <s v="56-8476539"/>
  </r>
  <r>
    <s v="France"/>
    <n v="60592.4"/>
    <n v="52363.95"/>
    <x v="271"/>
    <s v="Accessories"/>
    <s v="Rowe, Hermiston and Kessler"/>
    <x v="5"/>
    <s v="Crysta Halls"/>
    <s v="PC"/>
    <s v="04-7976277"/>
  </r>
  <r>
    <s v="Ireland"/>
    <n v="31966.82"/>
    <n v="26593.200000000001"/>
    <x v="272"/>
    <s v="Appliances"/>
    <s v="Johns and Sons"/>
    <x v="11"/>
    <s v="Palm Wetherald"/>
    <s v="PC"/>
    <s v="21-2965409"/>
  </r>
  <r>
    <s v="Portugal"/>
    <n v="83226.45"/>
    <n v="71699.59"/>
    <x v="273"/>
    <s v="Beauty"/>
    <s v="Swaniawski, Runolfsson and Green"/>
    <x v="2"/>
    <s v="Corene Shirer"/>
    <s v="PC"/>
    <s v="04-2788693"/>
  </r>
  <r>
    <s v="Germany"/>
    <n v="51407.3"/>
    <n v="44292.53"/>
    <x v="274"/>
    <s v="Clothing"/>
    <s v="Altenwerth-Konopelski"/>
    <x v="12"/>
    <s v="Casie MacBain"/>
    <s v="Tablet"/>
    <s v="20-6477396"/>
  </r>
  <r>
    <s v="Germany"/>
    <n v="61968.26"/>
    <n v="50690.04"/>
    <x v="275"/>
    <s v="Electronics"/>
    <s v="Romaguera-Dietrich"/>
    <x v="12"/>
    <s v="Casie MacBain"/>
    <s v="PC"/>
    <s v="22-7259031"/>
  </r>
  <r>
    <s v="Ireland"/>
    <n v="271465.15000000002"/>
    <n v="217959.37"/>
    <x v="150"/>
    <s v="Electronics"/>
    <s v="Corwin and Sons"/>
    <x v="11"/>
    <s v="Bunnie Tonbridge"/>
    <s v="Mobile"/>
    <s v="44-9239029"/>
  </r>
  <r>
    <s v="Sweden"/>
    <n v="86854.64"/>
    <n v="72219.63"/>
    <x v="276"/>
    <s v="Books"/>
    <s v="Tillman and Sons"/>
    <x v="0"/>
    <s v="Tarrah Castelletti"/>
    <s v="PC"/>
    <s v="77-4566105"/>
  </r>
  <r>
    <s v="Ireland"/>
    <n v="119819.37"/>
    <n v="105441.05"/>
    <x v="246"/>
    <s v="Smartphones"/>
    <s v="Dibbert Inc"/>
    <x v="11"/>
    <s v="Palm Wetherald"/>
    <s v="PC"/>
    <s v="29-3662564"/>
  </r>
  <r>
    <s v="UK"/>
    <n v="160763.9"/>
    <n v="131102.96"/>
    <x v="277"/>
    <s v="Appliances"/>
    <s v="McGlynn-Prosacco"/>
    <x v="4"/>
    <s v="Genevra Charrisson"/>
    <s v="PC"/>
    <s v="73-8057834"/>
  </r>
  <r>
    <s v="Sweden"/>
    <n v="44029.07"/>
    <n v="38344.92"/>
    <x v="278"/>
    <s v="Other"/>
    <s v="McGlynn-Bergstrom"/>
    <x v="0"/>
    <s v="Alyosha Meah"/>
    <s v="PC"/>
    <s v="87-9980890"/>
  </r>
  <r>
    <s v="France"/>
    <n v="86628.32"/>
    <n v="72464.59"/>
    <x v="20"/>
    <s v="Appliances"/>
    <s v="Kihn Inc"/>
    <x v="5"/>
    <s v="Crysta Halls"/>
    <s v="PC"/>
    <s v="98-8250897"/>
  </r>
  <r>
    <s v="Portugal"/>
    <n v="97641.25"/>
    <n v="83414.92"/>
    <x v="279"/>
    <s v="Books"/>
    <s v="Morissette Group"/>
    <x v="2"/>
    <s v="Brynn Dempster"/>
    <s v="PC"/>
    <s v="98-3051699"/>
  </r>
  <r>
    <s v="Portugal"/>
    <n v="98746.66"/>
    <n v="80399.53"/>
    <x v="280"/>
    <s v="Appliances"/>
    <s v="Considine-Fisher"/>
    <x v="2"/>
    <s v="Smitty Culverhouse"/>
    <s v="PC"/>
    <s v="75-7291972"/>
  </r>
  <r>
    <s v="France"/>
    <n v="109562.5"/>
    <n v="89917.94"/>
    <x v="281"/>
    <s v="Appliances"/>
    <s v="Dickinson, Hyatt and Berge"/>
    <x v="5"/>
    <s v="Maighdiln Upcraft"/>
    <s v="PC"/>
    <s v="67-3672347"/>
  </r>
  <r>
    <s v="UK"/>
    <n v="60301.96"/>
    <n v="48820.47"/>
    <x v="54"/>
    <s v="Beauty"/>
    <s v="Wiza and Sons"/>
    <x v="4"/>
    <s v="Jay Morefield"/>
    <s v="PC"/>
    <s v="75-1785229"/>
  </r>
  <r>
    <s v="France"/>
    <n v="80781.62"/>
    <n v="68971.350000000006"/>
    <x v="226"/>
    <s v="Smartphones"/>
    <s v="McGlynn-Prosacco"/>
    <x v="5"/>
    <s v="Ora Grennan"/>
    <s v="Mobile"/>
    <s v="53-1426071"/>
  </r>
  <r>
    <s v="France"/>
    <n v="238659.41"/>
    <n v="204507.25"/>
    <x v="282"/>
    <s v="Appliances"/>
    <s v="Corwin and Sons"/>
    <x v="5"/>
    <s v="Amelina Piscopiello"/>
    <s v="Tablet"/>
    <s v="49-7167664"/>
  </r>
  <r>
    <s v="UK"/>
    <n v="165631.75"/>
    <n v="139114.10999999999"/>
    <x v="283"/>
    <s v="Appliances"/>
    <s v="Johns and Sons"/>
    <x v="4"/>
    <s v="Jay Morefield"/>
    <s v="PC"/>
    <s v="07-7047482"/>
  </r>
  <r>
    <s v="Sweden"/>
    <n v="126682.79"/>
    <n v="106514.89"/>
    <x v="73"/>
    <s v="Smartphones"/>
    <s v="Murray, Reichel and Nolan"/>
    <x v="0"/>
    <s v="Madelon Bront"/>
    <s v="PC"/>
    <s v="57-1931933"/>
  </r>
  <r>
    <s v="Sweden"/>
    <n v="145558"/>
    <n v="116257.18"/>
    <x v="227"/>
    <s v="Clothing"/>
    <s v="Konopelski LLC"/>
    <x v="0"/>
    <s v="Tarrah Castelletti"/>
    <s v="Tablet"/>
    <s v="15-5167065"/>
  </r>
  <r>
    <s v="Spain"/>
    <n v="59163.79"/>
    <n v="50419.38"/>
    <x v="284"/>
    <s v="Smartphones"/>
    <s v="McClure Inc"/>
    <x v="3"/>
    <s v="Perri Aldersley"/>
    <s v="Mobile"/>
    <s v="98-9382686"/>
  </r>
  <r>
    <s v="Sweden"/>
    <n v="140352.81"/>
    <n v="122303.44"/>
    <x v="100"/>
    <s v="Smartphones"/>
    <s v="Hilll-Vandervort"/>
    <x v="0"/>
    <s v="Caro Morfield"/>
    <s v="PC"/>
    <s v="47-5733147"/>
  </r>
  <r>
    <s v="France"/>
    <n v="163401.23000000001"/>
    <n v="139413.93"/>
    <x v="285"/>
    <s v="Clothing"/>
    <s v="Wisoky Inc"/>
    <x v="5"/>
    <s v="Avrit Chanders"/>
    <s v="PC"/>
    <s v="98-2104934"/>
  </r>
  <r>
    <s v="Sweden"/>
    <n v="177867.3"/>
    <n v="140675.25"/>
    <x v="286"/>
    <s v="Smartphones"/>
    <s v="Walter LLC"/>
    <x v="0"/>
    <s v="Anita Woakes"/>
    <s v="PC"/>
    <s v="30-6005742"/>
  </r>
  <r>
    <s v="Germany"/>
    <n v="58416.81"/>
    <n v="46745.13"/>
    <x v="287"/>
    <s v="Clothing"/>
    <s v="Morissette Group"/>
    <x v="12"/>
    <s v="Casie MacBain"/>
    <s v="PC"/>
    <s v="21-7461655"/>
  </r>
  <r>
    <s v="Germany"/>
    <n v="169544.95"/>
    <n v="137568.76999999999"/>
    <x v="288"/>
    <s v="Appliances"/>
    <s v="Keeling, Monahan and Pollich"/>
    <x v="12"/>
    <s v="Casie MacBain"/>
    <s v="Mobile"/>
    <s v="96-7625873"/>
  </r>
  <r>
    <s v="Luxembourg"/>
    <n v="74732.789999999994"/>
    <n v="64098.31"/>
    <x v="289"/>
    <s v="Beauty"/>
    <s v="McClure Inc"/>
    <x v="9"/>
    <s v="Jocelyn Laurentino"/>
    <s v="PC"/>
    <s v="53-2132479"/>
  </r>
  <r>
    <s v="Portugal"/>
    <n v="55166.78"/>
    <n v="47443.43"/>
    <x v="290"/>
    <s v="Books"/>
    <s v="Gislason-Stanton"/>
    <x v="2"/>
    <s v="Hortense Gerring"/>
    <s v="PC"/>
    <s v="70-4650708"/>
  </r>
  <r>
    <s v="France"/>
    <n v="99319.33"/>
    <n v="79127.710000000006"/>
    <x v="291"/>
    <s v="Games"/>
    <s v="Hessel-Stiedemann"/>
    <x v="5"/>
    <s v="Amelina Piscopiello"/>
    <s v="PC"/>
    <s v="53-3037652"/>
  </r>
  <r>
    <s v="Sweden"/>
    <n v="118982.14"/>
    <n v="95506.96"/>
    <x v="89"/>
    <s v="Clothing"/>
    <s v="Stehr-Bogan"/>
    <x v="0"/>
    <s v="Caro Morfield"/>
    <s v="Mobile"/>
    <s v="76-0774122"/>
  </r>
  <r>
    <s v="Ireland"/>
    <n v="157007.51999999999"/>
    <n v="126940.58"/>
    <x v="292"/>
    <s v="Beauty"/>
    <s v="Friesen-Rath"/>
    <x v="11"/>
    <s v="Bunnie Tonbridge"/>
    <s v="PC"/>
    <s v="72-3928347"/>
  </r>
  <r>
    <s v="France"/>
    <n v="49374.25"/>
    <n v="39208.089999999997"/>
    <x v="293"/>
    <s v="Books"/>
    <s v="Stehr LLC"/>
    <x v="5"/>
    <s v="Ora Grennan"/>
    <s v="PC"/>
    <s v="87-1399932"/>
  </r>
  <r>
    <s v="Portugal"/>
    <n v="123891.6"/>
    <n v="104118.5"/>
    <x v="174"/>
    <s v="Games"/>
    <s v="Hegmann Group"/>
    <x v="2"/>
    <s v="Smitty Culverhouse"/>
    <s v="PC"/>
    <s v="25-1045028"/>
  </r>
  <r>
    <s v="France"/>
    <n v="234340.31"/>
    <n v="204438.49"/>
    <x v="294"/>
    <s v="Clothing"/>
    <s v="Hessel-Stiedemann"/>
    <x v="5"/>
    <s v="Avrit Chanders"/>
    <s v="PC"/>
    <s v="70-0364033"/>
  </r>
  <r>
    <s v="Netherlands"/>
    <n v="95575.75"/>
    <n v="75504.84"/>
    <x v="23"/>
    <s v="Books"/>
    <s v="Hessel-Stiedemann"/>
    <x v="6"/>
    <s v="Nero Harbisher"/>
    <s v="PC"/>
    <s v="35-9372764"/>
  </r>
  <r>
    <s v="Finland"/>
    <n v="125280.28"/>
    <n v="99372.32"/>
    <x v="295"/>
    <s v="Beauty"/>
    <s v="Romaguera-Dietrich"/>
    <x v="1"/>
    <s v="Wat Bowkley"/>
    <s v="PC"/>
    <s v="36-1142710"/>
  </r>
  <r>
    <s v="Portugal"/>
    <n v="127482.28"/>
    <n v="108614.9"/>
    <x v="296"/>
    <s v="Beauty"/>
    <s v="Hilll-Vandervort"/>
    <x v="2"/>
    <s v="Aurelie Wren"/>
    <s v="PC"/>
    <s v="75-6291395"/>
  </r>
  <r>
    <s v="Portugal"/>
    <n v="120453.52"/>
    <n v="97218.04"/>
    <x v="297"/>
    <s v="Beauty"/>
    <s v="Schowalter, Lesch and Beahan"/>
    <x v="2"/>
    <s v="Brynn Dempster"/>
    <s v="PC"/>
    <s v="00-3338378"/>
  </r>
  <r>
    <s v="Portugal"/>
    <n v="120152.33"/>
    <n v="97527.65"/>
    <x v="298"/>
    <s v="Outdoors"/>
    <s v="Romaguera-Dietrich"/>
    <x v="2"/>
    <s v="Smitty Culverhouse"/>
    <s v="PC"/>
    <s v="55-1904761"/>
  </r>
  <r>
    <s v="Portugal"/>
    <n v="95410.97"/>
    <n v="80593.649999999994"/>
    <x v="299"/>
    <s v="Books"/>
    <s v="Murray, Reichel and Nolan"/>
    <x v="2"/>
    <s v="Hortense Gerring"/>
    <s v="Mobile"/>
    <s v="70-9736399"/>
  </r>
  <r>
    <s v="France"/>
    <n v="128804.51"/>
    <n v="105709.86"/>
    <x v="94"/>
    <s v="Appliances"/>
    <s v="Connelly-Mohr"/>
    <x v="5"/>
    <s v="Amelina Piscopiello"/>
    <s v="Tablet"/>
    <s v="20-3125420"/>
  </r>
  <r>
    <s v="Italy"/>
    <n v="26899.97"/>
    <n v="23198.53"/>
    <x v="300"/>
    <s v="Games"/>
    <s v="Hessel-Stiedemann"/>
    <x v="10"/>
    <s v="Joshua Prevost"/>
    <s v="PC"/>
    <s v="57-2968987"/>
  </r>
  <r>
    <s v="UK"/>
    <n v="123751.91"/>
    <n v="102590.33"/>
    <x v="41"/>
    <s v="Smartphones"/>
    <s v="Johns and Sons"/>
    <x v="4"/>
    <s v="Jay Morefield"/>
    <s v="PC"/>
    <s v="76-2146784"/>
  </r>
  <r>
    <s v="Sweden"/>
    <n v="37081.31"/>
    <n v="31304.04"/>
    <x v="284"/>
    <s v="Beauty"/>
    <s v="McGlynn-Prosacco"/>
    <x v="0"/>
    <s v="Anita Woakes"/>
    <s v="PC"/>
    <s v="19-3129154"/>
  </r>
  <r>
    <s v="France"/>
    <n v="133905.54999999999"/>
    <n v="116886.15"/>
    <x v="301"/>
    <s v="Books"/>
    <s v="Keeling, Monahan and Pollich"/>
    <x v="5"/>
    <s v="Avrit Chanders"/>
    <s v="Mobile"/>
    <s v="79-0973971"/>
  </r>
  <r>
    <s v="France"/>
    <n v="63298.61"/>
    <n v="53645.57"/>
    <x v="302"/>
    <s v="Appliances"/>
    <s v="Schowalter, Lesch and Beahan"/>
    <x v="5"/>
    <s v="Avrit Chanders"/>
    <s v="Mobile"/>
    <s v="65-5376517"/>
  </r>
  <r>
    <s v="France"/>
    <n v="274242.36"/>
    <n v="227950.25"/>
    <x v="303"/>
    <s v="Outdoors"/>
    <s v="Hessel-Stiedemann"/>
    <x v="5"/>
    <s v="Amelina Piscopiello"/>
    <s v="Mobile"/>
    <s v="80-5258827"/>
  </r>
  <r>
    <s v="Luxembourg"/>
    <n v="312928.71999999997"/>
    <n v="270401.71000000002"/>
    <x v="304"/>
    <s v="Beauty"/>
    <s v="Altenwerth-Konopelski"/>
    <x v="9"/>
    <s v="Jocelyn Laurentino"/>
    <s v="Tablet"/>
    <s v="98-5257166"/>
  </r>
  <r>
    <s v="France"/>
    <n v="119156.18"/>
    <n v="100710.8"/>
    <x v="305"/>
    <s v="Beauty"/>
    <s v="Johns and Sons"/>
    <x v="5"/>
    <s v="Ora Grennan"/>
    <s v="PC"/>
    <s v="19-5610175"/>
  </r>
  <r>
    <s v="France"/>
    <n v="162123.74"/>
    <n v="133979.06"/>
    <x v="194"/>
    <s v="Beauty"/>
    <s v="Johns and Sons"/>
    <x v="5"/>
    <s v="Maighdiln Upcraft"/>
    <s v="PC"/>
    <s v="94-3509391"/>
  </r>
  <r>
    <s v="Ireland"/>
    <n v="65831.42"/>
    <n v="52487.39"/>
    <x v="306"/>
    <s v="Electronics"/>
    <s v="Christiansen, Donnelly and Bechtelar"/>
    <x v="11"/>
    <s v="Palm Wetherald"/>
    <s v="PC"/>
    <s v="43-5417299"/>
  </r>
  <r>
    <s v="France"/>
    <n v="180515.09"/>
    <n v="148852.74"/>
    <x v="307"/>
    <s v="Books"/>
    <s v="Franecki-White"/>
    <x v="5"/>
    <s v="Amelina Piscopiello"/>
    <s v="PC"/>
    <s v="68-6141868"/>
  </r>
  <r>
    <s v="UK"/>
    <n v="99114.91"/>
    <n v="84217.94"/>
    <x v="308"/>
    <s v="Clothing"/>
    <s v="Johns and Sons"/>
    <x v="4"/>
    <s v="Winny Agnolo"/>
    <s v="PC"/>
    <s v="29-8979189"/>
  </r>
  <r>
    <s v="Portugal"/>
    <n v="171884"/>
    <n v="146702.99"/>
    <x v="57"/>
    <s v="Games"/>
    <s v="Johns and Sons"/>
    <x v="2"/>
    <s v="Smitty Culverhouse"/>
    <s v="PC"/>
    <s v="58-9821508"/>
  </r>
  <r>
    <s v="Denmark"/>
    <n v="26745.94"/>
    <n v="22600.32"/>
    <x v="309"/>
    <s v="Appliances"/>
    <s v="Larkin-Collier"/>
    <x v="13"/>
    <s v="Case Desorts"/>
    <s v="PC"/>
    <s v="49-1493117"/>
  </r>
  <r>
    <s v="Portugal"/>
    <n v="77087.839999999997"/>
    <n v="65894.69"/>
    <x v="123"/>
    <s v="Other"/>
    <s v="Rowe, Hermiston and Kessler"/>
    <x v="2"/>
    <s v="Aurelie Wren"/>
    <s v="PC"/>
    <s v="51-5334556"/>
  </r>
  <r>
    <s v="France"/>
    <n v="87404"/>
    <n v="69363.81"/>
    <x v="307"/>
    <s v="Electronics"/>
    <s v="Johns and Sons"/>
    <x v="5"/>
    <s v="Maighdiln Upcraft"/>
    <s v="PC"/>
    <s v="79-3154360"/>
  </r>
  <r>
    <s v="France"/>
    <n v="47680.2"/>
    <n v="40575.85"/>
    <x v="29"/>
    <s v="Clothing"/>
    <s v="Dibbert Inc"/>
    <x v="5"/>
    <s v="Crysta Halls"/>
    <s v="PC"/>
    <s v="11-6024248"/>
  </r>
  <r>
    <s v="Finland"/>
    <n v="27824.83"/>
    <n v="23517.55"/>
    <x v="222"/>
    <s v="Games"/>
    <s v="McClure Inc"/>
    <x v="1"/>
    <s v="Wat Bowkley"/>
    <s v="PC"/>
    <s v="61-4610981"/>
  </r>
  <r>
    <s v="Portugal"/>
    <n v="106516.4"/>
    <n v="86928.03"/>
    <x v="310"/>
    <s v="Clothing"/>
    <s v="Hartmann, Hane and Pfannerstill"/>
    <x v="2"/>
    <s v="Smitty Culverhouse"/>
    <s v="PC"/>
    <s v="12-4509008"/>
  </r>
  <r>
    <s v="France"/>
    <n v="141948.10999999999"/>
    <n v="112948.11"/>
    <x v="231"/>
    <s v="Books"/>
    <s v="Stehr LLC"/>
    <x v="5"/>
    <s v="Maighdiln Upcraft"/>
    <s v="PC"/>
    <s v="46-5576111"/>
  </r>
  <r>
    <s v="Ireland"/>
    <n v="226021.18"/>
    <n v="180455.31"/>
    <x v="311"/>
    <s v="Accessories"/>
    <s v="Schowalter, Lesch and Beahan"/>
    <x v="11"/>
    <s v="Palm Wetherald"/>
    <s v="PC"/>
    <s v="44-6718687"/>
  </r>
  <r>
    <s v="Italy"/>
    <n v="44232.84"/>
    <n v="38880.67"/>
    <x v="312"/>
    <s v="Books"/>
    <s v="Johns and Sons"/>
    <x v="10"/>
    <s v="Joshua Prevost"/>
    <s v="Tablet"/>
    <s v="67-7432229"/>
  </r>
  <r>
    <s v="Ireland"/>
    <n v="135344.51999999999"/>
    <n v="117492.58"/>
    <x v="313"/>
    <s v="Games"/>
    <s v="Tillman and Sons"/>
    <x v="11"/>
    <s v="Palm Wetherald"/>
    <s v="PC"/>
    <s v="17-4401585"/>
  </r>
  <r>
    <s v="France"/>
    <n v="271411.92"/>
    <n v="231514.37"/>
    <x v="136"/>
    <s v="Clothing"/>
    <s v="Hessel-Stiedemann"/>
    <x v="5"/>
    <s v="Amelina Piscopiello"/>
    <s v="Tablet"/>
    <s v="56-9241023"/>
  </r>
  <r>
    <s v="Portugal"/>
    <n v="125253.59"/>
    <n v="108269.2"/>
    <x v="314"/>
    <s v="Smartphones"/>
    <s v="Murray, Reichel and Nolan"/>
    <x v="2"/>
    <s v="Corene Shirer"/>
    <s v="PC"/>
    <s v="90-2194359"/>
  </r>
  <r>
    <s v="Sweden"/>
    <n v="15100.57"/>
    <n v="12113.68"/>
    <x v="155"/>
    <s v="Games"/>
    <s v="Murray, Reichel and Nolan"/>
    <x v="0"/>
    <s v="Tarrah Castelletti"/>
    <s v="PC"/>
    <s v="89-2424262"/>
  </r>
  <r>
    <s v="France"/>
    <n v="157932.84"/>
    <n v="134148.15"/>
    <x v="264"/>
    <s v="Games"/>
    <s v="Schowalter, Lesch and Beahan"/>
    <x v="5"/>
    <s v="Amelina Piscopiello"/>
    <s v="PC"/>
    <s v="30-2982340"/>
  </r>
  <r>
    <s v="Portugal"/>
    <n v="64192.86"/>
    <n v="52837.14"/>
    <x v="288"/>
    <s v="Appliances"/>
    <s v="Johns and Sons"/>
    <x v="2"/>
    <s v="Brynn Dempster"/>
    <s v="PC"/>
    <s v="10-4704941"/>
  </r>
  <r>
    <s v="Sweden"/>
    <n v="156453.01"/>
    <n v="128494.86"/>
    <x v="315"/>
    <s v="Clothing"/>
    <s v="Johns and Sons"/>
    <x v="0"/>
    <s v="Madelon Bront"/>
    <s v="PC"/>
    <s v="48-3484986"/>
  </r>
  <r>
    <s v="Finland"/>
    <n v="53616.06"/>
    <n v="45589.74"/>
    <x v="316"/>
    <s v="Appliances"/>
    <s v="Kihn Inc"/>
    <x v="1"/>
    <s v="Wat Bowkley"/>
    <s v="PC"/>
    <s v="84-4478396"/>
  </r>
  <r>
    <s v="Finland"/>
    <n v="163967.89000000001"/>
    <n v="138208.53"/>
    <x v="149"/>
    <s v="Appliances"/>
    <s v="Friesen-Rath"/>
    <x v="1"/>
    <s v="Wat Bowkley"/>
    <s v="Tablet"/>
    <s v="28-0849652"/>
  </r>
  <r>
    <s v="Sweden"/>
    <n v="171748.56"/>
    <n v="136574.45000000001"/>
    <x v="251"/>
    <s v="Games"/>
    <s v="Walter LLC"/>
    <x v="0"/>
    <s v="Madelon Bront"/>
    <s v="PC"/>
    <s v="74-0214938"/>
  </r>
  <r>
    <s v="France"/>
    <n v="26103.94"/>
    <n v="22339.75"/>
    <x v="317"/>
    <s v="Appliances"/>
    <s v="Fisher, Morar and Skiles"/>
    <x v="5"/>
    <s v="Ora Grennan"/>
    <s v="Tablet"/>
    <s v="89-0187996"/>
  </r>
  <r>
    <s v="Portugal"/>
    <n v="140337.34"/>
    <n v="115708.14"/>
    <x v="318"/>
    <s v="Appliances"/>
    <s v="Hegmann Group"/>
    <x v="2"/>
    <s v="Corene Shirer"/>
    <s v="PC"/>
    <s v="65-8218141"/>
  </r>
  <r>
    <s v="Sweden"/>
    <n v="33617.03"/>
    <n v="26614.6"/>
    <x v="319"/>
    <s v="Appliances"/>
    <s v="Altenwerth-Konopelski"/>
    <x v="0"/>
    <s v="Madelon Bront"/>
    <s v="PC"/>
    <s v="49-8489293"/>
  </r>
  <r>
    <s v="Portugal"/>
    <n v="187874.45"/>
    <n v="160031.46"/>
    <x v="320"/>
    <s v="Accessories"/>
    <s v="Johns and Sons"/>
    <x v="2"/>
    <s v="Hortense Gerring"/>
    <s v="PC"/>
    <s v="91-8142232"/>
  </r>
  <r>
    <s v="Finland"/>
    <n v="41675.01"/>
    <n v="33765.089999999997"/>
    <x v="31"/>
    <s v="Beauty"/>
    <s v="Hamill, Kulas and Roob"/>
    <x v="1"/>
    <s v="Wat Bowkley"/>
    <s v="PC"/>
    <s v="75-5380350"/>
  </r>
  <r>
    <s v="Portugal"/>
    <n v="34930.080000000002"/>
    <n v="28017.42"/>
    <x v="321"/>
    <s v="Appliances"/>
    <s v="Kihn Inc"/>
    <x v="2"/>
    <s v="Smitty Culverhouse"/>
    <s v="PC"/>
    <s v="35-4551515"/>
  </r>
  <r>
    <s v="Finland"/>
    <n v="127994.87"/>
    <n v="105800.56"/>
    <x v="74"/>
    <s v="Books"/>
    <s v="Hegmann Group"/>
    <x v="1"/>
    <s v="Mellicent Mattys"/>
    <s v="PC"/>
    <s v="73-2763209"/>
  </r>
  <r>
    <s v="Portugal"/>
    <n v="162637.68"/>
    <n v="130402.89"/>
    <x v="322"/>
    <s v="Clothing"/>
    <s v="Larkin-Collier"/>
    <x v="2"/>
    <s v="Corene Shirer"/>
    <s v="PC"/>
    <s v="56-0800364"/>
  </r>
  <r>
    <s v="Portugal"/>
    <n v="40728.28"/>
    <n v="35669.83"/>
    <x v="323"/>
    <s v="Beauty"/>
    <s v="Romaguera-Haley"/>
    <x v="2"/>
    <s v="Hortense Gerring"/>
    <s v="Mobile"/>
    <s v="42-7027181"/>
  </r>
  <r>
    <s v="Finland"/>
    <n v="293767.28000000003"/>
    <n v="254079.32"/>
    <x v="324"/>
    <s v="Games"/>
    <s v="West-Cummings"/>
    <x v="1"/>
    <s v="Wat Bowkley"/>
    <s v="PC"/>
    <s v="29-0601002"/>
  </r>
  <r>
    <s v="Sweden"/>
    <n v="57913.36"/>
    <n v="48693.55"/>
    <x v="325"/>
    <s v="Games"/>
    <s v="Murray, Reichel and Nolan"/>
    <x v="0"/>
    <s v="Alyosha Meah"/>
    <s v="PC"/>
    <s v="90-2797129"/>
  </r>
  <r>
    <s v="UK"/>
    <n v="63979.040000000001"/>
    <n v="56032.84"/>
    <x v="253"/>
    <s v="Games"/>
    <s v="Schoen-Keeling"/>
    <x v="4"/>
    <s v="Genevra Charrisson"/>
    <s v="PC"/>
    <s v="27-3437546"/>
  </r>
  <r>
    <s v="France"/>
    <n v="102255.86"/>
    <n v="83379.429999999993"/>
    <x v="46"/>
    <s v="Smartphones"/>
    <s v="Rath-Schroeder"/>
    <x v="5"/>
    <s v="Avrit Chanders"/>
    <s v="PC"/>
    <s v="78-3726363"/>
  </r>
  <r>
    <s v="Finland"/>
    <n v="107271.94"/>
    <n v="86665"/>
    <x v="326"/>
    <s v="Games"/>
    <s v="Johns and Sons"/>
    <x v="1"/>
    <s v="Wat Bowkley"/>
    <s v="PC"/>
    <s v="78-8990131"/>
  </r>
  <r>
    <s v="Austria"/>
    <n v="51090.76"/>
    <n v="40739.769999999997"/>
    <x v="47"/>
    <s v="Electronics"/>
    <s v="Smith Group"/>
    <x v="14"/>
    <s v="Bank Coumbe"/>
    <s v="PC"/>
    <s v="85-2223377"/>
  </r>
  <r>
    <s v="Sweden"/>
    <n v="102299.92"/>
    <n v="81706.95"/>
    <x v="327"/>
    <s v="Beauty"/>
    <s v="Rowe, Hermiston and Kessler"/>
    <x v="0"/>
    <s v="Alyosha Meah"/>
    <s v="PC"/>
    <s v="73-9246627"/>
  </r>
  <r>
    <s v="France"/>
    <n v="144204.85999999999"/>
    <n v="115262.94"/>
    <x v="15"/>
    <s v="Books"/>
    <s v="McClure Inc"/>
    <x v="5"/>
    <s v="Amelina Piscopiello"/>
    <s v="PC"/>
    <s v="56-7910696"/>
  </r>
  <r>
    <s v="France"/>
    <n v="36183.97"/>
    <n v="30579.07"/>
    <x v="202"/>
    <s v="Books"/>
    <s v="Bashirian, Okuneva and Bechtelar"/>
    <x v="5"/>
    <s v="Avrit Chanders"/>
    <s v="Mobile"/>
    <s v="91-4296427"/>
  </r>
  <r>
    <s v="UK"/>
    <n v="47771.76"/>
    <n v="39234.949999999997"/>
    <x v="328"/>
    <s v="Beauty"/>
    <s v="Dibbert Inc"/>
    <x v="4"/>
    <s v="Genevra Charrisson"/>
    <s v="PC"/>
    <s v="70-8181545"/>
  </r>
  <r>
    <s v="Spain"/>
    <n v="44038.31"/>
    <n v="36252.339999999997"/>
    <x v="329"/>
    <s v="Electronics"/>
    <s v="Corwin and Sons"/>
    <x v="3"/>
    <s v="Manuel Goudie"/>
    <s v="PC"/>
    <s v="94-0775004"/>
  </r>
  <r>
    <s v="Sweden"/>
    <n v="116469.33"/>
    <n v="95190.38"/>
    <x v="264"/>
    <s v="Outdoors"/>
    <s v="Hermiston, Simonis and Wisoky"/>
    <x v="0"/>
    <s v="Caro Morfield"/>
    <s v="PC"/>
    <s v="89-3466746"/>
  </r>
  <r>
    <s v="UK"/>
    <n v="227856.66"/>
    <n v="199010.01"/>
    <x v="204"/>
    <s v="Electronics"/>
    <s v="Keeling, Monahan and Pollich"/>
    <x v="4"/>
    <s v="Jay Morefield"/>
    <s v="PC"/>
    <s v="11-5257937"/>
  </r>
  <r>
    <s v="Sweden"/>
    <n v="67161.990000000005"/>
    <n v="55764.6"/>
    <x v="330"/>
    <s v="Electronics"/>
    <s v="Lubowitz, McLaughlin and Erdman"/>
    <x v="0"/>
    <s v="Tarrah Castelletti"/>
    <s v="PC"/>
    <s v="22-7587128"/>
  </r>
  <r>
    <s v="Ireland"/>
    <n v="168178.03"/>
    <n v="142665.42000000001"/>
    <x v="331"/>
    <s v="Clothing"/>
    <s v="Walter LLC"/>
    <x v="11"/>
    <s v="Bunnie Tonbridge"/>
    <s v="PC"/>
    <s v="36-7597839"/>
  </r>
  <r>
    <s v="Sweden"/>
    <n v="42611.78"/>
    <n v="35755.54"/>
    <x v="47"/>
    <s v="Clothing"/>
    <s v="Walter LLC"/>
    <x v="0"/>
    <s v="Tarrah Castelletti"/>
    <s v="Mobile"/>
    <s v="16-2824654"/>
  </r>
  <r>
    <s v="Sweden"/>
    <n v="166507.76"/>
    <n v="143896.01"/>
    <x v="106"/>
    <s v="Accessories"/>
    <s v="Labadie and Sons"/>
    <x v="0"/>
    <s v="Madelon Bront"/>
    <s v="PC"/>
    <s v="49-1743669"/>
  </r>
  <r>
    <s v="Spain"/>
    <n v="131409.9"/>
    <n v="115325.33"/>
    <x v="332"/>
    <s v="Electronics"/>
    <s v="McClure Inc"/>
    <x v="3"/>
    <s v="Bertha Walbrook"/>
    <s v="PC"/>
    <s v="48-7252604"/>
  </r>
  <r>
    <s v="Portugal"/>
    <n v="133072"/>
    <n v="108600.06"/>
    <x v="333"/>
    <s v="Outdoors"/>
    <s v="O'Connell-Mitchell"/>
    <x v="2"/>
    <s v="Corene Shirer"/>
    <s v="PC"/>
    <s v="07-1769568"/>
  </r>
  <r>
    <s v="Finland"/>
    <n v="180250.02"/>
    <n v="147354.39000000001"/>
    <x v="334"/>
    <s v="Electronics"/>
    <s v="Hartmann, Hane and Pfannerstill"/>
    <x v="1"/>
    <s v="Mellicent Mattys"/>
    <s v="PC"/>
    <s v="57-5645459"/>
  </r>
  <r>
    <s v="Portugal"/>
    <n v="48090.78"/>
    <n v="42040.959999999999"/>
    <x v="189"/>
    <s v="Books"/>
    <s v="Kihn Inc"/>
    <x v="2"/>
    <s v="Corene Shirer"/>
    <s v="PC"/>
    <s v="13-0740797"/>
  </r>
  <r>
    <s v="Sweden"/>
    <n v="168530.22"/>
    <n v="136981.35999999999"/>
    <x v="335"/>
    <s v="Appliances"/>
    <s v="West-Cummings"/>
    <x v="0"/>
    <s v="Tarrah Castelletti"/>
    <s v="PC"/>
    <s v="34-9966345"/>
  </r>
  <r>
    <s v="Sweden"/>
    <n v="36785.279999999999"/>
    <n v="30546.5"/>
    <x v="292"/>
    <s v="Appliances"/>
    <s v="Johns and Sons"/>
    <x v="0"/>
    <s v="Anita Woakes"/>
    <s v="PC"/>
    <s v="91-6738094"/>
  </r>
  <r>
    <s v="Ireland"/>
    <n v="126409.18"/>
    <n v="104692.08"/>
    <x v="315"/>
    <s v="Smartphones"/>
    <s v="Dibbert Inc"/>
    <x v="11"/>
    <s v="Bunnie Tonbridge"/>
    <s v="PC"/>
    <s v="32-9007470"/>
  </r>
  <r>
    <s v="Portugal"/>
    <n v="49990.720000000001"/>
    <n v="42927.03"/>
    <x v="12"/>
    <s v="Electronics"/>
    <s v="Rowe, Hermiston and Kessler"/>
    <x v="2"/>
    <s v="Smitty Culverhouse"/>
    <s v="PC"/>
    <s v="68-6382353"/>
  </r>
  <r>
    <s v="Sweden"/>
    <n v="36644.050000000003"/>
    <n v="30491.51"/>
    <x v="251"/>
    <s v="Clothing"/>
    <s v="Larkin-Collier"/>
    <x v="0"/>
    <s v="Caro Morfield"/>
    <s v="PC"/>
    <s v="88-5406813"/>
  </r>
  <r>
    <s v="Sweden"/>
    <n v="115226.8"/>
    <n v="94336.18"/>
    <x v="336"/>
    <s v="Beauty"/>
    <s v="Wisoky Inc"/>
    <x v="0"/>
    <s v="Tarrah Castelletti"/>
    <s v="PC"/>
    <s v="42-2765593"/>
  </r>
  <r>
    <s v="Finland"/>
    <n v="154078.75"/>
    <n v="131336.73000000001"/>
    <x v="163"/>
    <s v="Books"/>
    <s v="Lueilwitz, Kerluke and Lesch"/>
    <x v="1"/>
    <s v="Wat Bowkley"/>
    <s v="PC"/>
    <s v="76-0724533"/>
  </r>
  <r>
    <s v="Bulgaria"/>
    <n v="80328.160000000003"/>
    <n v="65836.960000000006"/>
    <x v="337"/>
    <s v="Games"/>
    <s v="Hermiston, Simonis and Wisoky"/>
    <x v="8"/>
    <s v="Bernadine Fullagar"/>
    <s v="PC"/>
    <s v="45-3965395"/>
  </r>
  <r>
    <s v="Portugal"/>
    <n v="99832.12"/>
    <n v="84128.53"/>
    <x v="336"/>
    <s v="Appliances"/>
    <s v="Romaguera-Haley"/>
    <x v="2"/>
    <s v="Aurelie Wren"/>
    <s v="PC"/>
    <s v="46-6126203"/>
  </r>
  <r>
    <s v="Finland"/>
    <n v="133057.07"/>
    <n v="113351.32"/>
    <x v="338"/>
    <s v="Other"/>
    <s v="Romaguera-Dietrich"/>
    <x v="1"/>
    <s v="Wat Bowkley"/>
    <s v="PC"/>
    <s v="27-7554919"/>
  </r>
  <r>
    <s v="Ireland"/>
    <n v="80719.44"/>
    <n v="64422.19"/>
    <x v="339"/>
    <s v="Appliances"/>
    <s v="Johns and Sons"/>
    <x v="11"/>
    <s v="Bunnie Tonbridge"/>
    <s v="PC"/>
    <s v="59-1230573"/>
  </r>
  <r>
    <s v="France"/>
    <n v="124534.96"/>
    <n v="107012.89"/>
    <x v="340"/>
    <s v="Books"/>
    <s v="Dickinson, Hyatt and Berge"/>
    <x v="5"/>
    <s v="Maighdiln Upcraft"/>
    <s v="PC"/>
    <s v="45-2229786"/>
  </r>
  <r>
    <s v="Sweden"/>
    <n v="67611.539999999994"/>
    <n v="56191.95"/>
    <x v="216"/>
    <s v="Clothing"/>
    <s v="Kihn Inc"/>
    <x v="0"/>
    <s v="Caro Morfield"/>
    <s v="PC"/>
    <s v="62-7218897"/>
  </r>
  <r>
    <s v="France"/>
    <n v="132760.25"/>
    <n v="105039.91"/>
    <x v="341"/>
    <s v="Beauty"/>
    <s v="Swaniawski, Runolfsson and Green"/>
    <x v="5"/>
    <s v="Crysta Halls"/>
    <s v="PC"/>
    <s v="55-4161787"/>
  </r>
  <r>
    <s v="France"/>
    <n v="177802.7"/>
    <n v="155079.51"/>
    <x v="311"/>
    <s v="Other"/>
    <s v="Larkin-Collier"/>
    <x v="5"/>
    <s v="Amelina Piscopiello"/>
    <s v="PC"/>
    <s v="56-2537757"/>
  </r>
  <r>
    <s v="Bulgaria"/>
    <n v="98963.03"/>
    <n v="80367.88"/>
    <x v="215"/>
    <s v="Accessories"/>
    <s v="Wyman Group"/>
    <x v="8"/>
    <s v="Bernadine Fullagar"/>
    <s v="PC"/>
    <s v="20-0021649"/>
  </r>
  <r>
    <s v="Bulgaria"/>
    <n v="126582.5"/>
    <n v="103683.73"/>
    <x v="314"/>
    <s v="Beauty"/>
    <s v="Rowe, Hermiston and Kessler"/>
    <x v="8"/>
    <s v="Bernadine Fullagar"/>
    <s v="PC"/>
    <s v="93-2627296"/>
  </r>
  <r>
    <s v="Portugal"/>
    <n v="141965.10999999999"/>
    <n v="119193.91"/>
    <x v="342"/>
    <s v="Beauty"/>
    <s v="Friesen and Sons"/>
    <x v="2"/>
    <s v="Hortense Gerring"/>
    <s v="PC"/>
    <s v="56-2408571"/>
  </r>
  <r>
    <s v="Ireland"/>
    <n v="167301.51999999999"/>
    <n v="147074.76999999999"/>
    <x v="164"/>
    <s v="Outdoors"/>
    <s v="Christiansen, Donnelly and Bechtelar"/>
    <x v="11"/>
    <s v="Bunnie Tonbridge"/>
    <s v="PC"/>
    <s v="80-3206606"/>
  </r>
  <r>
    <s v="France"/>
    <n v="133985.91"/>
    <n v="116741.92"/>
    <x v="343"/>
    <s v="Clothing"/>
    <s v="Kihn Inc"/>
    <x v="5"/>
    <s v="Amelina Piscopiello"/>
    <s v="PC"/>
    <s v="48-3190394"/>
  </r>
  <r>
    <s v="France"/>
    <n v="91540.03"/>
    <n v="74916.36"/>
    <x v="278"/>
    <s v="Clothing"/>
    <s v="Kihn Inc"/>
    <x v="5"/>
    <s v="Ora Grennan"/>
    <s v="PC"/>
    <s v="38-6130023"/>
  </r>
  <r>
    <s v="UK"/>
    <n v="146055.04999999999"/>
    <n v="117822.61"/>
    <x v="103"/>
    <s v="Clothing"/>
    <s v="Hartmann, Hane and Pfannerstill"/>
    <x v="4"/>
    <s v="Winny Agnolo"/>
    <s v="Tablet"/>
    <s v="38-2969743"/>
  </r>
  <r>
    <s v="Sweden"/>
    <n v="113586.11"/>
    <n v="91641.27"/>
    <x v="120"/>
    <s v="Outdoors"/>
    <s v="Labadie and Sons"/>
    <x v="0"/>
    <s v="Tarrah Castelletti"/>
    <s v="Mobile"/>
    <s v="48-8166416"/>
  </r>
  <r>
    <s v="Ireland"/>
    <n v="135662.46"/>
    <n v="116764.68"/>
    <x v="228"/>
    <s v="Beauty"/>
    <s v="Corwin and Sons"/>
    <x v="11"/>
    <s v="Palm Wetherald"/>
    <s v="PC"/>
    <s v="33-4102367"/>
  </r>
  <r>
    <s v="Portugal"/>
    <n v="113781.45"/>
    <n v="91104.81"/>
    <x v="344"/>
    <s v="Books"/>
    <s v="Bashirian, Okuneva and Bechtelar"/>
    <x v="2"/>
    <s v="Aurelie Wren"/>
    <s v="PC"/>
    <s v="44-5240815"/>
  </r>
  <r>
    <s v="France"/>
    <n v="111462.88"/>
    <n v="94130.4"/>
    <x v="345"/>
    <s v="Outdoors"/>
    <s v="Romaguera-Dietrich"/>
    <x v="5"/>
    <s v="Avrit Chanders"/>
    <s v="Tablet"/>
    <s v="70-9378988"/>
  </r>
  <r>
    <s v="UK"/>
    <n v="34748.75"/>
    <n v="27475.84"/>
    <x v="151"/>
    <s v="Smartphones"/>
    <s v="Wiza and Sons"/>
    <x v="4"/>
    <s v="Genevra Charrisson"/>
    <s v="Tablet"/>
    <s v="84-9385946"/>
  </r>
  <r>
    <s v="UK"/>
    <n v="137306.45000000001"/>
    <n v="108732.98"/>
    <x v="318"/>
    <s v="Books"/>
    <s v="Gislason-Stanton"/>
    <x v="4"/>
    <s v="Winny Agnolo"/>
    <s v="PC"/>
    <s v="00-1210718"/>
  </r>
  <r>
    <s v="Portugal"/>
    <n v="148212.23000000001"/>
    <n v="123030.97"/>
    <x v="220"/>
    <s v="Clothing"/>
    <s v="Corwin and Sons"/>
    <x v="2"/>
    <s v="Brynn Dempster"/>
    <s v="PC"/>
    <s v="92-7917751"/>
  </r>
  <r>
    <s v="Portugal"/>
    <n v="159057.92000000001"/>
    <n v="139923.25"/>
    <x v="346"/>
    <s v="Smartphones"/>
    <s v="Johns and Sons"/>
    <x v="2"/>
    <s v="Brynn Dempster"/>
    <s v="PC"/>
    <s v="91-3344544"/>
  </r>
  <r>
    <s v="Sweden"/>
    <n v="146226.35999999999"/>
    <n v="117916.94"/>
    <x v="260"/>
    <s v="Smartphones"/>
    <s v="Farrell, Swaniawski and Crist"/>
    <x v="0"/>
    <s v="Alyosha Meah"/>
    <s v="PC"/>
    <s v="28-1840061"/>
  </r>
  <r>
    <s v="Portugal"/>
    <n v="201537.12"/>
    <n v="166127.04999999999"/>
    <x v="24"/>
    <s v="Outdoors"/>
    <s v="Connelly-Mohr"/>
    <x v="2"/>
    <s v="Brynn Dempster"/>
    <s v="PC"/>
    <s v="20-7532198"/>
  </r>
  <r>
    <s v="Portugal"/>
    <n v="242192.19"/>
    <n v="213104.91"/>
    <x v="347"/>
    <s v="Accessories"/>
    <s v="Schowalter, Lesch and Beahan"/>
    <x v="2"/>
    <s v="Smitty Culverhouse"/>
    <s v="PC"/>
    <s v="96-7618409"/>
  </r>
  <r>
    <s v="Luxembourg"/>
    <n v="172397.66"/>
    <n v="139986.9"/>
    <x v="218"/>
    <s v="Clothing"/>
    <s v="Johns and Sons"/>
    <x v="9"/>
    <s v="Jocelyn Laurentino"/>
    <s v="PC"/>
    <s v="47-8186791"/>
  </r>
  <r>
    <s v="Belgium"/>
    <n v="152370.57"/>
    <n v="128478.86"/>
    <x v="348"/>
    <s v="Games"/>
    <s v="Swaniawski, Runolfsson and Green"/>
    <x v="7"/>
    <s v="Collin Mackness"/>
    <s v="PC"/>
    <s v="61-8262308"/>
  </r>
  <r>
    <s v="Portugal"/>
    <n v="137419.29999999999"/>
    <n v="117658.4"/>
    <x v="349"/>
    <s v="Games"/>
    <s v="Hane Inc"/>
    <x v="2"/>
    <s v="Smitty Culverhouse"/>
    <s v="Mobile"/>
    <s v="39-1945268"/>
  </r>
  <r>
    <s v="France"/>
    <n v="67594.100000000006"/>
    <n v="54920.21"/>
    <x v="1"/>
    <s v="Other"/>
    <s v="Rowe, Hermiston and Kessler"/>
    <x v="5"/>
    <s v="Amelina Piscopiello"/>
    <s v="PC"/>
    <s v="70-1769929"/>
  </r>
  <r>
    <s v="Luxembourg"/>
    <n v="72002.259999999995"/>
    <n v="56996.99"/>
    <x v="313"/>
    <s v="Appliances"/>
    <s v="McGlynn-Prosacco"/>
    <x v="9"/>
    <s v="Jocelyn Laurentino"/>
    <s v="PC"/>
    <s v="65-0414599"/>
  </r>
  <r>
    <s v="France"/>
    <n v="159926.16"/>
    <n v="126453.61"/>
    <x v="350"/>
    <s v="Beauty"/>
    <s v="McGlynn-Prosacco"/>
    <x v="5"/>
    <s v="Ora Grennan"/>
    <s v="Mobile"/>
    <s v="44-0517932"/>
  </r>
  <r>
    <s v="France"/>
    <n v="65193.88"/>
    <n v="53113.45"/>
    <x v="351"/>
    <s v="Beauty"/>
    <s v="Friesen and Sons"/>
    <x v="5"/>
    <s v="Maighdiln Upcraft"/>
    <s v="PC"/>
    <s v="74-1131921"/>
  </r>
  <r>
    <s v="Portugal"/>
    <n v="105374.44"/>
    <n v="89779.02"/>
    <x v="352"/>
    <s v="Electronics"/>
    <s v="Stehr LLC"/>
    <x v="2"/>
    <s v="Brynn Dempster"/>
    <s v="PC"/>
    <s v="74-8625042"/>
  </r>
  <r>
    <s v="UK"/>
    <n v="83097.399999999994"/>
    <n v="68148.179999999993"/>
    <x v="75"/>
    <s v="Clothing"/>
    <s v="Corwin and Sons"/>
    <x v="4"/>
    <s v="Jay Morefield"/>
    <s v="Tablet"/>
    <s v="36-0185776"/>
  </r>
  <r>
    <s v="Sweden"/>
    <n v="139682.07"/>
    <n v="113212.32"/>
    <x v="50"/>
    <s v="Games"/>
    <s v="Tromp LLC"/>
    <x v="0"/>
    <s v="Anita Woakes"/>
    <s v="PC"/>
    <s v="98-4157323"/>
  </r>
  <r>
    <s v="France"/>
    <n v="81095.39"/>
    <n v="64316.75"/>
    <x v="353"/>
    <s v="Games"/>
    <s v="Murray, Reichel and Nolan"/>
    <x v="5"/>
    <s v="Avrit Chanders"/>
    <s v="PC"/>
    <s v="36-8783637"/>
  </r>
  <r>
    <s v="Bulgaria"/>
    <n v="91108.56"/>
    <n v="74089.48"/>
    <x v="354"/>
    <s v="Appliances"/>
    <s v="Stehr LLC"/>
    <x v="8"/>
    <s v="Shermy McGready"/>
    <s v="PC"/>
    <s v="34-0286364"/>
  </r>
  <r>
    <s v="Luxembourg"/>
    <n v="47182.43"/>
    <n v="40576.89"/>
    <x v="355"/>
    <s v="Smartphones"/>
    <s v="Kirlin and Sons"/>
    <x v="9"/>
    <s v="Jocelyn Laurentino"/>
    <s v="PC"/>
    <s v="82-0533747"/>
  </r>
  <r>
    <s v="Finland"/>
    <n v="161984.91"/>
    <n v="138237.92000000001"/>
    <x v="356"/>
    <s v="Appliances"/>
    <s v="Romaguera-Dietrich"/>
    <x v="1"/>
    <s v="Mellicent Mattys"/>
    <s v="PC"/>
    <s v="59-9184649"/>
  </r>
  <r>
    <s v="Sweden"/>
    <n v="116548.17"/>
    <n v="92119.67"/>
    <x v="357"/>
    <s v="Clothing"/>
    <s v="Johns and Sons"/>
    <x v="0"/>
    <s v="Anita Woakes"/>
    <s v="PC"/>
    <s v="03-3136289"/>
  </r>
  <r>
    <s v="Portugal"/>
    <n v="138764.6"/>
    <n v="111414.1"/>
    <x v="8"/>
    <s v="Appliances"/>
    <s v="Johns and Sons"/>
    <x v="2"/>
    <s v="Brynn Dempster"/>
    <s v="PC"/>
    <s v="79-6676714"/>
  </r>
  <r>
    <s v="France"/>
    <n v="148405.47"/>
    <n v="128845.63"/>
    <x v="66"/>
    <s v="Electronics"/>
    <s v="Johns and Sons"/>
    <x v="5"/>
    <s v="Amelina Piscopiello"/>
    <s v="PC"/>
    <s v="82-1082124"/>
  </r>
  <r>
    <s v="Netherlands"/>
    <n v="138249.76999999999"/>
    <n v="120277.3"/>
    <x v="358"/>
    <s v="Games"/>
    <s v="Hessel-Stiedemann"/>
    <x v="6"/>
    <s v="Nero Harbisher"/>
    <s v="PC"/>
    <s v="79-1331359"/>
  </r>
  <r>
    <s v="Portugal"/>
    <n v="115718.87"/>
    <n v="100640.7"/>
    <x v="250"/>
    <s v="Electronics"/>
    <s v="Hilll-Vandervort"/>
    <x v="2"/>
    <s v="Aurelie Wren"/>
    <s v="PC"/>
    <s v="84-7042200"/>
  </r>
  <r>
    <s v="Portugal"/>
    <n v="194326.7"/>
    <n v="169005.93"/>
    <x v="359"/>
    <s v="Books"/>
    <s v="Johns and Sons"/>
    <x v="2"/>
    <s v="Hortense Gerring"/>
    <s v="Mobile"/>
    <s v="42-5303223"/>
  </r>
  <r>
    <s v="France"/>
    <n v="38648.720000000001"/>
    <n v="32368.3"/>
    <x v="168"/>
    <s v="Beauty"/>
    <s v="Leffler, Prohaska and Streich"/>
    <x v="5"/>
    <s v="Crysta Halls"/>
    <s v="Tablet"/>
    <s v="04-6732680"/>
  </r>
  <r>
    <s v="Sweden"/>
    <n v="58010.14"/>
    <n v="46089.06"/>
    <x v="325"/>
    <s v="Appliances"/>
    <s v="Bashirian, Okuneva and Bechtelar"/>
    <x v="0"/>
    <s v="Tarrah Castelletti"/>
    <s v="PC"/>
    <s v="84-9167618"/>
  </r>
  <r>
    <s v="France"/>
    <n v="82697.53"/>
    <n v="69548.62"/>
    <x v="224"/>
    <s v="Games"/>
    <s v="Kihn Inc"/>
    <x v="5"/>
    <s v="Avrit Chanders"/>
    <s v="PC"/>
    <s v="47-5319780"/>
  </r>
  <r>
    <s v="Sweden"/>
    <n v="68086.960000000006"/>
    <n v="58759.05"/>
    <x v="360"/>
    <s v="Electronics"/>
    <s v="Stamm-Zulauf"/>
    <x v="0"/>
    <s v="Tarrah Castelletti"/>
    <s v="PC"/>
    <s v="20-1013432"/>
  </r>
  <r>
    <s v="Bulgaria"/>
    <n v="111106.06"/>
    <n v="93195.76"/>
    <x v="361"/>
    <s v="Games"/>
    <s v="Hermiston, Simonis and Wisoky"/>
    <x v="8"/>
    <s v="Bernadine Fullagar"/>
    <s v="PC"/>
    <s v="87-5540520"/>
  </r>
  <r>
    <s v="Portugal"/>
    <n v="227830.33"/>
    <n v="182173.13"/>
    <x v="24"/>
    <s v="Books"/>
    <s v="O'Connell-Mitchell"/>
    <x v="2"/>
    <s v="Aurelie Wren"/>
    <s v="PC"/>
    <s v="59-3526945"/>
  </r>
  <r>
    <s v="France"/>
    <n v="87355.7"/>
    <n v="74584.3"/>
    <x v="43"/>
    <s v="Smartphones"/>
    <s v="Smith Group"/>
    <x v="5"/>
    <s v="Crysta Halls"/>
    <s v="PC"/>
    <s v="33-4706706"/>
  </r>
  <r>
    <s v="France"/>
    <n v="164267.72"/>
    <n v="139069.04999999999"/>
    <x v="362"/>
    <s v="Appliances"/>
    <s v="Hilll-Vandervort"/>
    <x v="5"/>
    <s v="Crysta Halls"/>
    <s v="PC"/>
    <s v="51-9052860"/>
  </r>
  <r>
    <s v="UK"/>
    <n v="92179.76"/>
    <n v="74794.66"/>
    <x v="363"/>
    <s v="Beauty"/>
    <s v="Dickinson, Hyatt and Berge"/>
    <x v="4"/>
    <s v="Jay Morefield"/>
    <s v="Tablet"/>
    <s v="99-9021526"/>
  </r>
  <r>
    <s v="Sweden"/>
    <n v="124093.75999999999"/>
    <n v="105231.51"/>
    <x v="182"/>
    <s v="Electronics"/>
    <s v="Armstrong-Little"/>
    <x v="0"/>
    <s v="Anita Woakes"/>
    <s v="PC"/>
    <s v="87-0122224"/>
  </r>
  <r>
    <s v="UK"/>
    <n v="66391.58"/>
    <n v="52635.24"/>
    <x v="364"/>
    <s v="Clothing"/>
    <s v="Friesen and Sons"/>
    <x v="4"/>
    <s v="Winny Agnolo"/>
    <s v="Mobile"/>
    <s v="88-1711226"/>
  </r>
  <r>
    <s v="France"/>
    <n v="197471.1"/>
    <n v="162577.96"/>
    <x v="365"/>
    <s v="Appliances"/>
    <s v="Johns and Sons"/>
    <x v="5"/>
    <s v="Crysta Halls"/>
    <s v="PC"/>
    <s v="59-5711012"/>
  </r>
  <r>
    <s v="UK"/>
    <n v="122627.2"/>
    <n v="100284.52"/>
    <x v="366"/>
    <s v="Clothing"/>
    <s v="Wiza and Sons"/>
    <x v="4"/>
    <s v="Winny Agnolo"/>
    <s v="PC"/>
    <s v="65-0792739"/>
  </r>
  <r>
    <s v="UK"/>
    <n v="159052.70000000001"/>
    <n v="127926.09"/>
    <x v="135"/>
    <s v="Games"/>
    <s v="Stamm Inc"/>
    <x v="4"/>
    <s v="Genevra Charrisson"/>
    <s v="PC"/>
    <s v="75-7245546"/>
  </r>
  <r>
    <s v="Portugal"/>
    <n v="85515.6"/>
    <n v="67959.25"/>
    <x v="57"/>
    <s v="Games"/>
    <s v="Larkin-Collier"/>
    <x v="2"/>
    <s v="Brynn Dempster"/>
    <s v="PC"/>
    <s v="05-0243828"/>
  </r>
  <r>
    <s v="Portugal"/>
    <n v="42847.46"/>
    <n v="34757.86"/>
    <x v="185"/>
    <s v="Accessories"/>
    <s v="Morissette Group"/>
    <x v="2"/>
    <s v="Aurelie Wren"/>
    <s v="PC"/>
    <s v="14-9919657"/>
  </r>
  <r>
    <s v="France"/>
    <n v="125499.82"/>
    <n v="100977.16"/>
    <x v="367"/>
    <s v="Beauty"/>
    <s v="Spencer, Rogahn and Muller"/>
    <x v="5"/>
    <s v="Ora Grennan"/>
    <s v="PC"/>
    <s v="47-9191500"/>
  </r>
  <r>
    <s v="Finland"/>
    <n v="222379.49"/>
    <n v="192869.73"/>
    <x v="368"/>
    <s v="Beauty"/>
    <s v="Labadie and Sons"/>
    <x v="1"/>
    <s v="Mellicent Mattys"/>
    <s v="Mobile"/>
    <s v="51-3543971"/>
  </r>
  <r>
    <s v="Portugal"/>
    <n v="85390.17"/>
    <n v="74400.460000000006"/>
    <x v="369"/>
    <s v="Electronics"/>
    <s v="Stamm-Zulauf"/>
    <x v="2"/>
    <s v="Brynn Dempster"/>
    <s v="PC"/>
    <s v="14-4225824"/>
  </r>
  <r>
    <s v="Portugal"/>
    <n v="97514.7"/>
    <n v="80790.929999999993"/>
    <x v="0"/>
    <s v="Appliances"/>
    <s v="Tillman and Sons"/>
    <x v="2"/>
    <s v="Hortense Gerring"/>
    <s v="PC"/>
    <s v="88-1349718"/>
  </r>
  <r>
    <s v="UK"/>
    <n v="87321.89"/>
    <n v="69254.990000000005"/>
    <x v="313"/>
    <s v="Electronics"/>
    <s v="Tillman and Sons"/>
    <x v="4"/>
    <s v="Winny Agnolo"/>
    <s v="Mobile"/>
    <s v="62-5120016"/>
  </r>
  <r>
    <s v="Sweden"/>
    <n v="205059.8"/>
    <n v="173029.46"/>
    <x v="370"/>
    <s v="Electronics"/>
    <s v="Stehr-Bogan"/>
    <x v="0"/>
    <s v="Caro Morfield"/>
    <s v="PC"/>
    <s v="19-4538571"/>
  </r>
  <r>
    <s v="Portugal"/>
    <n v="105833.52"/>
    <n v="85312.4"/>
    <x v="371"/>
    <s v="Smartphones"/>
    <s v="McGlynn-Prosacco"/>
    <x v="2"/>
    <s v="Corene Shirer"/>
    <s v="PC"/>
    <s v="01-1212783"/>
  </r>
  <r>
    <s v="France"/>
    <n v="40043.11"/>
    <n v="35109.800000000003"/>
    <x v="372"/>
    <s v="Appliances"/>
    <s v="Romaguera-Haley"/>
    <x v="5"/>
    <s v="Ora Grennan"/>
    <s v="PC"/>
    <s v="58-8728288"/>
  </r>
  <r>
    <s v="Portugal"/>
    <n v="57859.08"/>
    <n v="47756.88"/>
    <x v="111"/>
    <s v="Books"/>
    <s v="Hessel-Stiedemann"/>
    <x v="2"/>
    <s v="Aurelie Wren"/>
    <s v="Mobile"/>
    <s v="95-2190016"/>
  </r>
  <r>
    <s v="France"/>
    <n v="132235.46"/>
    <n v="114132.43"/>
    <x v="239"/>
    <s v="Books"/>
    <s v="Zieme, Bailey and Herzog"/>
    <x v="5"/>
    <s v="Ora Grennan"/>
    <s v="PC"/>
    <s v="95-4388709"/>
  </r>
  <r>
    <s v="UK"/>
    <n v="33724.53"/>
    <n v="26770.53"/>
    <x v="373"/>
    <s v="Beauty"/>
    <s v="Gorczany-Lehner"/>
    <x v="4"/>
    <s v="Winny Agnolo"/>
    <s v="Mobile"/>
    <s v="57-8678621"/>
  </r>
  <r>
    <s v="Ireland"/>
    <n v="36070.76"/>
    <n v="29339.96"/>
    <x v="80"/>
    <s v="Other"/>
    <s v="Friesen-Rath"/>
    <x v="11"/>
    <s v="Bunnie Tonbridge"/>
    <s v="Mobile"/>
    <s v="22-4278602"/>
  </r>
  <r>
    <s v="Sweden"/>
    <n v="39457.339999999997"/>
    <n v="32793"/>
    <x v="374"/>
    <s v="Beauty"/>
    <s v="Morissette Group"/>
    <x v="0"/>
    <s v="Anita Woakes"/>
    <s v="PC"/>
    <s v="98-3280428"/>
  </r>
  <r>
    <s v="Italy"/>
    <n v="38536.92"/>
    <n v="32001.06"/>
    <x v="213"/>
    <s v="Books"/>
    <s v="Spencer, Rogahn and Muller"/>
    <x v="10"/>
    <s v="Joshua Prevost"/>
    <s v="Mobile"/>
    <s v="61-4366487"/>
  </r>
  <r>
    <s v="France"/>
    <n v="173829.96"/>
    <n v="149824.04"/>
    <x v="375"/>
    <s v="Beauty"/>
    <s v="Dibbert Inc"/>
    <x v="5"/>
    <s v="Amelina Piscopiello"/>
    <s v="PC"/>
    <s v="55-2128150"/>
  </r>
  <r>
    <s v="Portugal"/>
    <n v="37521.39"/>
    <n v="29701.93"/>
    <x v="50"/>
    <s v="Beauty"/>
    <s v="Friesen-Rath"/>
    <x v="2"/>
    <s v="Hortense Gerring"/>
    <s v="PC"/>
    <s v="60-0610487"/>
  </r>
  <r>
    <s v="Portugal"/>
    <n v="119409.43"/>
    <n v="102656.29"/>
    <x v="31"/>
    <s v="Electronics"/>
    <s v="Spencer, Rogahn and Muller"/>
    <x v="2"/>
    <s v="Hortense Gerring"/>
    <s v="PC"/>
    <s v="02-9253490"/>
  </r>
  <r>
    <s v="Denmark"/>
    <n v="248261.86"/>
    <n v="206727.65"/>
    <x v="4"/>
    <s v="Smartphones"/>
    <s v="Gleichner-Green"/>
    <x v="13"/>
    <s v="Case Desorts"/>
    <s v="PC"/>
    <s v="65-2343846"/>
  </r>
  <r>
    <s v="UK"/>
    <n v="96669.92"/>
    <n v="76475.570000000007"/>
    <x v="275"/>
    <s v="Appliances"/>
    <s v="Johns and Sons"/>
    <x v="4"/>
    <s v="Winny Agnolo"/>
    <s v="Mobile"/>
    <s v="20-0499139"/>
  </r>
  <r>
    <s v="France"/>
    <n v="264149.90999999997"/>
    <n v="208757.67"/>
    <x v="376"/>
    <s v="Smartphones"/>
    <s v="Schmitt, Purdy and Johnson"/>
    <x v="5"/>
    <s v="Avrit Chanders"/>
    <s v="PC"/>
    <s v="32-3994860"/>
  </r>
  <r>
    <s v="Portugal"/>
    <n v="216863.04"/>
    <n v="175355.45"/>
    <x v="201"/>
    <s v="Beauty"/>
    <s v="Dickinson, Hyatt and Berge"/>
    <x v="2"/>
    <s v="Corene Shirer"/>
    <s v="Tablet"/>
    <s v="72-7973717"/>
  </r>
  <r>
    <s v="France"/>
    <n v="140943.88"/>
    <n v="120633.87"/>
    <x v="213"/>
    <s v="Appliances"/>
    <s v="Armstrong-Little"/>
    <x v="5"/>
    <s v="Avrit Chanders"/>
    <s v="Tablet"/>
    <s v="77-0650807"/>
  </r>
  <r>
    <s v="Luxembourg"/>
    <n v="82525.61"/>
    <n v="68446.740000000005"/>
    <x v="377"/>
    <s v="Clothing"/>
    <s v="Johns and Sons"/>
    <x v="9"/>
    <s v="Jocelyn Laurentino"/>
    <s v="PC"/>
    <s v="34-5150360"/>
  </r>
  <r>
    <s v="Portugal"/>
    <n v="19622.59"/>
    <n v="17148.18"/>
    <x v="378"/>
    <s v="Clothing"/>
    <s v="Fisher, Morar and Skiles"/>
    <x v="2"/>
    <s v="Aurelie Wren"/>
    <s v="PC"/>
    <s v="73-4726386"/>
  </r>
  <r>
    <s v="Sweden"/>
    <n v="263713.12"/>
    <n v="216165.64"/>
    <x v="379"/>
    <s v="Electronics"/>
    <s v="Schmitt, Purdy and Johnson"/>
    <x v="0"/>
    <s v="Tarrah Castelletti"/>
    <s v="PC"/>
    <s v="78-6165949"/>
  </r>
  <r>
    <s v="Portugal"/>
    <n v="284298.56"/>
    <n v="229656.38"/>
    <x v="180"/>
    <s v="Clothing"/>
    <s v="Stehr LLC"/>
    <x v="2"/>
    <s v="Corene Shirer"/>
    <s v="PC"/>
    <s v="74-0191565"/>
  </r>
  <r>
    <s v="Sweden"/>
    <n v="98320.37"/>
    <n v="77722.25"/>
    <x v="326"/>
    <s v="Games"/>
    <s v="Konopelski LLC"/>
    <x v="0"/>
    <s v="Tarrah Castelletti"/>
    <s v="Tablet"/>
    <s v="02-3364199"/>
  </r>
  <r>
    <s v="UK"/>
    <n v="128112.26"/>
    <n v="104975.19"/>
    <x v="303"/>
    <s v="Books"/>
    <s v="Hessel-Stiedemann"/>
    <x v="4"/>
    <s v="Jay Morefield"/>
    <s v="PC"/>
    <s v="39-8642490"/>
  </r>
  <r>
    <s v="France"/>
    <n v="110878.97"/>
    <n v="90588.12"/>
    <x v="380"/>
    <s v="Appliances"/>
    <s v="Konopelski LLC"/>
    <x v="5"/>
    <s v="Amelina Piscopiello"/>
    <s v="PC"/>
    <s v="50-8357453"/>
  </r>
  <r>
    <s v="Sweden"/>
    <n v="66225.710000000006"/>
    <n v="52437.52"/>
    <x v="163"/>
    <s v="Books"/>
    <s v="Larkin-Collier"/>
    <x v="0"/>
    <s v="Alyosha Meah"/>
    <s v="PC"/>
    <s v="68-6900528"/>
  </r>
  <r>
    <s v="UK"/>
    <n v="73727.91"/>
    <n v="64047.44"/>
    <x v="381"/>
    <s v="Books"/>
    <s v="Romaguera-Haley"/>
    <x v="4"/>
    <s v="Winny Agnolo"/>
    <s v="PC"/>
    <s v="92-5154775"/>
  </r>
  <r>
    <s v="Denmark"/>
    <n v="22164.959999999999"/>
    <n v="17938.099999999999"/>
    <x v="181"/>
    <s v="Books"/>
    <s v="Wyman Group"/>
    <x v="13"/>
    <s v="Case Desorts"/>
    <s v="PC"/>
    <s v="60-7777080"/>
  </r>
  <r>
    <s v="France"/>
    <n v="151855.04000000001"/>
    <n v="129486.79"/>
    <x v="382"/>
    <s v="Electronics"/>
    <s v="Considine-Fisher"/>
    <x v="5"/>
    <s v="Amelina Piscopiello"/>
    <s v="PC"/>
    <s v="54-1473475"/>
  </r>
  <r>
    <s v="Finland"/>
    <n v="106115.85"/>
    <n v="93063.6"/>
    <x v="383"/>
    <s v="Electronics"/>
    <s v="Johns and Sons"/>
    <x v="1"/>
    <s v="Mellicent Mattys"/>
    <s v="Tablet"/>
    <s v="51-4531731"/>
  </r>
  <r>
    <s v="France"/>
    <n v="89369"/>
    <n v="72889.36"/>
    <x v="384"/>
    <s v="Smartphones"/>
    <s v="Swaniawski, Runolfsson and Green"/>
    <x v="5"/>
    <s v="Ora Grennan"/>
    <s v="PC"/>
    <s v="20-6735303"/>
  </r>
  <r>
    <s v="Sweden"/>
    <n v="106076.67"/>
    <n v="84765.87"/>
    <x v="385"/>
    <s v="Electronics"/>
    <s v="Romaguera-Haley"/>
    <x v="0"/>
    <s v="Madelon Bront"/>
    <s v="Mobile"/>
    <s v="97-5858605"/>
  </r>
  <r>
    <s v="Netherlands"/>
    <n v="23290.84"/>
    <n v="19147.400000000001"/>
    <x v="386"/>
    <s v="Electronics"/>
    <s v="Konopelski LLC"/>
    <x v="6"/>
    <s v="Nero Harbisher"/>
    <s v="PC"/>
    <s v="02-2183787"/>
  </r>
  <r>
    <s v="France"/>
    <n v="83340.039999999994"/>
    <n v="73264.23"/>
    <x v="79"/>
    <s v="Clothing"/>
    <s v="Johns and Sons"/>
    <x v="5"/>
    <s v="Amelina Piscopiello"/>
    <s v="PC"/>
    <s v="65-5818172"/>
  </r>
  <r>
    <s v="Denmark"/>
    <n v="39287.29"/>
    <n v="31708.77"/>
    <x v="59"/>
    <s v="Games"/>
    <s v="Tillman and Sons"/>
    <x v="13"/>
    <s v="Cobby Andersen"/>
    <s v="PC"/>
    <s v="03-8586261"/>
  </r>
  <r>
    <s v="Bulgaria"/>
    <n v="124611.61"/>
    <n v="107776.58"/>
    <x v="387"/>
    <s v="Electronics"/>
    <s v="Wiza and Sons"/>
    <x v="8"/>
    <s v="Shermy McGready"/>
    <s v="PC"/>
    <s v="86-0928074"/>
  </r>
  <r>
    <s v="France"/>
    <n v="147055.1"/>
    <n v="126114.45"/>
    <x v="243"/>
    <s v="Games"/>
    <s v="Friesen-Rath"/>
    <x v="5"/>
    <s v="Crysta Halls"/>
    <s v="PC"/>
    <s v="77-1100434"/>
  </r>
  <r>
    <s v="Ireland"/>
    <n v="130242.41"/>
    <n v="113050.41"/>
    <x v="388"/>
    <s v="Smartphones"/>
    <s v="Johns and Sons"/>
    <x v="11"/>
    <s v="Palm Wetherald"/>
    <s v="PC"/>
    <s v="70-7426559"/>
  </r>
  <r>
    <s v="France"/>
    <n v="34771.79"/>
    <n v="28509.39"/>
    <x v="189"/>
    <s v="Smartphones"/>
    <s v="Rowe, Hermiston and Kessler"/>
    <x v="5"/>
    <s v="Maighdiln Upcraft"/>
    <s v="PC"/>
    <s v="45-5963143"/>
  </r>
  <r>
    <s v="Portugal"/>
    <n v="201573.23"/>
    <n v="166116.5"/>
    <x v="207"/>
    <s v="Games"/>
    <s v="Schuster Inc"/>
    <x v="2"/>
    <s v="Corene Shirer"/>
    <s v="Mobile"/>
    <s v="94-3590580"/>
  </r>
  <r>
    <s v="Sweden"/>
    <n v="71119.23"/>
    <n v="59220.98"/>
    <x v="389"/>
    <s v="Books"/>
    <s v="Johns and Sons"/>
    <x v="0"/>
    <s v="Alyosha Meah"/>
    <s v="PC"/>
    <s v="52-5981325"/>
  </r>
  <r>
    <s v="Portugal"/>
    <n v="115538.34"/>
    <n v="99686.48"/>
    <x v="38"/>
    <s v="Games"/>
    <s v="Larkin-Collier"/>
    <x v="2"/>
    <s v="Smitty Culverhouse"/>
    <s v="PC"/>
    <s v="74-7472724"/>
  </r>
  <r>
    <s v="Portugal"/>
    <n v="144237.38"/>
    <n v="116111.09"/>
    <x v="45"/>
    <s v="Books"/>
    <s v="Johns and Sons"/>
    <x v="2"/>
    <s v="Hortense Gerring"/>
    <s v="PC"/>
    <s v="03-3965480"/>
  </r>
  <r>
    <s v="UK"/>
    <n v="91561.49"/>
    <n v="78266.759999999995"/>
    <x v="390"/>
    <s v="Books"/>
    <s v="Armstrong-Little"/>
    <x v="4"/>
    <s v="Winny Agnolo"/>
    <s v="PC"/>
    <s v="64-4188827"/>
  </r>
  <r>
    <s v="Sweden"/>
    <n v="233858.47"/>
    <n v="185543.31"/>
    <x v="162"/>
    <s v="Beauty"/>
    <s v="Romaguera-Dietrich"/>
    <x v="0"/>
    <s v="Alyosha Meah"/>
    <s v="PC"/>
    <s v="66-5572109"/>
  </r>
  <r>
    <s v="UK"/>
    <n v="256388.08"/>
    <n v="212058.58"/>
    <x v="207"/>
    <s v="Appliances"/>
    <s v="Tromp LLC"/>
    <x v="4"/>
    <s v="Jay Morefield"/>
    <s v="Mobile"/>
    <s v="44-2994974"/>
  </r>
  <r>
    <s v="UK"/>
    <n v="125099.05"/>
    <n v="108473.39"/>
    <x v="84"/>
    <s v="Books"/>
    <s v="Dibbert Inc"/>
    <x v="4"/>
    <s v="Genevra Charrisson"/>
    <s v="PC"/>
    <s v="30-7981953"/>
  </r>
  <r>
    <s v="UK"/>
    <n v="121246.32"/>
    <n v="104005.09"/>
    <x v="258"/>
    <s v="Books"/>
    <s v="Altenwerth-Konopelski"/>
    <x v="4"/>
    <s v="Winny Agnolo"/>
    <s v="PC"/>
    <s v="82-9740062"/>
  </r>
  <r>
    <s v="Finland"/>
    <n v="28538.19"/>
    <n v="24970.92"/>
    <x v="391"/>
    <s v="Games"/>
    <s v="Hilll-Vandervort"/>
    <x v="1"/>
    <s v="Wat Bowkley"/>
    <s v="PC"/>
    <s v="28-7069317"/>
  </r>
  <r>
    <s v="France"/>
    <n v="89930.18"/>
    <n v="78005.440000000002"/>
    <x v="392"/>
    <s v="Other"/>
    <s v="Hessel-Stiedemann"/>
    <x v="5"/>
    <s v="Maighdiln Upcraft"/>
    <s v="PC"/>
    <s v="65-0441590"/>
  </r>
  <r>
    <s v="Sweden"/>
    <n v="170457.8"/>
    <n v="142809.54"/>
    <x v="25"/>
    <s v="Accessories"/>
    <s v="Shanahan, Schaden and Parker"/>
    <x v="0"/>
    <s v="Anita Woakes"/>
    <s v="PC"/>
    <s v="60-1991659"/>
  </r>
  <r>
    <s v="UK"/>
    <n v="166380.74"/>
    <n v="146049.01"/>
    <x v="370"/>
    <s v="Smartphones"/>
    <s v="Labadie and Sons"/>
    <x v="4"/>
    <s v="Genevra Charrisson"/>
    <s v="PC"/>
    <s v="15-2948501"/>
  </r>
  <r>
    <s v="France"/>
    <n v="116328.75"/>
    <n v="93365.45"/>
    <x v="322"/>
    <s v="Appliances"/>
    <s v="Schowalter, Lesch and Beahan"/>
    <x v="5"/>
    <s v="Crysta Halls"/>
    <s v="PC"/>
    <s v="02-6830973"/>
  </r>
  <r>
    <s v="Germany"/>
    <n v="230765.62"/>
    <n v="195435.4"/>
    <x v="311"/>
    <s v="Beauty"/>
    <s v="Johns and Sons"/>
    <x v="12"/>
    <s v="Casie MacBain"/>
    <s v="PC"/>
    <s v="70-0112393"/>
  </r>
  <r>
    <s v="Portugal"/>
    <n v="152442.32"/>
    <n v="122258.74"/>
    <x v="393"/>
    <s v="Electronics"/>
    <s v="Johns and Sons"/>
    <x v="2"/>
    <s v="Aurelie Wren"/>
    <s v="PC"/>
    <s v="04-6161825"/>
  </r>
  <r>
    <s v="Sweden"/>
    <n v="325331.99"/>
    <n v="264592.51"/>
    <x v="282"/>
    <s v="Games"/>
    <s v="Altenwerth-Konopelski"/>
    <x v="0"/>
    <s v="Caro Morfield"/>
    <s v="Mobile"/>
    <s v="57-4142025"/>
  </r>
  <r>
    <s v="UK"/>
    <n v="56768.43"/>
    <n v="47384.61"/>
    <x v="285"/>
    <s v="Games"/>
    <s v="Kihn Inc"/>
    <x v="4"/>
    <s v="Winny Agnolo"/>
    <s v="PC"/>
    <s v="84-9254695"/>
  </r>
  <r>
    <s v="Portugal"/>
    <n v="147895.45000000001"/>
    <n v="120416.48"/>
    <x v="394"/>
    <s v="Clothing"/>
    <s v="Wisoky Inc"/>
    <x v="2"/>
    <s v="Hortense Gerring"/>
    <s v="Mobile"/>
    <s v="17-1884075"/>
  </r>
  <r>
    <s v="Ireland"/>
    <n v="57107.26"/>
    <n v="48232.79"/>
    <x v="193"/>
    <s v="Outdoors"/>
    <s v="Altenwerth-Konopelski"/>
    <x v="11"/>
    <s v="Bunnie Tonbridge"/>
    <s v="Mobile"/>
    <s v="49-6263811"/>
  </r>
  <r>
    <s v="France"/>
    <n v="85337.78"/>
    <n v="72306.7"/>
    <x v="276"/>
    <s v="Appliances"/>
    <s v="Lubowitz, McLaughlin and Erdman"/>
    <x v="5"/>
    <s v="Crysta Halls"/>
    <s v="Mobile"/>
    <s v="78-6287811"/>
  </r>
  <r>
    <s v="France"/>
    <n v="162199.24"/>
    <n v="130878.57"/>
    <x v="229"/>
    <s v="Appliances"/>
    <s v="West-Cummings"/>
    <x v="5"/>
    <s v="Avrit Chanders"/>
    <s v="PC"/>
    <s v="75-1807214"/>
  </r>
  <r>
    <s v="Sweden"/>
    <n v="128208.95"/>
    <n v="111746.92"/>
    <x v="395"/>
    <s v="Appliances"/>
    <s v="Dibbert Inc"/>
    <x v="0"/>
    <s v="Alyosha Meah"/>
    <s v="PC"/>
    <s v="72-1300449"/>
  </r>
  <r>
    <s v="Germany"/>
    <n v="86669.23"/>
    <n v="71580.12"/>
    <x v="265"/>
    <s v="Appliances"/>
    <s v="Hessel-Stiedemann"/>
    <x v="12"/>
    <s v="Casie MacBain"/>
    <s v="PC"/>
    <s v="22-4332301"/>
  </r>
  <r>
    <s v="Ireland"/>
    <n v="117288.29"/>
    <n v="94546.09"/>
    <x v="396"/>
    <s v="Clothing"/>
    <s v="Johns and Sons"/>
    <x v="11"/>
    <s v="Palm Wetherald"/>
    <s v="PC"/>
    <s v="42-2477150"/>
  </r>
  <r>
    <s v="France"/>
    <n v="57292.84"/>
    <n v="45908.75"/>
    <x v="397"/>
    <s v="Electronics"/>
    <s v="Zieme, Bailey and Herzog"/>
    <x v="5"/>
    <s v="Ora Grennan"/>
    <s v="PC"/>
    <s v="18-5234470"/>
  </r>
  <r>
    <s v="Portugal"/>
    <n v="110441.89"/>
    <n v="90970.98"/>
    <x v="12"/>
    <s v="Beauty"/>
    <s v="Heaney, Gulgowski and Kshlerin"/>
    <x v="2"/>
    <s v="Hortense Gerring"/>
    <s v="Tablet"/>
    <s v="74-4541594"/>
  </r>
  <r>
    <s v="UK"/>
    <n v="53801.73"/>
    <n v="46785.98"/>
    <x v="398"/>
    <s v="Games"/>
    <s v="Johns and Sons"/>
    <x v="4"/>
    <s v="Jay Morefield"/>
    <s v="PC"/>
    <s v="16-6855831"/>
  </r>
  <r>
    <s v="UK"/>
    <n v="308763.51"/>
    <n v="245714"/>
    <x v="168"/>
    <s v="Outdoors"/>
    <s v="Kihn Inc"/>
    <x v="4"/>
    <s v="Winny Agnolo"/>
    <s v="PC"/>
    <s v="46-5327740"/>
  </r>
  <r>
    <s v="Portugal"/>
    <n v="87409.49"/>
    <n v="70548.2"/>
    <x v="399"/>
    <s v="Games"/>
    <s v="Hessel-Stiedemann"/>
    <x v="2"/>
    <s v="Brynn Dempster"/>
    <s v="PC"/>
    <s v="06-4416964"/>
  </r>
  <r>
    <s v="Denmark"/>
    <n v="31936.44"/>
    <n v="27708.06"/>
    <x v="400"/>
    <s v="Books"/>
    <s v="Hartmann, Hane and Pfannerstill"/>
    <x v="13"/>
    <s v="Cobby Andersen"/>
    <s v="PC"/>
    <s v="46-6076582"/>
  </r>
  <r>
    <s v="Sweden"/>
    <n v="45463.65"/>
    <n v="36907.39"/>
    <x v="131"/>
    <s v="Clothing"/>
    <s v="Schuster Inc"/>
    <x v="0"/>
    <s v="Alyosha Meah"/>
    <s v="PC"/>
    <s v="38-1449694"/>
  </r>
  <r>
    <s v="Sweden"/>
    <n v="112909.4"/>
    <n v="93940.62"/>
    <x v="401"/>
    <s v="Clothing"/>
    <s v="Johns and Sons"/>
    <x v="0"/>
    <s v="Madelon Bront"/>
    <s v="PC"/>
    <s v="39-3557596"/>
  </r>
  <r>
    <s v="Portugal"/>
    <n v="126346.44"/>
    <n v="103970.49"/>
    <x v="367"/>
    <s v="Smartphones"/>
    <s v="Johns and Sons"/>
    <x v="2"/>
    <s v="Corene Shirer"/>
    <s v="PC"/>
    <s v="26-9990483"/>
  </r>
  <r>
    <s v="Portugal"/>
    <n v="109713.84"/>
    <n v="95769.21"/>
    <x v="117"/>
    <s v="Smartphones"/>
    <s v="Bashirian, Okuneva and Bechtelar"/>
    <x v="2"/>
    <s v="Aurelie Wren"/>
    <s v="PC"/>
    <s v="31-7075495"/>
  </r>
  <r>
    <s v="Netherlands"/>
    <n v="200472.46"/>
    <n v="170181.07"/>
    <x v="402"/>
    <s v="Electronics"/>
    <s v="Wiza and Sons"/>
    <x v="6"/>
    <s v="Nero Harbisher"/>
    <s v="PC"/>
    <s v="98-5774102"/>
  </r>
  <r>
    <s v="France"/>
    <n v="35214.85"/>
    <n v="27985.24"/>
    <x v="403"/>
    <s v="Electronics"/>
    <s v="Lueilwitz, Kerluke and Lesch"/>
    <x v="5"/>
    <s v="Ora Grennan"/>
    <s v="PC"/>
    <s v="46-5580805"/>
  </r>
  <r>
    <s v="Ireland"/>
    <n v="161630.62"/>
    <n v="133991.78"/>
    <x v="404"/>
    <s v="Appliances"/>
    <s v="Friesen-Rath"/>
    <x v="11"/>
    <s v="Palm Wetherald"/>
    <s v="PC"/>
    <s v="39-6568658"/>
  </r>
  <r>
    <s v="Portugal"/>
    <n v="179184.12"/>
    <n v="142433.46"/>
    <x v="130"/>
    <s v="Appliances"/>
    <s v="Hamill, Kulas and Roob"/>
    <x v="2"/>
    <s v="Brynn Dempster"/>
    <s v="PC"/>
    <s v="85-1464621"/>
  </r>
  <r>
    <s v="Sweden"/>
    <n v="80867.179999999993"/>
    <n v="63982.11"/>
    <x v="405"/>
    <s v="Books"/>
    <s v="Dibbert Inc"/>
    <x v="0"/>
    <s v="Anita Woakes"/>
    <s v="PC"/>
    <s v="86-6763776"/>
  </r>
  <r>
    <s v="France"/>
    <n v="96613.06"/>
    <n v="79242.03"/>
    <x v="250"/>
    <s v="Books"/>
    <s v="Johns and Sons"/>
    <x v="5"/>
    <s v="Ora Grennan"/>
    <s v="PC"/>
    <s v="03-7559332"/>
  </r>
  <r>
    <s v="Portugal"/>
    <n v="89600.45"/>
    <n v="70811.240000000005"/>
    <x v="104"/>
    <s v="Games"/>
    <s v="Wisoky Inc"/>
    <x v="2"/>
    <s v="Smitty Culverhouse"/>
    <s v="PC"/>
    <s v="36-7939842"/>
  </r>
  <r>
    <s v="Portugal"/>
    <n v="41921.61"/>
    <n v="34773.980000000003"/>
    <x v="198"/>
    <s v="Games"/>
    <s v="Gislason-Stanton"/>
    <x v="2"/>
    <s v="Hortense Gerring"/>
    <s v="Tablet"/>
    <s v="38-7603760"/>
  </r>
  <r>
    <s v="UK"/>
    <n v="151012.12"/>
    <n v="126080.02"/>
    <x v="148"/>
    <s v="Accessories"/>
    <s v="Johns and Sons"/>
    <x v="4"/>
    <s v="Jay Morefield"/>
    <s v="PC"/>
    <s v="11-5630090"/>
  </r>
  <r>
    <s v="Portugal"/>
    <n v="112481.44"/>
    <n v="96700.29"/>
    <x v="406"/>
    <s v="Electronics"/>
    <s v="Dickinson, Hyatt and Berge"/>
    <x v="2"/>
    <s v="Hortense Gerring"/>
    <s v="Mobile"/>
    <s v="97-6414953"/>
  </r>
  <r>
    <s v="France"/>
    <n v="90228.68"/>
    <n v="77966.600000000006"/>
    <x v="218"/>
    <s v="Electronics"/>
    <s v="Wiza and Sons"/>
    <x v="5"/>
    <s v="Avrit Chanders"/>
    <s v="PC"/>
    <s v="64-9816105"/>
  </r>
  <r>
    <s v="UK"/>
    <n v="141552.4"/>
    <n v="122994.88"/>
    <x v="407"/>
    <s v="Beauty"/>
    <s v="Dickinson, Hyatt and Berge"/>
    <x v="4"/>
    <s v="Winny Agnolo"/>
    <s v="PC"/>
    <s v="59-0893568"/>
  </r>
  <r>
    <s v="UK"/>
    <n v="29783.39"/>
    <n v="23719.49"/>
    <x v="408"/>
    <s v="Books"/>
    <s v="Schmitt, Purdy and Johnson"/>
    <x v="4"/>
    <s v="Winny Agnolo"/>
    <s v="PC"/>
    <s v="18-0945763"/>
  </r>
  <r>
    <s v="Sweden"/>
    <n v="149938.71"/>
    <n v="131541.23000000001"/>
    <x v="409"/>
    <s v="Books"/>
    <s v="Walter LLC"/>
    <x v="0"/>
    <s v="Madelon Bront"/>
    <s v="PC"/>
    <s v="26-1771681"/>
  </r>
  <r>
    <s v="Sweden"/>
    <n v="103839.74"/>
    <n v="90683.24"/>
    <x v="326"/>
    <s v="Books"/>
    <s v="Schoen-Keeling"/>
    <x v="0"/>
    <s v="Tarrah Castelletti"/>
    <s v="PC"/>
    <s v="57-6427586"/>
  </r>
  <r>
    <s v="Portugal"/>
    <n v="30550.32"/>
    <n v="25457.58"/>
    <x v="410"/>
    <s v="Beauty"/>
    <s v="Farrell, Swaniawski and Crist"/>
    <x v="2"/>
    <s v="Smitty Culverhouse"/>
    <s v="Mobile"/>
    <s v="73-3910940"/>
  </r>
  <r>
    <s v="Sweden"/>
    <n v="24787.65"/>
    <n v="20454.77"/>
    <x v="405"/>
    <s v="Other"/>
    <s v="Lueilwitz, Kerluke and Lesch"/>
    <x v="0"/>
    <s v="Caro Morfield"/>
    <s v="PC"/>
    <s v="34-8728117"/>
  </r>
  <r>
    <s v="France"/>
    <n v="122468.33"/>
    <n v="103032.61"/>
    <x v="353"/>
    <s v="Electronics"/>
    <s v="Johns and Sons"/>
    <x v="5"/>
    <s v="Avrit Chanders"/>
    <s v="Mobile"/>
    <s v="53-7680732"/>
  </r>
  <r>
    <s v="Sweden"/>
    <n v="137026.71"/>
    <n v="120117.61"/>
    <x v="296"/>
    <s v="Smartphones"/>
    <s v="McGlynn-Bergstrom"/>
    <x v="0"/>
    <s v="Anita Woakes"/>
    <s v="PC"/>
    <s v="86-6380587"/>
  </r>
  <r>
    <s v="Finland"/>
    <n v="132246.48000000001"/>
    <n v="106841.93"/>
    <x v="411"/>
    <s v="Games"/>
    <s v="Friesen-Rath"/>
    <x v="1"/>
    <s v="Mellicent Mattys"/>
    <s v="PC"/>
    <s v="95-1862126"/>
  </r>
  <r>
    <s v="Portugal"/>
    <n v="111551.96"/>
    <n v="89420.05"/>
    <x v="77"/>
    <s v="Clothing"/>
    <s v="Wunsch LLC"/>
    <x v="2"/>
    <s v="Aurelie Wren"/>
    <s v="PC"/>
    <s v="41-6241712"/>
  </r>
  <r>
    <s v="France"/>
    <n v="127946.33"/>
    <n v="111850.68"/>
    <x v="278"/>
    <s v="Beauty"/>
    <s v="Hamill, Kulas and Roob"/>
    <x v="5"/>
    <s v="Crysta Halls"/>
    <s v="PC"/>
    <s v="32-3418936"/>
  </r>
  <r>
    <s v="Sweden"/>
    <n v="78679.600000000006"/>
    <n v="62416.53"/>
    <x v="60"/>
    <s v="Games"/>
    <s v="Stehr LLC"/>
    <x v="0"/>
    <s v="Tarrah Castelletti"/>
    <s v="PC"/>
    <s v="10-1511807"/>
  </r>
  <r>
    <s v="UK"/>
    <n v="86071.63"/>
    <n v="71198.45"/>
    <x v="412"/>
    <s v="Electronics"/>
    <s v="Gislason-Stanton"/>
    <x v="4"/>
    <s v="Genevra Charrisson"/>
    <s v="Tablet"/>
    <s v="66-6360568"/>
  </r>
  <r>
    <s v="Portugal"/>
    <n v="134120.38"/>
    <n v="105981.92"/>
    <x v="413"/>
    <s v="Games"/>
    <s v="McGlynn-Bergstrom"/>
    <x v="2"/>
    <s v="Brynn Dempster"/>
    <s v="PC"/>
    <s v="63-4386955"/>
  </r>
  <r>
    <s v="Spain"/>
    <n v="77855.47"/>
    <n v="63545.63"/>
    <x v="270"/>
    <s v="Outdoors"/>
    <s v="Goldner-Dibbert"/>
    <x v="3"/>
    <s v="Bertha Walbrook"/>
    <s v="PC"/>
    <s v="77-3226391"/>
  </r>
  <r>
    <s v="UK"/>
    <n v="176080.36"/>
    <n v="153401.21"/>
    <x v="412"/>
    <s v="Beauty"/>
    <s v="Tillman and Sons"/>
    <x v="4"/>
    <s v="Jay Morefield"/>
    <s v="PC"/>
    <s v="74-9554997"/>
  </r>
  <r>
    <s v="Portugal"/>
    <n v="159514.03"/>
    <n v="138872.91"/>
    <x v="337"/>
    <s v="Clothing"/>
    <s v="Hessel-Stiedemann"/>
    <x v="2"/>
    <s v="Aurelie Wren"/>
    <s v="PC"/>
    <s v="37-0756560"/>
  </r>
  <r>
    <s v="France"/>
    <n v="238850.25"/>
    <n v="199607.15"/>
    <x v="414"/>
    <s v="Appliances"/>
    <s v="Rowe, Hermiston and Kessler"/>
    <x v="5"/>
    <s v="Ora Grennan"/>
    <s v="PC"/>
    <s v="19-9649739"/>
  </r>
  <r>
    <s v="Sweden"/>
    <n v="240940.97"/>
    <n v="195138.09"/>
    <x v="69"/>
    <s v="Accessories"/>
    <s v="Wunsch LLC"/>
    <x v="0"/>
    <s v="Tarrah Castelletti"/>
    <s v="PC"/>
    <s v="91-4735064"/>
  </r>
  <r>
    <s v="Denmark"/>
    <n v="109892.92"/>
    <n v="89441.85"/>
    <x v="415"/>
    <s v="Books"/>
    <s v="Lubowitz, McLaughlin and Erdman"/>
    <x v="13"/>
    <s v="Cobby Andersen"/>
    <s v="PC"/>
    <s v="82-1337530"/>
  </r>
  <r>
    <s v="Germany"/>
    <n v="86704.08"/>
    <n v="75380.53"/>
    <x v="416"/>
    <s v="Books"/>
    <s v="Tillman and Sons"/>
    <x v="12"/>
    <s v="Casie MacBain"/>
    <s v="PC"/>
    <s v="39-3209780"/>
  </r>
  <r>
    <s v="Ireland"/>
    <n v="292124.64"/>
    <n v="245822.88"/>
    <x v="136"/>
    <s v="Beauty"/>
    <s v="Christiansen, Donnelly and Bechtelar"/>
    <x v="11"/>
    <s v="Palm Wetherald"/>
    <s v="PC"/>
    <s v="18-0483044"/>
  </r>
  <r>
    <s v="Bulgaria"/>
    <n v="122998.65"/>
    <n v="97476.43"/>
    <x v="38"/>
    <s v="Games"/>
    <s v="Armstrong-Little"/>
    <x v="8"/>
    <s v="Bernadine Fullagar"/>
    <s v="PC"/>
    <s v="70-0044622"/>
  </r>
  <r>
    <s v="Sweden"/>
    <n v="50646.66"/>
    <n v="43039.53"/>
    <x v="81"/>
    <s v="Clothing"/>
    <s v="Johns and Sons"/>
    <x v="0"/>
    <s v="Madelon Bront"/>
    <s v="PC"/>
    <s v="43-1236055"/>
  </r>
  <r>
    <s v="Sweden"/>
    <n v="89639.28"/>
    <n v="77788.97"/>
    <x v="369"/>
    <s v="Clothing"/>
    <s v="Altenwerth-Konopelski"/>
    <x v="0"/>
    <s v="Madelon Bront"/>
    <s v="PC"/>
    <s v="25-6133000"/>
  </r>
  <r>
    <s v="Spain"/>
    <n v="107359.01"/>
    <n v="90868.67"/>
    <x v="53"/>
    <s v="Electronics"/>
    <s v="Kirlin and Sons"/>
    <x v="3"/>
    <s v="Perri Aldersley"/>
    <s v="PC"/>
    <s v="78-7666796"/>
  </r>
  <r>
    <s v="Luxembourg"/>
    <n v="148359.67999999999"/>
    <n v="118480.04"/>
    <x v="417"/>
    <s v="Games"/>
    <s v="Dickinson, Hyatt and Berge"/>
    <x v="9"/>
    <s v="Jocelyn Laurentino"/>
    <s v="PC"/>
    <s v="45-1867999"/>
  </r>
  <r>
    <s v="Finland"/>
    <n v="177464.83"/>
    <n v="142717.22"/>
    <x v="115"/>
    <s v="Outdoors"/>
    <s v="Gislason-Stanton"/>
    <x v="1"/>
    <s v="Mellicent Mattys"/>
    <s v="PC"/>
    <s v="97-5797169"/>
  </r>
  <r>
    <s v="Portugal"/>
    <n v="168757.23"/>
    <n v="136895.85999999999"/>
    <x v="272"/>
    <s v="Appliances"/>
    <s v="Labadie and Sons"/>
    <x v="2"/>
    <s v="Aurelie Wren"/>
    <s v="PC"/>
    <s v="31-6585710"/>
  </r>
  <r>
    <s v="France"/>
    <n v="19814.86"/>
    <n v="16787.150000000001"/>
    <x v="418"/>
    <s v="Appliances"/>
    <s v="Murray, Reichel and Nolan"/>
    <x v="5"/>
    <s v="Avrit Chanders"/>
    <s v="PC"/>
    <s v="84-0460695"/>
  </r>
  <r>
    <s v="Belgium"/>
    <n v="46311.34"/>
    <n v="40564.1"/>
    <x v="154"/>
    <s v="Accessories"/>
    <s v="Heaney, Gulgowski and Kshlerin"/>
    <x v="7"/>
    <s v="Collin Mackness"/>
    <s v="PC"/>
    <s v="20-4568650"/>
  </r>
  <r>
    <s v="France"/>
    <n v="144927.17000000001"/>
    <n v="122260.56"/>
    <x v="372"/>
    <s v="Appliances"/>
    <s v="Romaguera-Dietrich"/>
    <x v="5"/>
    <s v="Crysta Halls"/>
    <s v="PC"/>
    <s v="29-9208067"/>
  </r>
  <r>
    <s v="Netherlands"/>
    <n v="203231.73"/>
    <n v="163052.82"/>
    <x v="282"/>
    <s v="Books"/>
    <s v="Schuster Inc"/>
    <x v="6"/>
    <s v="Nero Harbisher"/>
    <s v="PC"/>
    <s v="21-2357660"/>
  </r>
  <r>
    <s v="Portugal"/>
    <n v="40467.85"/>
    <n v="34656.67"/>
    <x v="419"/>
    <s v="Smartphones"/>
    <s v="Swaniawski, Runolfsson and Green"/>
    <x v="2"/>
    <s v="Corene Shirer"/>
    <s v="Tablet"/>
    <s v="16-3842379"/>
  </r>
  <r>
    <s v="Sweden"/>
    <n v="85156.7"/>
    <n v="69479.350000000006"/>
    <x v="134"/>
    <s v="Beauty"/>
    <s v="Lubowitz, McLaughlin and Erdman"/>
    <x v="0"/>
    <s v="Caro Morfield"/>
    <s v="PC"/>
    <s v="58-5376153"/>
  </r>
  <r>
    <s v="Portugal"/>
    <n v="66146.570000000007"/>
    <n v="56145.21"/>
    <x v="319"/>
    <s v="Electronics"/>
    <s v="Hessel-Stiedemann"/>
    <x v="2"/>
    <s v="Brynn Dempster"/>
    <s v="PC"/>
    <s v="04-1808253"/>
  </r>
  <r>
    <s v="Bulgaria"/>
    <n v="230669.37"/>
    <n v="182321.07"/>
    <x v="18"/>
    <s v="Books"/>
    <s v="Altenwerth-Konopelski"/>
    <x v="8"/>
    <s v="Bernadine Fullagar"/>
    <s v="PC"/>
    <s v="44-9036885"/>
  </r>
  <r>
    <s v="UK"/>
    <n v="59043.39"/>
    <n v="48876.12"/>
    <x v="420"/>
    <s v="Smartphones"/>
    <s v="Murray, Reichel and Nolan"/>
    <x v="4"/>
    <s v="Genevra Charrisson"/>
    <s v="PC"/>
    <s v="35-0548738"/>
  </r>
  <r>
    <s v="Ireland"/>
    <n v="99887.86"/>
    <n v="84045.65"/>
    <x v="26"/>
    <s v="Electronics"/>
    <s v="Friesen-Rath"/>
    <x v="11"/>
    <s v="Bunnie Tonbridge"/>
    <s v="PC"/>
    <s v="64-0103144"/>
  </r>
  <r>
    <s v="Netherlands"/>
    <n v="214983.15"/>
    <n v="180413.86"/>
    <x v="73"/>
    <s v="Beauty"/>
    <s v="McClure Inc"/>
    <x v="6"/>
    <s v="Nero Harbisher"/>
    <s v="Tablet"/>
    <s v="48-7080069"/>
  </r>
  <r>
    <s v="Portugal"/>
    <n v="52209.31"/>
    <n v="41480.300000000003"/>
    <x v="42"/>
    <s v="Beauty"/>
    <s v="McClure Inc"/>
    <x v="2"/>
    <s v="Corene Shirer"/>
    <s v="PC"/>
    <s v="05-2772504"/>
  </r>
  <r>
    <s v="Sweden"/>
    <n v="83782.11"/>
    <n v="67310.55"/>
    <x v="421"/>
    <s v="Electronics"/>
    <s v="Christiansen, Donnelly and Bechtelar"/>
    <x v="0"/>
    <s v="Madelon Bront"/>
    <s v="PC"/>
    <s v="42-2439801"/>
  </r>
  <r>
    <s v="Portugal"/>
    <n v="166367.16"/>
    <n v="135788.88"/>
    <x v="51"/>
    <s v="Beauty"/>
    <s v="Wisoky Inc"/>
    <x v="2"/>
    <s v="Smitty Culverhouse"/>
    <s v="PC"/>
    <s v="82-8353642"/>
  </r>
  <r>
    <s v="UK"/>
    <n v="167615.14000000001"/>
    <n v="135567.12"/>
    <x v="388"/>
    <s v="Smartphones"/>
    <s v="Johns and Sons"/>
    <x v="4"/>
    <s v="Winny Agnolo"/>
    <s v="PC"/>
    <s v="16-5450021"/>
  </r>
  <r>
    <s v="Sweden"/>
    <n v="118030.7"/>
    <n v="97304.51"/>
    <x v="422"/>
    <s v="Electronics"/>
    <s v="Dickinson, Hyatt and Berge"/>
    <x v="0"/>
    <s v="Madelon Bront"/>
    <s v="PC"/>
    <s v="80-1021367"/>
  </r>
  <r>
    <s v="Netherlands"/>
    <n v="102073.04"/>
    <n v="81770.710000000006"/>
    <x v="423"/>
    <s v="Outdoors"/>
    <s v="Farrell, Swaniawski and Crist"/>
    <x v="6"/>
    <s v="Nero Harbisher"/>
    <s v="Mobile"/>
    <s v="03-3076058"/>
  </r>
  <r>
    <s v="Finland"/>
    <n v="99989.89"/>
    <n v="81191.789999999994"/>
    <x v="424"/>
    <s v="Appliances"/>
    <s v="Corwin and Sons"/>
    <x v="1"/>
    <s v="Wat Bowkley"/>
    <s v="PC"/>
    <s v="92-4440351"/>
  </r>
  <r>
    <s v="Sweden"/>
    <n v="79407.28"/>
    <n v="64383.42"/>
    <x v="55"/>
    <s v="Accessories"/>
    <s v="Jacobson, Marvin and Brown"/>
    <x v="0"/>
    <s v="Alyosha Meah"/>
    <s v="PC"/>
    <s v="15-3268783"/>
  </r>
  <r>
    <s v="France"/>
    <n v="184431.48"/>
    <n v="153059.69"/>
    <x v="425"/>
    <s v="Books"/>
    <s v="Johns and Sons"/>
    <x v="5"/>
    <s v="Ora Grennan"/>
    <s v="Mobile"/>
    <s v="44-7664180"/>
  </r>
  <r>
    <s v="Portugal"/>
    <n v="144725.34"/>
    <n v="115056.65"/>
    <x v="343"/>
    <s v="Smartphones"/>
    <s v="Wisoky Inc"/>
    <x v="2"/>
    <s v="Aurelie Wren"/>
    <s v="PC"/>
    <s v="92-7042708"/>
  </r>
  <r>
    <s v="UK"/>
    <n v="21921.66"/>
    <n v="18802.21"/>
    <x v="84"/>
    <s v="Smartphones"/>
    <s v="Swaniawski, Runolfsson and Green"/>
    <x v="4"/>
    <s v="Jay Morefield"/>
    <s v="Tablet"/>
    <s v="21-8595718"/>
  </r>
  <r>
    <s v="Portugal"/>
    <n v="21341.66"/>
    <n v="16930.34"/>
    <x v="107"/>
    <s v="Games"/>
    <s v="Romaguera-Haley"/>
    <x v="2"/>
    <s v="Smitty Culverhouse"/>
    <s v="PC"/>
    <s v="06-4611284"/>
  </r>
  <r>
    <s v="Sweden"/>
    <n v="84537.2"/>
    <n v="69405.039999999994"/>
    <x v="257"/>
    <s v="Games"/>
    <s v="Keeling, Monahan and Pollich"/>
    <x v="0"/>
    <s v="Tarrah Castelletti"/>
    <s v="Mobile"/>
    <s v="04-4730440"/>
  </r>
  <r>
    <s v="France"/>
    <n v="40544.43"/>
    <n v="32666.65"/>
    <x v="301"/>
    <s v="Books"/>
    <s v="Johns and Sons"/>
    <x v="5"/>
    <s v="Ora Grennan"/>
    <s v="PC"/>
    <s v="89-7467187"/>
  </r>
  <r>
    <s v="Finland"/>
    <n v="178189.57"/>
    <n v="153421.22"/>
    <x v="358"/>
    <s v="Games"/>
    <s v="Johns and Sons"/>
    <x v="1"/>
    <s v="Mellicent Mattys"/>
    <s v="PC"/>
    <s v="37-7100862"/>
  </r>
  <r>
    <s v="France"/>
    <n v="36276.11"/>
    <n v="28748.82"/>
    <x v="426"/>
    <s v="Games"/>
    <s v="Johns and Sons"/>
    <x v="5"/>
    <s v="Ora Grennan"/>
    <s v="PC"/>
    <s v="20-9472915"/>
  </r>
  <r>
    <s v="Sweden"/>
    <n v="36181.81"/>
    <n v="29698.03"/>
    <x v="420"/>
    <s v="Appliances"/>
    <s v="Altenwerth-Konopelski"/>
    <x v="0"/>
    <s v="Madelon Bront"/>
    <s v="Tablet"/>
    <s v="82-8836162"/>
  </r>
  <r>
    <s v="UK"/>
    <n v="66613.31"/>
    <n v="55462.239999999998"/>
    <x v="427"/>
    <s v="Electronics"/>
    <s v="Labadie and Sons"/>
    <x v="4"/>
    <s v="Genevra Charrisson"/>
    <s v="PC"/>
    <s v="38-8230515"/>
  </r>
  <r>
    <s v="Ireland"/>
    <n v="77278.679999999993"/>
    <n v="62951.21"/>
    <x v="166"/>
    <s v="Smartphones"/>
    <s v="Dibbert Inc"/>
    <x v="11"/>
    <s v="Palm Wetherald"/>
    <s v="PC"/>
    <s v="46-8792953"/>
  </r>
  <r>
    <s v="UK"/>
    <n v="149938.35999999999"/>
    <n v="123579.2"/>
    <x v="93"/>
    <s v="Appliances"/>
    <s v="Johns and Sons"/>
    <x v="4"/>
    <s v="Jay Morefield"/>
    <s v="PC"/>
    <s v="93-0380487"/>
  </r>
  <r>
    <s v="Spain"/>
    <n v="123953.65"/>
    <n v="101939.48"/>
    <x v="428"/>
    <s v="Beauty"/>
    <s v="Wiza and Sons"/>
    <x v="3"/>
    <s v="Perri Aldersley"/>
    <s v="PC"/>
    <s v="44-2650716"/>
  </r>
  <r>
    <s v="Sweden"/>
    <n v="73773.600000000006"/>
    <n v="58421.31"/>
    <x v="104"/>
    <s v="Books"/>
    <s v="Tromp LLC"/>
    <x v="0"/>
    <s v="Caro Morfield"/>
    <s v="Mobile"/>
    <s v="78-7812852"/>
  </r>
  <r>
    <s v="Portugal"/>
    <n v="206869.73"/>
    <n v="180928.27"/>
    <x v="204"/>
    <s v="Electronics"/>
    <s v="Spencer, Rogahn and Muller"/>
    <x v="2"/>
    <s v="Corene Shirer"/>
    <s v="PC"/>
    <s v="11-2653878"/>
  </r>
  <r>
    <s v="France"/>
    <n v="63690.720000000001"/>
    <n v="53455.62"/>
    <x v="106"/>
    <s v="Electronics"/>
    <s v="Hegmann Group"/>
    <x v="5"/>
    <s v="Crysta Halls"/>
    <s v="Mobile"/>
    <s v="74-9856135"/>
  </r>
  <r>
    <s v="UK"/>
    <n v="18897.97"/>
    <n v="16469.580000000002"/>
    <x v="429"/>
    <s v="Other"/>
    <s v="Hessel-Stiedemann"/>
    <x v="4"/>
    <s v="Winny Agnolo"/>
    <s v="Mobile"/>
    <s v="22-8551804"/>
  </r>
  <r>
    <s v="Portugal"/>
    <n v="134807.18"/>
    <n v="108047.95"/>
    <x v="200"/>
    <s v="Beauty"/>
    <s v="Zieme, Bailey and Herzog"/>
    <x v="2"/>
    <s v="Corene Shirer"/>
    <s v="PC"/>
    <s v="76-2368068"/>
  </r>
  <r>
    <s v="UK"/>
    <n v="47082.67"/>
    <n v="37882.720000000001"/>
    <x v="379"/>
    <s v="Games"/>
    <s v="Schowalter, Lesch and Beahan"/>
    <x v="4"/>
    <s v="Winny Agnolo"/>
    <s v="PC"/>
    <s v="83-0606533"/>
  </r>
  <r>
    <s v="Portugal"/>
    <n v="41016.31"/>
    <n v="32985.32"/>
    <x v="430"/>
    <s v="Beauty"/>
    <s v="Homenick-Marvin"/>
    <x v="2"/>
    <s v="Corene Shirer"/>
    <s v="Tablet"/>
    <s v="84-1745028"/>
  </r>
  <r>
    <s v="Sweden"/>
    <n v="43243.45"/>
    <n v="37764.5"/>
    <x v="431"/>
    <s v="Clothing"/>
    <s v="Johns and Sons"/>
    <x v="0"/>
    <s v="Alyosha Meah"/>
    <s v="PC"/>
    <s v="63-2957047"/>
  </r>
  <r>
    <s v="Sweden"/>
    <n v="88832.28"/>
    <n v="71501.100000000006"/>
    <x v="282"/>
    <s v="Electronics"/>
    <s v="Murray, Reichel and Nolan"/>
    <x v="0"/>
    <s v="Tarrah Castelletti"/>
    <s v="PC"/>
    <s v="90-3993986"/>
  </r>
  <r>
    <s v="France"/>
    <n v="173456.4"/>
    <n v="149866.32999999999"/>
    <x v="427"/>
    <s v="Books"/>
    <s v="Johns and Sons"/>
    <x v="5"/>
    <s v="Avrit Chanders"/>
    <s v="Mobile"/>
    <s v="00-1398218"/>
  </r>
  <r>
    <s v="Spain"/>
    <n v="90926.92"/>
    <n v="73050.69"/>
    <x v="432"/>
    <s v="Smartphones"/>
    <s v="Leffler, Prohaska and Streich"/>
    <x v="3"/>
    <s v="Perri Aldersley"/>
    <s v="PC"/>
    <s v="09-9618844"/>
  </r>
  <r>
    <s v="Sweden"/>
    <n v="72757.009999999995"/>
    <n v="63378.63"/>
    <x v="84"/>
    <s v="Other"/>
    <s v="Hessel-Stiedemann"/>
    <x v="0"/>
    <s v="Alyosha Meah"/>
    <s v="PC"/>
    <s v="96-5143420"/>
  </r>
  <r>
    <s v="France"/>
    <n v="60068.71"/>
    <n v="47688.55"/>
    <x v="433"/>
    <s v="Other"/>
    <s v="Friesen-Rath"/>
    <x v="5"/>
    <s v="Crysta Halls"/>
    <s v="PC"/>
    <s v="99-0862667"/>
  </r>
  <r>
    <s v="France"/>
    <n v="105522.72"/>
    <n v="86581.39"/>
    <x v="434"/>
    <s v="Clothing"/>
    <s v="Gislason-Stanton"/>
    <x v="5"/>
    <s v="Amelina Piscopiello"/>
    <s v="PC"/>
    <s v="79-6118087"/>
  </r>
  <r>
    <s v="Luxembourg"/>
    <n v="61374.06"/>
    <n v="49099.25"/>
    <x v="312"/>
    <s v="Games"/>
    <s v="Murray, Reichel and Nolan"/>
    <x v="9"/>
    <s v="Jocelyn Laurentino"/>
    <s v="PC"/>
    <s v="07-5296371"/>
  </r>
  <r>
    <s v="Portugal"/>
    <n v="76856.570000000007"/>
    <n v="65535.6"/>
    <x v="410"/>
    <s v="Clothing"/>
    <s v="Schowalter, Lesch and Beahan"/>
    <x v="2"/>
    <s v="Hortense Gerring"/>
    <s v="PC"/>
    <s v="93-9111830"/>
  </r>
  <r>
    <s v="Spain"/>
    <n v="174262.11"/>
    <n v="143278.31"/>
    <x v="435"/>
    <s v="Games"/>
    <s v="Hessel-Stiedemann"/>
    <x v="3"/>
    <s v="Perri Aldersley"/>
    <s v="PC"/>
    <s v="47-0713476"/>
  </r>
  <r>
    <s v="Sweden"/>
    <n v="151315.26"/>
    <n v="121173.26"/>
    <x v="436"/>
    <s v="Beauty"/>
    <s v="Wiza and Sons"/>
    <x v="0"/>
    <s v="Caro Morfield"/>
    <s v="PC"/>
    <s v="92-2645259"/>
  </r>
  <r>
    <s v="Ireland"/>
    <n v="50495.53"/>
    <n v="40749.89"/>
    <x v="317"/>
    <s v="Smartphones"/>
    <s v="Heaney, Gulgowski and Kshlerin"/>
    <x v="11"/>
    <s v="Palm Wetherald"/>
    <s v="Mobile"/>
    <s v="93-4118211"/>
  </r>
  <r>
    <s v="UK"/>
    <n v="36534.089999999997"/>
    <n v="31138"/>
    <x v="437"/>
    <s v="Appliances"/>
    <s v="Wunsch LLC"/>
    <x v="4"/>
    <s v="Winny Agnolo"/>
    <s v="PC"/>
    <s v="90-7039701"/>
  </r>
  <r>
    <s v="France"/>
    <n v="134243.39000000001"/>
    <n v="113019.51"/>
    <x v="165"/>
    <s v="Beauty"/>
    <s v="Kihn Inc"/>
    <x v="5"/>
    <s v="Maighdiln Upcraft"/>
    <s v="PC"/>
    <s v="64-1003834"/>
  </r>
  <r>
    <s v="France"/>
    <n v="56068.7"/>
    <n v="47378.05"/>
    <x v="438"/>
    <s v="Games"/>
    <s v="Dickinson, Hyatt and Berge"/>
    <x v="5"/>
    <s v="Ora Grennan"/>
    <s v="PC"/>
    <s v="24-2679038"/>
  </r>
  <r>
    <s v="France"/>
    <n v="31161.759999999998"/>
    <n v="27300.82"/>
    <x v="433"/>
    <s v="Beauty"/>
    <s v="Hermiston, Simonis and Wisoky"/>
    <x v="5"/>
    <s v="Maighdiln Upcraft"/>
    <s v="Mobile"/>
    <s v="06-4986886"/>
  </r>
  <r>
    <s v="France"/>
    <n v="98915.41"/>
    <n v="85176.06"/>
    <x v="3"/>
    <s v="Electronics"/>
    <s v="Schoen-Keeling"/>
    <x v="5"/>
    <s v="Ora Grennan"/>
    <s v="Mobile"/>
    <s v="63-5897834"/>
  </r>
  <r>
    <s v="Ireland"/>
    <n v="114232.68"/>
    <n v="95795.520000000004"/>
    <x v="426"/>
    <s v="Clothing"/>
    <s v="Johns and Sons"/>
    <x v="11"/>
    <s v="Bunnie Tonbridge"/>
    <s v="Tablet"/>
    <s v="45-6860897"/>
  </r>
  <r>
    <s v="Luxembourg"/>
    <n v="71360.36"/>
    <n v="59750.03"/>
    <x v="411"/>
    <s v="Electronics"/>
    <s v="Tillman and Sons"/>
    <x v="9"/>
    <s v="Jocelyn Laurentino"/>
    <s v="PC"/>
    <s v="40-9830607"/>
  </r>
  <r>
    <s v="Portugal"/>
    <n v="87459.79"/>
    <n v="69967.83"/>
    <x v="439"/>
    <s v="Beauty"/>
    <s v="Romaguera-Haley"/>
    <x v="2"/>
    <s v="Brynn Dempster"/>
    <s v="Mobile"/>
    <s v="09-8360520"/>
  </r>
  <r>
    <s v="Finland"/>
    <n v="52388.85"/>
    <n v="45641.17"/>
    <x v="395"/>
    <s v="Electronics"/>
    <s v="Johns and Sons"/>
    <x v="1"/>
    <s v="Mellicent Mattys"/>
    <s v="PC"/>
    <s v="55-6785409"/>
  </r>
  <r>
    <s v="Sweden"/>
    <n v="178304.35"/>
    <n v="153573.54"/>
    <x v="303"/>
    <s v="Electronics"/>
    <s v="Dibbert Inc"/>
    <x v="0"/>
    <s v="Tarrah Castelletti"/>
    <s v="PC"/>
    <s v="12-4881666"/>
  </r>
  <r>
    <s v="UK"/>
    <n v="80013.81"/>
    <n v="65587.320000000007"/>
    <x v="440"/>
    <s v="Electronics"/>
    <s v="Romaguera-Dietrich"/>
    <x v="4"/>
    <s v="Winny Agnolo"/>
    <s v="PC"/>
    <s v="86-7866497"/>
  </r>
  <r>
    <s v="Ireland"/>
    <n v="88684.7"/>
    <n v="75337.649999999994"/>
    <x v="113"/>
    <s v="Other"/>
    <s v="Leffler, Prohaska and Streich"/>
    <x v="11"/>
    <s v="Palm Wetherald"/>
    <s v="PC"/>
    <s v="12-2375671"/>
  </r>
  <r>
    <s v="UK"/>
    <n v="161773.31"/>
    <n v="138283.82999999999"/>
    <x v="137"/>
    <s v="Books"/>
    <s v="Johns and Sons"/>
    <x v="4"/>
    <s v="Jay Morefield"/>
    <s v="PC"/>
    <s v="56-6310976"/>
  </r>
  <r>
    <s v="France"/>
    <n v="108968.67"/>
    <n v="88395.39"/>
    <x v="441"/>
    <s v="Books"/>
    <s v="Johns and Sons"/>
    <x v="5"/>
    <s v="Ora Grennan"/>
    <s v="PC"/>
    <s v="08-4398900"/>
  </r>
  <r>
    <s v="UK"/>
    <n v="50374.22"/>
    <n v="44047.22"/>
    <x v="103"/>
    <s v="Games"/>
    <s v="Armstrong-Little"/>
    <x v="4"/>
    <s v="Genevra Charrisson"/>
    <s v="PC"/>
    <s v="23-3084772"/>
  </r>
  <r>
    <s v="Sweden"/>
    <n v="174380.2"/>
    <n v="151518.96"/>
    <x v="411"/>
    <s v="Appliances"/>
    <s v="Larkin-Collier"/>
    <x v="0"/>
    <s v="Tarrah Castelletti"/>
    <s v="PC"/>
    <s v="33-8484080"/>
  </r>
  <r>
    <s v="Bulgaria"/>
    <n v="81482.69"/>
    <n v="64721.7"/>
    <x v="339"/>
    <s v="Electronics"/>
    <s v="Johns and Sons"/>
    <x v="8"/>
    <s v="Shermy McGready"/>
    <s v="PC"/>
    <s v="28-0362135"/>
  </r>
  <r>
    <s v="France"/>
    <n v="108158.8"/>
    <n v="89328.35"/>
    <x v="109"/>
    <s v="Appliances"/>
    <s v="Altenwerth-Konopelski"/>
    <x v="5"/>
    <s v="Crysta Halls"/>
    <s v="PC"/>
    <s v="53-4511393"/>
  </r>
  <r>
    <s v="Portugal"/>
    <n v="76943.740000000005"/>
    <n v="62870.73"/>
    <x v="135"/>
    <s v="Electronics"/>
    <s v="Johns and Sons"/>
    <x v="2"/>
    <s v="Smitty Culverhouse"/>
    <s v="PC"/>
    <s v="50-0521963"/>
  </r>
  <r>
    <s v="Portugal"/>
    <n v="57345.79"/>
    <n v="45716.06"/>
    <x v="442"/>
    <s v="Clothing"/>
    <s v="Walter LLC"/>
    <x v="2"/>
    <s v="Hortense Gerring"/>
    <s v="PC"/>
    <s v="75-6127722"/>
  </r>
  <r>
    <s v="Sweden"/>
    <n v="71049.09"/>
    <n v="58842.86"/>
    <x v="443"/>
    <s v="Outdoors"/>
    <s v="Corwin and Sons"/>
    <x v="0"/>
    <s v="Madelon Bront"/>
    <s v="PC"/>
    <s v="99-3994854"/>
  </r>
  <r>
    <s v="France"/>
    <n v="79205.19"/>
    <n v="65423.49"/>
    <x v="35"/>
    <s v="Games"/>
    <s v="Christiansen, Donnelly and Bechtelar"/>
    <x v="5"/>
    <s v="Avrit Chanders"/>
    <s v="Tablet"/>
    <s v="45-5157875"/>
  </r>
  <r>
    <s v="France"/>
    <n v="42290.45"/>
    <n v="34255.26"/>
    <x v="309"/>
    <s v="Clothing"/>
    <s v="Walter LLC"/>
    <x v="5"/>
    <s v="Avrit Chanders"/>
    <s v="Tablet"/>
    <s v="97-8921759"/>
  </r>
  <r>
    <s v="France"/>
    <n v="110090.36"/>
    <n v="93433.69"/>
    <x v="139"/>
    <s v="Clothing"/>
    <s v="Leffler, Prohaska and Streich"/>
    <x v="5"/>
    <s v="Maighdiln Upcraft"/>
    <s v="PC"/>
    <s v="43-6672888"/>
  </r>
  <r>
    <s v="France"/>
    <n v="121043.69"/>
    <n v="96750.22"/>
    <x v="444"/>
    <s v="Books"/>
    <s v="Hessel-Stiedemann"/>
    <x v="5"/>
    <s v="Crysta Halls"/>
    <s v="PC"/>
    <s v="28-6152726"/>
  </r>
  <r>
    <s v="Finland"/>
    <n v="130251.55"/>
    <n v="105386.53"/>
    <x v="445"/>
    <s v="Beauty"/>
    <s v="Johns and Sons"/>
    <x v="1"/>
    <s v="Mellicent Mattys"/>
    <s v="PC"/>
    <s v="26-1201622"/>
  </r>
  <r>
    <s v="France"/>
    <n v="156110.39999999999"/>
    <n v="132584.56"/>
    <x v="233"/>
    <s v="Beauty"/>
    <s v="Stehr LLC"/>
    <x v="5"/>
    <s v="Maighdiln Upcraft"/>
    <s v="PC"/>
    <s v="18-3315246"/>
  </r>
  <r>
    <s v="Sweden"/>
    <n v="122273"/>
    <n v="104531.19"/>
    <x v="341"/>
    <s v="Appliances"/>
    <s v="Romaguera-Haley"/>
    <x v="0"/>
    <s v="Caro Morfield"/>
    <s v="PC"/>
    <s v="40-9114557"/>
  </r>
  <r>
    <s v="Portugal"/>
    <n v="126021.1"/>
    <n v="101762.04"/>
    <x v="446"/>
    <s v="Beauty"/>
    <s v="Johns and Sons"/>
    <x v="2"/>
    <s v="Hortense Gerring"/>
    <s v="Mobile"/>
    <s v="34-8443139"/>
  </r>
  <r>
    <s v="Sweden"/>
    <n v="69565.47"/>
    <n v="57808.91"/>
    <x v="447"/>
    <s v="Beauty"/>
    <s v="Johns and Sons"/>
    <x v="0"/>
    <s v="Anita Woakes"/>
    <s v="PC"/>
    <s v="79-0393736"/>
  </r>
  <r>
    <s v="Bulgaria"/>
    <n v="174271.91"/>
    <n v="142083.89000000001"/>
    <x v="448"/>
    <s v="Clothing"/>
    <s v="Hessel-Stiedemann"/>
    <x v="8"/>
    <s v="Shermy McGready"/>
    <s v="PC"/>
    <s v="58-2923511"/>
  </r>
  <r>
    <s v="Portugal"/>
    <n v="61994.02"/>
    <n v="54250.97"/>
    <x v="120"/>
    <s v="Books"/>
    <s v="Friesen-Rath"/>
    <x v="2"/>
    <s v="Corene Shirer"/>
    <s v="PC"/>
    <s v="84-1343954"/>
  </r>
  <r>
    <s v="Sweden"/>
    <n v="207379.28"/>
    <n v="166442.60999999999"/>
    <x v="449"/>
    <s v="Accessories"/>
    <s v="Franecki-White"/>
    <x v="0"/>
    <s v="Anita Woakes"/>
    <s v="PC"/>
    <s v="43-9259516"/>
  </r>
  <r>
    <s v="Sweden"/>
    <n v="153823.74"/>
    <n v="129258.09"/>
    <x v="450"/>
    <s v="Electronics"/>
    <s v="West-Cummings"/>
    <x v="0"/>
    <s v="Anita Woakes"/>
    <s v="Mobile"/>
    <s v="53-0009701"/>
  </r>
  <r>
    <s v="Portugal"/>
    <n v="251003.51"/>
    <n v="214105.99"/>
    <x v="451"/>
    <s v="Clothing"/>
    <s v="Hilll-Vandervort"/>
    <x v="2"/>
    <s v="Hortense Gerring"/>
    <s v="PC"/>
    <s v="50-2002828"/>
  </r>
  <r>
    <s v="UK"/>
    <n v="78013.63"/>
    <n v="64509.47"/>
    <x v="308"/>
    <s v="Clothing"/>
    <s v="Keeling, Monahan and Pollich"/>
    <x v="4"/>
    <s v="Genevra Charrisson"/>
    <s v="PC"/>
    <s v="90-6933957"/>
  </r>
  <r>
    <s v="Finland"/>
    <n v="204138.34"/>
    <n v="165617.44"/>
    <x v="452"/>
    <s v="Clothing"/>
    <s v="Hartmann, Hane and Pfannerstill"/>
    <x v="1"/>
    <s v="Wat Bowkley"/>
    <s v="Tablet"/>
    <s v="98-4201877"/>
  </r>
  <r>
    <s v="Ireland"/>
    <n v="81358.58"/>
    <n v="68918.850000000006"/>
    <x v="453"/>
    <s v="Books"/>
    <s v="Tillman and Sons"/>
    <x v="11"/>
    <s v="Palm Wetherald"/>
    <s v="Mobile"/>
    <s v="86-2962836"/>
  </r>
  <r>
    <s v="Portugal"/>
    <n v="81458.94"/>
    <n v="64434.02"/>
    <x v="176"/>
    <s v="Books"/>
    <s v="Johns and Sons"/>
    <x v="2"/>
    <s v="Aurelie Wren"/>
    <s v="PC"/>
    <s v="76-5324325"/>
  </r>
  <r>
    <s v="Sweden"/>
    <n v="79313.86"/>
    <n v="63316.25"/>
    <x v="154"/>
    <s v="Appliances"/>
    <s v="Dickinson, Hyatt and Berge"/>
    <x v="0"/>
    <s v="Madelon Bront"/>
    <s v="PC"/>
    <s v="36-3226083"/>
  </r>
  <r>
    <s v="Finland"/>
    <n v="100978.49"/>
    <n v="86568.86"/>
    <x v="358"/>
    <s v="Appliances"/>
    <s v="Johns and Sons"/>
    <x v="1"/>
    <s v="Wat Bowkley"/>
    <s v="PC"/>
    <s v="00-8086430"/>
  </r>
  <r>
    <s v="Portugal"/>
    <n v="172444.09"/>
    <n v="149681.47"/>
    <x v="191"/>
    <s v="Smartphones"/>
    <s v="Larkin-Collier"/>
    <x v="2"/>
    <s v="Hortense Gerring"/>
    <s v="PC"/>
    <s v="98-0946281"/>
  </r>
  <r>
    <s v="UK"/>
    <n v="111523.01"/>
    <n v="98017.57"/>
    <x v="423"/>
    <s v="Outdoors"/>
    <s v="Kihn Inc"/>
    <x v="4"/>
    <s v="Winny Agnolo"/>
    <s v="PC"/>
    <s v="82-4770311"/>
  </r>
  <r>
    <s v="UK"/>
    <n v="62947.82"/>
    <n v="49967.98"/>
    <x v="454"/>
    <s v="Accessories"/>
    <s v="Schowalter, Lesch and Beahan"/>
    <x v="4"/>
    <s v="Genevra Charrisson"/>
    <s v="PC"/>
    <s v="34-0265266"/>
  </r>
  <r>
    <s v="France"/>
    <n v="80294.559999999998"/>
    <n v="65295.54"/>
    <x v="351"/>
    <s v="Books"/>
    <s v="Considine-Fisher"/>
    <x v="5"/>
    <s v="Avrit Chanders"/>
    <s v="PC"/>
    <s v="47-9858688"/>
  </r>
  <r>
    <s v="France"/>
    <n v="234961.46"/>
    <n v="199388.3"/>
    <x v="455"/>
    <s v="Accessories"/>
    <s v="Heaney, Gulgowski and Kshlerin"/>
    <x v="5"/>
    <s v="Maighdiln Upcraft"/>
    <s v="Mobile"/>
    <s v="24-9178520"/>
  </r>
  <r>
    <s v="France"/>
    <n v="214615.79"/>
    <n v="177637.49"/>
    <x v="414"/>
    <s v="Games"/>
    <s v="Bashirian, Okuneva and Bechtelar"/>
    <x v="5"/>
    <s v="Amelina Piscopiello"/>
    <s v="PC"/>
    <s v="17-5553034"/>
  </r>
  <r>
    <s v="France"/>
    <n v="173418.59"/>
    <n v="140746.53"/>
    <x v="456"/>
    <s v="Electronics"/>
    <s v="Hessel-Stiedemann"/>
    <x v="5"/>
    <s v="Maighdiln Upcraft"/>
    <s v="PC"/>
    <s v="03-5073152"/>
  </r>
  <r>
    <s v="France"/>
    <n v="27400.69"/>
    <n v="22832.99"/>
    <x v="342"/>
    <s v="Electronics"/>
    <s v="Friesen and Sons"/>
    <x v="5"/>
    <s v="Maighdiln Upcraft"/>
    <s v="PC"/>
    <s v="19-8109416"/>
  </r>
  <r>
    <s v="Portugal"/>
    <n v="179323.22"/>
    <n v="150739.1"/>
    <x v="72"/>
    <s v="Smartphones"/>
    <s v="Homenick-Marvin"/>
    <x v="2"/>
    <s v="Brynn Dempster"/>
    <s v="Tablet"/>
    <s v="16-5710075"/>
  </r>
  <r>
    <s v="Portugal"/>
    <n v="135211.42000000001"/>
    <n v="108534.21"/>
    <x v="457"/>
    <s v="Clothing"/>
    <s v="Larkin-Collier"/>
    <x v="2"/>
    <s v="Corene Shirer"/>
    <s v="PC"/>
    <s v="78-5541691"/>
  </r>
  <r>
    <s v="France"/>
    <n v="186209.44"/>
    <n v="148818.57999999999"/>
    <x v="82"/>
    <s v="Clothing"/>
    <s v="Friesen-Rath"/>
    <x v="5"/>
    <s v="Avrit Chanders"/>
    <s v="Mobile"/>
    <s v="69-8016438"/>
  </r>
  <r>
    <s v="Ireland"/>
    <n v="127591.73"/>
    <n v="108988.86"/>
    <x v="413"/>
    <s v="Games"/>
    <s v="Swaniawski, Runolfsson and Green"/>
    <x v="11"/>
    <s v="Palm Wetherald"/>
    <s v="Mobile"/>
    <s v="43-7205800"/>
  </r>
  <r>
    <s v="Sweden"/>
    <n v="53093.47"/>
    <n v="42533.18"/>
    <x v="458"/>
    <s v="Clothing"/>
    <s v="Romaguera-Haley"/>
    <x v="0"/>
    <s v="Anita Woakes"/>
    <s v="PC"/>
    <s v="84-2496865"/>
  </r>
  <r>
    <s v="Netherlands"/>
    <n v="28787.17"/>
    <n v="24610.15"/>
    <x v="14"/>
    <s v="Games"/>
    <s v="McGlynn-Prosacco"/>
    <x v="6"/>
    <s v="Nero Harbisher"/>
    <s v="PC"/>
    <s v="13-4700827"/>
  </r>
  <r>
    <s v="UK"/>
    <n v="49930.87"/>
    <n v="40174.379999999997"/>
    <x v="355"/>
    <s v="Outdoors"/>
    <s v="Labadie and Sons"/>
    <x v="4"/>
    <s v="Genevra Charrisson"/>
    <s v="PC"/>
    <s v="10-5202864"/>
  </r>
  <r>
    <s v="Portugal"/>
    <n v="48763.58"/>
    <n v="39435.11"/>
    <x v="5"/>
    <s v="Smartphones"/>
    <s v="Labadie and Sons"/>
    <x v="2"/>
    <s v="Smitty Culverhouse"/>
    <s v="PC"/>
    <s v="29-6521179"/>
  </r>
  <r>
    <s v="France"/>
    <n v="71079.8"/>
    <n v="56778.54"/>
    <x v="424"/>
    <s v="Electronics"/>
    <s v="Swaniawski, Runolfsson and Green"/>
    <x v="5"/>
    <s v="Avrit Chanders"/>
    <s v="PC"/>
    <s v="30-9137723"/>
  </r>
  <r>
    <s v="Sweden"/>
    <n v="43158.94"/>
    <n v="36244.879999999997"/>
    <x v="459"/>
    <s v="Electronics"/>
    <s v="West-Cummings"/>
    <x v="0"/>
    <s v="Anita Woakes"/>
    <s v="PC"/>
    <s v="55-4422832"/>
  </r>
  <r>
    <s v="France"/>
    <n v="117538.82"/>
    <n v="100719.02"/>
    <x v="150"/>
    <s v="Beauty"/>
    <s v="Wisoky Inc"/>
    <x v="5"/>
    <s v="Avrit Chanders"/>
    <s v="PC"/>
    <s v="12-1257338"/>
  </r>
  <r>
    <s v="Portugal"/>
    <n v="45725.53"/>
    <n v="36571.279999999999"/>
    <x v="460"/>
    <s v="Other"/>
    <s v="Schoen-Keeling"/>
    <x v="2"/>
    <s v="Aurelie Wren"/>
    <s v="Mobile"/>
    <s v="66-6777720"/>
  </r>
  <r>
    <s v="Portugal"/>
    <n v="77522.570000000007"/>
    <n v="64227.45"/>
    <x v="461"/>
    <s v="Outdoors"/>
    <s v="Bashirian, Okuneva and Bechtelar"/>
    <x v="2"/>
    <s v="Aurelie Wren"/>
    <s v="Mobile"/>
    <s v="53-3568171"/>
  </r>
  <r>
    <s v="Germany"/>
    <n v="44118.5"/>
    <n v="38250.74"/>
    <x v="462"/>
    <s v="Electronics"/>
    <s v="Romaguera-Dietrich"/>
    <x v="12"/>
    <s v="Casie MacBain"/>
    <s v="Mobile"/>
    <s v="77-6124790"/>
  </r>
  <r>
    <s v="UK"/>
    <n v="242526"/>
    <n v="212113.24"/>
    <x v="334"/>
    <s v="Clothing"/>
    <s v="Hegmann Group"/>
    <x v="4"/>
    <s v="Winny Agnolo"/>
    <s v="PC"/>
    <s v="09-3668672"/>
  </r>
  <r>
    <s v="France"/>
    <n v="140635.94"/>
    <n v="115194.9"/>
    <x v="463"/>
    <s v="Smartphones"/>
    <s v="Johns and Sons"/>
    <x v="5"/>
    <s v="Amelina Piscopiello"/>
    <s v="PC"/>
    <s v="00-5823706"/>
  </r>
  <r>
    <s v="Portugal"/>
    <n v="157754.35999999999"/>
    <n v="132166.6"/>
    <x v="358"/>
    <s v="Books"/>
    <s v="Bashirian, Okuneva and Bechtelar"/>
    <x v="2"/>
    <s v="Aurelie Wren"/>
    <s v="Mobile"/>
    <s v="67-8646070"/>
  </r>
  <r>
    <s v="France"/>
    <n v="88977.22"/>
    <n v="72534.23"/>
    <x v="286"/>
    <s v="Books"/>
    <s v="Franecki-White"/>
    <x v="5"/>
    <s v="Ora Grennan"/>
    <s v="PC"/>
    <s v="58-1975365"/>
  </r>
  <r>
    <s v="Portugal"/>
    <n v="74231.25"/>
    <n v="61604.51"/>
    <x v="464"/>
    <s v="Beauty"/>
    <s v="Gislason-Stanton"/>
    <x v="2"/>
    <s v="Brynn Dempster"/>
    <s v="Mobile"/>
    <s v="99-7842298"/>
  </r>
  <r>
    <s v="Sweden"/>
    <n v="131402.37"/>
    <n v="106383.36"/>
    <x v="397"/>
    <s v="Beauty"/>
    <s v="Johns and Sons"/>
    <x v="0"/>
    <s v="Anita Woakes"/>
    <s v="PC"/>
    <s v="80-8019337"/>
  </r>
  <r>
    <s v="Sweden"/>
    <n v="156505.37"/>
    <n v="128647.41"/>
    <x v="10"/>
    <s v="Electronics"/>
    <s v="Schmitt, Purdy and Johnson"/>
    <x v="0"/>
    <s v="Alyosha Meah"/>
    <s v="PC"/>
    <s v="76-8416893"/>
  </r>
  <r>
    <s v="Portugal"/>
    <n v="139200.81"/>
    <n v="120172.06"/>
    <x v="465"/>
    <s v="Games"/>
    <s v="Johns and Sons"/>
    <x v="2"/>
    <s v="Brynn Dempster"/>
    <s v="PC"/>
    <s v="19-3893110"/>
  </r>
  <r>
    <s v="Sweden"/>
    <n v="121292.94"/>
    <n v="104384.7"/>
    <x v="426"/>
    <s v="Beauty"/>
    <s v="Schoen-Keeling"/>
    <x v="0"/>
    <s v="Tarrah Castelletti"/>
    <s v="PC"/>
    <s v="17-3994138"/>
  </r>
  <r>
    <s v="France"/>
    <n v="84712.13"/>
    <n v="73004.91"/>
    <x v="466"/>
    <s v="Books"/>
    <s v="Altenwerth-Konopelski"/>
    <x v="5"/>
    <s v="Ora Grennan"/>
    <s v="PC"/>
    <s v="29-8090560"/>
  </r>
  <r>
    <s v="Portugal"/>
    <n v="172202.38"/>
    <n v="149816.07"/>
    <x v="235"/>
    <s v="Appliances"/>
    <s v="Morissette Group"/>
    <x v="2"/>
    <s v="Hortense Gerring"/>
    <s v="Tablet"/>
    <s v="75-5652593"/>
  </r>
  <r>
    <s v="Sweden"/>
    <n v="108978.79"/>
    <n v="95432.73"/>
    <x v="467"/>
    <s v="Games"/>
    <s v="Bashirian, Okuneva and Bechtelar"/>
    <x v="0"/>
    <s v="Madelon Bront"/>
    <s v="PC"/>
    <s v="84-5276032"/>
  </r>
  <r>
    <s v="Portugal"/>
    <n v="69871.92"/>
    <n v="58014.66"/>
    <x v="468"/>
    <s v="Games"/>
    <s v="Johns and Sons"/>
    <x v="2"/>
    <s v="Smitty Culverhouse"/>
    <s v="PC"/>
    <s v="01-4729172"/>
  </r>
  <r>
    <s v="France"/>
    <n v="184221.2"/>
    <n v="150324.5"/>
    <x v="147"/>
    <s v="Electronics"/>
    <s v="Hessel-Stiedemann"/>
    <x v="5"/>
    <s v="Amelina Piscopiello"/>
    <s v="PC"/>
    <s v="70-3373325"/>
  </r>
  <r>
    <s v="France"/>
    <n v="57348.43"/>
    <n v="47587.73"/>
    <x v="306"/>
    <s v="Clothing"/>
    <s v="Hessel-Stiedemann"/>
    <x v="5"/>
    <s v="Crysta Halls"/>
    <s v="PC"/>
    <s v="73-6329299"/>
  </r>
  <r>
    <s v="France"/>
    <n v="197581.29"/>
    <n v="169485.23"/>
    <x v="469"/>
    <s v="Electronics"/>
    <s v="Christiansen, Donnelly and Bechtelar"/>
    <x v="5"/>
    <s v="Ora Grennan"/>
    <s v="PC"/>
    <s v="74-6221213"/>
  </r>
  <r>
    <s v="Portugal"/>
    <n v="101321.52"/>
    <n v="86710.96"/>
    <x v="470"/>
    <s v="Games"/>
    <s v="Dibbert Inc"/>
    <x v="2"/>
    <s v="Brynn Dempster"/>
    <s v="PC"/>
    <s v="53-1326953"/>
  </r>
  <r>
    <s v="UK"/>
    <n v="124234.91"/>
    <n v="98244.97"/>
    <x v="387"/>
    <s v="Outdoors"/>
    <s v="Johns and Sons"/>
    <x v="4"/>
    <s v="Genevra Charrisson"/>
    <s v="PC"/>
    <s v="56-7081196"/>
  </r>
  <r>
    <s v="Portugal"/>
    <n v="254883.03"/>
    <n v="213413.56"/>
    <x v="304"/>
    <s v="Appliances"/>
    <s v="Dickinson, Hyatt and Berge"/>
    <x v="2"/>
    <s v="Corene Shirer"/>
    <s v="PC"/>
    <s v="85-9560144"/>
  </r>
  <r>
    <s v="France"/>
    <n v="57333.85"/>
    <n v="46308.55"/>
    <x v="346"/>
    <s v="Other"/>
    <s v="Goldner-Dibbert"/>
    <x v="5"/>
    <s v="Amelina Piscopiello"/>
    <s v="PC"/>
    <s v="35-9605742"/>
  </r>
  <r>
    <s v="Portugal"/>
    <n v="65760.39"/>
    <n v="56672.3"/>
    <x v="109"/>
    <s v="Smartphones"/>
    <s v="Schowalter, Lesch and Beahan"/>
    <x v="2"/>
    <s v="Aurelie Wren"/>
    <s v="PC"/>
    <s v="30-0037690"/>
  </r>
  <r>
    <s v="Portugal"/>
    <n v="53485"/>
    <n v="46713.8"/>
    <x v="352"/>
    <s v="Clothing"/>
    <s v="Johns and Sons"/>
    <x v="2"/>
    <s v="Corene Shirer"/>
    <s v="PC"/>
    <s v="75-6038587"/>
  </r>
  <r>
    <s v="France"/>
    <n v="154950.74"/>
    <n v="133195.66"/>
    <x v="471"/>
    <s v="Smartphones"/>
    <s v="Kihn Inc"/>
    <x v="5"/>
    <s v="Crysta Halls"/>
    <s v="Tablet"/>
    <s v="45-8966277"/>
  </r>
  <r>
    <s v="UK"/>
    <n v="19949.11"/>
    <n v="16364.25"/>
    <x v="386"/>
    <s v="Beauty"/>
    <s v="Smith Group"/>
    <x v="4"/>
    <s v="Winny Agnolo"/>
    <s v="Tablet"/>
    <s v="23-0941629"/>
  </r>
  <r>
    <s v="France"/>
    <n v="124784.67"/>
    <n v="106853.11"/>
    <x v="472"/>
    <s v="Electronics"/>
    <s v="Swaniawski, Runolfsson and Green"/>
    <x v="5"/>
    <s v="Ora Grennan"/>
    <s v="Tablet"/>
    <s v="44-2757396"/>
  </r>
  <r>
    <s v="Luxembourg"/>
    <n v="120831.28"/>
    <n v="95746.71"/>
    <x v="472"/>
    <s v="Outdoors"/>
    <s v="Stamm-Zulauf"/>
    <x v="9"/>
    <s v="Jocelyn Laurentino"/>
    <s v="PC"/>
    <s v="21-4464304"/>
  </r>
  <r>
    <s v="Portugal"/>
    <n v="127631.89"/>
    <n v="110963.17"/>
    <x v="95"/>
    <s v="Clothing"/>
    <s v="Schowalter, Lesch and Beahan"/>
    <x v="2"/>
    <s v="Corene Shirer"/>
    <s v="PC"/>
    <s v="02-8721192"/>
  </r>
  <r>
    <s v="Luxembourg"/>
    <n v="68984.17"/>
    <n v="59560.93"/>
    <x v="473"/>
    <s v="Beauty"/>
    <s v="Schmitt, Purdy and Johnson"/>
    <x v="9"/>
    <s v="Jocelyn Laurentino"/>
    <s v="PC"/>
    <s v="46-9710750"/>
  </r>
  <r>
    <s v="France"/>
    <n v="56823.17"/>
    <n v="46583.63"/>
    <x v="474"/>
    <s v="Beauty"/>
    <s v="Rowe, Hermiston and Kessler"/>
    <x v="5"/>
    <s v="Ora Grennan"/>
    <s v="Mobile"/>
    <s v="26-1781486"/>
  </r>
  <r>
    <s v="Portugal"/>
    <n v="126974.92"/>
    <n v="101516.45"/>
    <x v="101"/>
    <s v="Games"/>
    <s v="Larkin-Collier"/>
    <x v="2"/>
    <s v="Hortense Gerring"/>
    <s v="PC"/>
    <s v="57-7927520"/>
  </r>
  <r>
    <s v="Portugal"/>
    <n v="121736.23"/>
    <n v="106214.86"/>
    <x v="415"/>
    <s v="Accessories"/>
    <s v="Zieme, Bailey and Herzog"/>
    <x v="2"/>
    <s v="Smitty Culverhouse"/>
    <s v="PC"/>
    <s v="95-4271285"/>
  </r>
  <r>
    <s v="France"/>
    <n v="150287.47"/>
    <n v="123611.44"/>
    <x v="281"/>
    <s v="Books"/>
    <s v="Fisher, Morar and Skiles"/>
    <x v="5"/>
    <s v="Avrit Chanders"/>
    <s v="PC"/>
    <s v="66-4296261"/>
  </r>
  <r>
    <s v="Finland"/>
    <n v="93007.22"/>
    <n v="81837.05"/>
    <x v="442"/>
    <s v="Outdoors"/>
    <s v="McGlynn-Prosacco"/>
    <x v="1"/>
    <s v="Wat Bowkley"/>
    <s v="PC"/>
    <s v="24-8477374"/>
  </r>
  <r>
    <s v="Ireland"/>
    <n v="165747.20000000001"/>
    <n v="132912.68"/>
    <x v="104"/>
    <s v="Books"/>
    <s v="Farrell, Swaniawski and Crist"/>
    <x v="11"/>
    <s v="Bunnie Tonbridge"/>
    <s v="PC"/>
    <s v="96-1991854"/>
  </r>
  <r>
    <s v="Sweden"/>
    <n v="177215.51"/>
    <n v="155807.88"/>
    <x v="35"/>
    <s v="Clothing"/>
    <s v="Schmitt, Purdy and Johnson"/>
    <x v="0"/>
    <s v="Alyosha Meah"/>
    <s v="PC"/>
    <s v="54-3353166"/>
  </r>
  <r>
    <s v="France"/>
    <n v="99132.04"/>
    <n v="78819.89"/>
    <x v="195"/>
    <s v="Smartphones"/>
    <s v="Kirlin and Sons"/>
    <x v="5"/>
    <s v="Avrit Chanders"/>
    <s v="PC"/>
    <s v="44-6408586"/>
  </r>
  <r>
    <s v="Germany"/>
    <n v="180519.86"/>
    <n v="145968.35999999999"/>
    <x v="396"/>
    <s v="Games"/>
    <s v="Jacobson, Marvin and Brown"/>
    <x v="12"/>
    <s v="Casie MacBain"/>
    <s v="PC"/>
    <s v="86-6107692"/>
  </r>
  <r>
    <s v="France"/>
    <n v="68173.22"/>
    <n v="54040.91"/>
    <x v="93"/>
    <s v="Smartphones"/>
    <s v="Larkin-Collier"/>
    <x v="5"/>
    <s v="Amelina Piscopiello"/>
    <s v="PC"/>
    <s v="89-7513050"/>
  </r>
  <r>
    <s v="Portugal"/>
    <n v="97439.360000000001"/>
    <n v="79773.600000000006"/>
    <x v="475"/>
    <s v="Games"/>
    <s v="Labadie and Sons"/>
    <x v="2"/>
    <s v="Brynn Dempster"/>
    <s v="PC"/>
    <s v="54-2767741"/>
  </r>
  <r>
    <s v="Sweden"/>
    <n v="103638.67"/>
    <n v="84030.23"/>
    <x v="185"/>
    <s v="Electronics"/>
    <s v="Leffler, Prohaska and Streich"/>
    <x v="0"/>
    <s v="Anita Woakes"/>
    <s v="PC"/>
    <s v="24-6905998"/>
  </r>
  <r>
    <s v="Sweden"/>
    <n v="169810.63"/>
    <n v="145952.24"/>
    <x v="198"/>
    <s v="Smartphones"/>
    <s v="Schowalter, Lesch and Beahan"/>
    <x v="0"/>
    <s v="Caro Morfield"/>
    <s v="PC"/>
    <s v="35-0173281"/>
  </r>
  <r>
    <s v="France"/>
    <n v="75264.84"/>
    <n v="61694.59"/>
    <x v="97"/>
    <s v="Clothing"/>
    <s v="Tillman and Sons"/>
    <x v="5"/>
    <s v="Ora Grennan"/>
    <s v="Mobile"/>
    <s v="93-5465623"/>
  </r>
  <r>
    <s v="Spain"/>
    <n v="58933.16"/>
    <n v="51855.29"/>
    <x v="330"/>
    <s v="Electronics"/>
    <s v="Schowalter, Lesch and Beahan"/>
    <x v="3"/>
    <s v="Bertha Walbrook"/>
    <s v="Mobile"/>
    <s v="67-2823354"/>
  </r>
  <r>
    <s v="Portugal"/>
    <n v="168773.6"/>
    <n v="137398.59"/>
    <x v="327"/>
    <s v="Games"/>
    <s v="Tillman and Sons"/>
    <x v="2"/>
    <s v="Corene Shirer"/>
    <s v="PC"/>
    <s v="28-0622425"/>
  </r>
  <r>
    <s v="Portugal"/>
    <n v="152676.76999999999"/>
    <n v="122385.7"/>
    <x v="460"/>
    <s v="Outdoors"/>
    <s v="Spencer, Rogahn and Muller"/>
    <x v="2"/>
    <s v="Smitty Culverhouse"/>
    <s v="PC"/>
    <s v="84-0679518"/>
  </r>
  <r>
    <s v="Portugal"/>
    <n v="116556.81"/>
    <n v="95448.37"/>
    <x v="476"/>
    <s v="Outdoors"/>
    <s v="Hermiston, Simonis and Wisoky"/>
    <x v="2"/>
    <s v="Hortense Gerring"/>
    <s v="PC"/>
    <s v="95-1195568"/>
  </r>
  <r>
    <s v="France"/>
    <n v="310539"/>
    <n v="248275.93"/>
    <x v="477"/>
    <s v="Electronics"/>
    <s v="Johns and Sons"/>
    <x v="5"/>
    <s v="Ora Grennan"/>
    <s v="PC"/>
    <s v="57-2495984"/>
  </r>
  <r>
    <s v="Portugal"/>
    <n v="106325.72"/>
    <n v="92705.4"/>
    <x v="478"/>
    <s v="Games"/>
    <s v="Goldner-Dibbert"/>
    <x v="2"/>
    <s v="Aurelie Wren"/>
    <s v="Mobile"/>
    <s v="77-5229094"/>
  </r>
  <r>
    <s v="Sweden"/>
    <n v="90602.07"/>
    <n v="71630"/>
    <x v="84"/>
    <s v="Electronics"/>
    <s v="McGlynn-Bergstrom"/>
    <x v="0"/>
    <s v="Tarrah Castelletti"/>
    <s v="PC"/>
    <s v="09-3747816"/>
  </r>
  <r>
    <s v="Spain"/>
    <n v="120012.56"/>
    <n v="97762.23"/>
    <x v="19"/>
    <s v="Games"/>
    <s v="Schmitt, Purdy and Johnson"/>
    <x v="3"/>
    <s v="Bertha Walbrook"/>
    <s v="Mobile"/>
    <s v="62-9738356"/>
  </r>
  <r>
    <s v="France"/>
    <n v="143658.22"/>
    <n v="123158.19"/>
    <x v="479"/>
    <s v="Appliances"/>
    <s v="Wisoky Inc"/>
    <x v="5"/>
    <s v="Amelina Piscopiello"/>
    <s v="PC"/>
    <s v="22-6938537"/>
  </r>
  <r>
    <s v="Portugal"/>
    <n v="263571.82"/>
    <n v="216155.25"/>
    <x v="356"/>
    <s v="Outdoors"/>
    <s v="Dickinson, Hyatt and Berge"/>
    <x v="2"/>
    <s v="Aurelie Wren"/>
    <s v="PC"/>
    <s v="11-0955383"/>
  </r>
  <r>
    <s v="France"/>
    <n v="131097.04999999999"/>
    <n v="109203.84"/>
    <x v="240"/>
    <s v="Beauty"/>
    <s v="Larkin-Collier"/>
    <x v="5"/>
    <s v="Maighdiln Upcraft"/>
    <s v="PC"/>
    <s v="80-1374023"/>
  </r>
  <r>
    <s v="Italy"/>
    <n v="127830.38"/>
    <n v="103874.97"/>
    <x v="132"/>
    <s v="Games"/>
    <s v="Romaguera-Dietrich"/>
    <x v="10"/>
    <s v="Joshua Prevost"/>
    <s v="PC"/>
    <s v="66-7112079"/>
  </r>
  <r>
    <s v="Portugal"/>
    <n v="129353.22"/>
    <n v="111593.02"/>
    <x v="49"/>
    <s v="Games"/>
    <s v="Kihn Inc"/>
    <x v="2"/>
    <s v="Corene Shirer"/>
    <s v="Mobile"/>
    <s v="31-2600204"/>
  </r>
  <r>
    <s v="Sweden"/>
    <n v="176473.32"/>
    <n v="139413.92000000001"/>
    <x v="480"/>
    <s v="Games"/>
    <s v="Wisoky Inc"/>
    <x v="0"/>
    <s v="Anita Woakes"/>
    <s v="PC"/>
    <s v="00-7031798"/>
  </r>
  <r>
    <s v="Denmark"/>
    <n v="43609.57"/>
    <n v="34634.720000000001"/>
    <x v="154"/>
    <s v="Appliances"/>
    <s v="Walter LLC"/>
    <x v="13"/>
    <s v="Cobby Andersen"/>
    <s v="PC"/>
    <s v="20-1827241"/>
  </r>
  <r>
    <s v="Portugal"/>
    <n v="137562.42000000001"/>
    <n v="112140.88"/>
    <x v="194"/>
    <s v="Clothing"/>
    <s v="Dibbert Inc"/>
    <x v="2"/>
    <s v="Hortense Gerring"/>
    <s v="PC"/>
    <s v="80-5941460"/>
  </r>
  <r>
    <s v="France"/>
    <n v="51504.5"/>
    <n v="44592.6"/>
    <x v="323"/>
    <s v="Appliances"/>
    <s v="Dibbert Inc"/>
    <x v="5"/>
    <s v="Amelina Piscopiello"/>
    <s v="PC"/>
    <s v="17-3240628"/>
  </r>
  <r>
    <s v="France"/>
    <n v="38750.53"/>
    <n v="31298.799999999999"/>
    <x v="481"/>
    <s v="Outdoors"/>
    <s v="Johns and Sons"/>
    <x v="5"/>
    <s v="Amelina Piscopiello"/>
    <s v="PC"/>
    <s v="22-5929243"/>
  </r>
  <r>
    <s v="France"/>
    <n v="111676.46"/>
    <n v="92791.97"/>
    <x v="175"/>
    <s v="Beauty"/>
    <s v="Armstrong-Little"/>
    <x v="5"/>
    <s v="Ora Grennan"/>
    <s v="PC"/>
    <s v="35-7483371"/>
  </r>
  <r>
    <s v="Sweden"/>
    <n v="46849.71"/>
    <n v="39630.17"/>
    <x v="96"/>
    <s v="Beauty"/>
    <s v="Leffler, Prohaska and Streich"/>
    <x v="0"/>
    <s v="Anita Woakes"/>
    <s v="PC"/>
    <s v="71-1921602"/>
  </r>
  <r>
    <s v="Sweden"/>
    <n v="296844.24"/>
    <n v="244926.18"/>
    <x v="175"/>
    <s v="Other"/>
    <s v="Walter LLC"/>
    <x v="0"/>
    <s v="Tarrah Castelletti"/>
    <s v="PC"/>
    <s v="22-9949979"/>
  </r>
  <r>
    <s v="Portugal"/>
    <n v="163492.16"/>
    <n v="134178.01999999999"/>
    <x v="224"/>
    <s v="Appliances"/>
    <s v="Shanahan, Schaden and Parker"/>
    <x v="2"/>
    <s v="Corene Shirer"/>
    <s v="PC"/>
    <s v="06-8466490"/>
  </r>
  <r>
    <s v="France"/>
    <n v="116206.87"/>
    <n v="93104.94"/>
    <x v="243"/>
    <s v="Games"/>
    <s v="Keeling, Monahan and Pollich"/>
    <x v="5"/>
    <s v="Amelina Piscopiello"/>
    <s v="PC"/>
    <s v="34-6603897"/>
  </r>
  <r>
    <s v="France"/>
    <n v="195214.72"/>
    <n v="154649.1"/>
    <x v="320"/>
    <s v="Books"/>
    <s v="Keeling, Monahan and Pollich"/>
    <x v="5"/>
    <s v="Maighdiln Upcraft"/>
    <s v="PC"/>
    <s v="92-3462655"/>
  </r>
  <r>
    <s v="France"/>
    <n v="168226.52"/>
    <n v="136818.63"/>
    <x v="115"/>
    <s v="Smartphones"/>
    <s v="Altenwerth-Konopelski"/>
    <x v="5"/>
    <s v="Avrit Chanders"/>
    <s v="PC"/>
    <s v="26-9826298"/>
  </r>
  <r>
    <s v="Sweden"/>
    <n v="249842.77"/>
    <n v="218737.35"/>
    <x v="482"/>
    <s v="Books"/>
    <s v="Hessel-Stiedemann"/>
    <x v="0"/>
    <s v="Alyosha Meah"/>
    <s v="PC"/>
    <s v="39-5542863"/>
  </r>
  <r>
    <s v="Netherlands"/>
    <n v="105678.39"/>
    <n v="89720.95"/>
    <x v="117"/>
    <s v="Games"/>
    <s v="Hegmann Group"/>
    <x v="6"/>
    <s v="Nero Harbisher"/>
    <s v="Mobile"/>
    <s v="18-1809309"/>
  </r>
  <r>
    <s v="Portugal"/>
    <n v="253580.08"/>
    <n v="212449.39"/>
    <x v="483"/>
    <s v="Games"/>
    <s v="Wyman Group"/>
    <x v="2"/>
    <s v="Brynn Dempster"/>
    <s v="PC"/>
    <s v="51-0837613"/>
  </r>
  <r>
    <s v="France"/>
    <n v="56705.66"/>
    <n v="46986.31"/>
    <x v="139"/>
    <s v="Outdoors"/>
    <s v="Johns and Sons"/>
    <x v="5"/>
    <s v="Crysta Halls"/>
    <s v="PC"/>
    <s v="46-0117523"/>
  </r>
  <r>
    <s v="Sweden"/>
    <n v="35354.22"/>
    <n v="30517.759999999998"/>
    <x v="484"/>
    <s v="Smartphones"/>
    <s v="Dickinson, Hyatt and Berge"/>
    <x v="0"/>
    <s v="Caro Morfield"/>
    <s v="PC"/>
    <s v="58-1079558"/>
  </r>
  <r>
    <s v="Portugal"/>
    <n v="25834.34"/>
    <n v="22450.04"/>
    <x v="485"/>
    <s v="Electronics"/>
    <s v="Romaguera-Dietrich"/>
    <x v="2"/>
    <s v="Brynn Dempster"/>
    <s v="Mobile"/>
    <s v="49-9010863"/>
  </r>
  <r>
    <s v="Portugal"/>
    <n v="121928.48"/>
    <n v="98408.48"/>
    <x v="478"/>
    <s v="Clothing"/>
    <s v="Altenwerth-Konopelski"/>
    <x v="2"/>
    <s v="Brynn Dempster"/>
    <s v="Mobile"/>
    <s v="58-2028009"/>
  </r>
  <r>
    <s v="France"/>
    <n v="167935.31"/>
    <n v="137942.06"/>
    <x v="277"/>
    <s v="Games"/>
    <s v="Romaguera-Haley"/>
    <x v="5"/>
    <s v="Amelina Piscopiello"/>
    <s v="PC"/>
    <s v="03-4045721"/>
  </r>
  <r>
    <s v="Portugal"/>
    <n v="151151.76999999999"/>
    <n v="124035.14"/>
    <x v="486"/>
    <s v="Appliances"/>
    <s v="Rowe, Hermiston and Kessler"/>
    <x v="2"/>
    <s v="Aurelie Wren"/>
    <s v="PC"/>
    <s v="80-3039005"/>
  </r>
  <r>
    <s v="France"/>
    <n v="95966.17"/>
    <n v="75976.42"/>
    <x v="184"/>
    <s v="Electronics"/>
    <s v="Littel-Blick"/>
    <x v="5"/>
    <s v="Amelina Piscopiello"/>
    <s v="PC"/>
    <s v="90-4449856"/>
  </r>
  <r>
    <s v="Portugal"/>
    <n v="123424.43"/>
    <n v="98171.79"/>
    <x v="68"/>
    <s v="Clothing"/>
    <s v="Spencer, Rogahn and Muller"/>
    <x v="2"/>
    <s v="Corene Shirer"/>
    <s v="PC"/>
    <s v="82-2837449"/>
  </r>
  <r>
    <s v="France"/>
    <n v="128221.13"/>
    <n v="102217.88"/>
    <x v="487"/>
    <s v="Clothing"/>
    <s v="Johns and Sons"/>
    <x v="5"/>
    <s v="Amelina Piscopiello"/>
    <s v="PC"/>
    <s v="21-4033151"/>
  </r>
  <r>
    <s v="Portugal"/>
    <n v="204133.95"/>
    <n v="167553.15"/>
    <x v="446"/>
    <s v="Games"/>
    <s v="Leffler, Prohaska and Streich"/>
    <x v="2"/>
    <s v="Corene Shirer"/>
    <s v="PC"/>
    <s v="98-6563368"/>
  </r>
  <r>
    <s v="Sweden"/>
    <n v="89376.84"/>
    <n v="73646.52"/>
    <x v="470"/>
    <s v="Beauty"/>
    <s v="Johns and Sons"/>
    <x v="0"/>
    <s v="Alyosha Meah"/>
    <s v="PC"/>
    <s v="21-2589548"/>
  </r>
  <r>
    <s v="Sweden"/>
    <n v="110837.96"/>
    <n v="92106.34"/>
    <x v="386"/>
    <s v="Electronics"/>
    <s v="Dickinson, Hyatt and Berge"/>
    <x v="0"/>
    <s v="Alyosha Meah"/>
    <s v="PC"/>
    <s v="52-7049356"/>
  </r>
  <r>
    <s v="Netherlands"/>
    <n v="118026.37"/>
    <n v="99873.91"/>
    <x v="244"/>
    <s v="Appliances"/>
    <s v="Hessel-Stiedemann"/>
    <x v="6"/>
    <s v="Nero Harbisher"/>
    <s v="PC"/>
    <s v="35-1708827"/>
  </r>
  <r>
    <s v="Portugal"/>
    <n v="177208.76"/>
    <n v="151779.29999999999"/>
    <x v="411"/>
    <s v="Appliances"/>
    <s v="Romaguera-Dietrich"/>
    <x v="2"/>
    <s v="Smitty Culverhouse"/>
    <s v="Mobile"/>
    <s v="22-1266257"/>
  </r>
  <r>
    <s v="Sweden"/>
    <n v="97148.34"/>
    <n v="77806.11"/>
    <x v="331"/>
    <s v="Books"/>
    <s v="Romaguera-Dietrich"/>
    <x v="0"/>
    <s v="Tarrah Castelletti"/>
    <s v="PC"/>
    <s v="44-9978904"/>
  </r>
  <r>
    <s v="Spain"/>
    <n v="144530.35"/>
    <n v="115407.48"/>
    <x v="261"/>
    <s v="Other"/>
    <s v="Swaniawski, Runolfsson and Green"/>
    <x v="3"/>
    <s v="Manuel Goudie"/>
    <s v="PC"/>
    <s v="63-1220717"/>
  </r>
  <r>
    <s v="Sweden"/>
    <n v="45261.84"/>
    <n v="37816.269999999997"/>
    <x v="488"/>
    <s v="Beauty"/>
    <s v="Tillman and Sons"/>
    <x v="0"/>
    <s v="Madelon Bront"/>
    <s v="PC"/>
    <s v="40-0265810"/>
  </r>
  <r>
    <s v="Bulgaria"/>
    <n v="105277.2"/>
    <n v="90759.47"/>
    <x v="489"/>
    <s v="Books"/>
    <s v="Spencer, Rogahn and Muller"/>
    <x v="8"/>
    <s v="Shermy McGready"/>
    <s v="PC"/>
    <s v="56-6094665"/>
  </r>
  <r>
    <s v="Denmark"/>
    <n v="65822.05"/>
    <n v="54790.27"/>
    <x v="361"/>
    <s v="Clothing"/>
    <s v="Keeling, Monahan and Pollich"/>
    <x v="13"/>
    <s v="Case Desorts"/>
    <s v="PC"/>
    <s v="75-3776704"/>
  </r>
  <r>
    <s v="France"/>
    <n v="78540.62"/>
    <n v="63987.040000000001"/>
    <x v="344"/>
    <s v="Clothing"/>
    <s v="Considine-Fisher"/>
    <x v="5"/>
    <s v="Crysta Halls"/>
    <s v="PC"/>
    <s v="55-1050582"/>
  </r>
  <r>
    <s v="Italy"/>
    <n v="37636.910000000003"/>
    <n v="30847.21"/>
    <x v="490"/>
    <s v="Appliances"/>
    <s v="West-Cummings"/>
    <x v="10"/>
    <s v="Joshua Prevost"/>
    <s v="Mobile"/>
    <s v="78-8602908"/>
  </r>
  <r>
    <s v="Portugal"/>
    <n v="138127.81"/>
    <n v="115240.03"/>
    <x v="476"/>
    <s v="Appliances"/>
    <s v="Hamill, Kulas and Roob"/>
    <x v="2"/>
    <s v="Corene Shirer"/>
    <s v="PC"/>
    <s v="30-3460885"/>
  </r>
  <r>
    <s v="Ireland"/>
    <n v="37892.58"/>
    <n v="30010.92"/>
    <x v="165"/>
    <s v="Electronics"/>
    <s v="Johns and Sons"/>
    <x v="11"/>
    <s v="Palm Wetherald"/>
    <s v="PC"/>
    <s v="59-0348389"/>
  </r>
  <r>
    <s v="Bulgaria"/>
    <n v="65329.65"/>
    <n v="53237.13"/>
    <x v="491"/>
    <s v="Clothing"/>
    <s v="Christiansen, Donnelly and Bechtelar"/>
    <x v="8"/>
    <s v="Shermy McGready"/>
    <s v="Mobile"/>
    <s v="91-7447818"/>
  </r>
  <r>
    <s v="France"/>
    <n v="167072.72"/>
    <n v="135044.88"/>
    <x v="492"/>
    <s v="Clothing"/>
    <s v="O'Connell-Mitchell"/>
    <x v="5"/>
    <s v="Ora Grennan"/>
    <s v="PC"/>
    <s v="37-6449638"/>
  </r>
  <r>
    <s v="France"/>
    <n v="164243.32"/>
    <n v="134121.1"/>
    <x v="448"/>
    <s v="Smartphones"/>
    <s v="Kirlin and Sons"/>
    <x v="5"/>
    <s v="Amelina Piscopiello"/>
    <s v="PC"/>
    <s v="38-2806168"/>
  </r>
  <r>
    <s v="France"/>
    <n v="174951.18"/>
    <n v="142690.18"/>
    <x v="342"/>
    <s v="Clothing"/>
    <s v="Tillman and Sons"/>
    <x v="5"/>
    <s v="Amelina Piscopiello"/>
    <s v="Mobile"/>
    <s v="09-7737652"/>
  </r>
  <r>
    <s v="Portugal"/>
    <n v="98521.87"/>
    <n v="84571.17"/>
    <x v="384"/>
    <s v="Clothing"/>
    <s v="Johns and Sons"/>
    <x v="2"/>
    <s v="Brynn Dempster"/>
    <s v="PC"/>
    <s v="29-1727395"/>
  </r>
  <r>
    <s v="Portugal"/>
    <n v="69750.570000000007"/>
    <n v="60731.82"/>
    <x v="300"/>
    <s v="Games"/>
    <s v="Johns and Sons"/>
    <x v="2"/>
    <s v="Hortense Gerring"/>
    <s v="PC"/>
    <s v="92-4695001"/>
  </r>
  <r>
    <s v="Portugal"/>
    <n v="129022.02"/>
    <n v="104585.25"/>
    <x v="493"/>
    <s v="Electronics"/>
    <s v="Walter LLC"/>
    <x v="2"/>
    <s v="Corene Shirer"/>
    <s v="PC"/>
    <s v="51-2167412"/>
  </r>
  <r>
    <s v="Portugal"/>
    <n v="41805.53"/>
    <n v="33352.449999999997"/>
    <x v="426"/>
    <s v="Appliances"/>
    <s v="Abbott, Roberts and Torp"/>
    <x v="2"/>
    <s v="Brynn Dempster"/>
    <s v="Tablet"/>
    <s v="27-7169008"/>
  </r>
  <r>
    <s v="Finland"/>
    <n v="145809.65"/>
    <n v="123136.25"/>
    <x v="451"/>
    <s v="Appliances"/>
    <s v="O'Connell-Mitchell"/>
    <x v="1"/>
    <s v="Mellicent Mattys"/>
    <s v="PC"/>
    <s v="96-5231814"/>
  </r>
  <r>
    <s v="France"/>
    <n v="29443.71"/>
    <n v="23958.35"/>
    <x v="138"/>
    <s v="Appliances"/>
    <s v="Johns and Sons"/>
    <x v="5"/>
    <s v="Ora Grennan"/>
    <s v="PC"/>
    <s v="03-2027170"/>
  </r>
  <r>
    <s v="Sweden"/>
    <n v="138443.23000000001"/>
    <n v="115101.7"/>
    <x v="494"/>
    <s v="Clothing"/>
    <s v="Wyman Group"/>
    <x v="0"/>
    <s v="Alyosha Meah"/>
    <s v="Mobile"/>
    <s v="99-9599677"/>
  </r>
  <r>
    <s v="UK"/>
    <n v="102000.57"/>
    <n v="87261.49"/>
    <x v="495"/>
    <s v="Games"/>
    <s v="Franecki-White"/>
    <x v="4"/>
    <s v="Genevra Charrisson"/>
    <s v="PC"/>
    <s v="22-0725785"/>
  </r>
  <r>
    <s v="Portugal"/>
    <n v="53181.88"/>
    <n v="42316.82"/>
    <x v="77"/>
    <s v="Smartphones"/>
    <s v="Christiansen, Donnelly and Bechtelar"/>
    <x v="2"/>
    <s v="Hortense Gerring"/>
    <s v="PC"/>
    <s v="37-6033123"/>
  </r>
  <r>
    <s v="Portugal"/>
    <n v="99518.86"/>
    <n v="81854.259999999995"/>
    <x v="496"/>
    <s v="Books"/>
    <s v="Dickinson, Hyatt and Berge"/>
    <x v="2"/>
    <s v="Corene Shirer"/>
    <s v="PC"/>
    <s v="29-5158368"/>
  </r>
  <r>
    <s v="Portugal"/>
    <n v="79288.03"/>
    <n v="68536.570000000007"/>
    <x v="29"/>
    <s v="Clothing"/>
    <s v="Johns and Sons"/>
    <x v="2"/>
    <s v="Hortense Gerring"/>
    <s v="PC"/>
    <s v="95-4281933"/>
  </r>
  <r>
    <s v="France"/>
    <n v="111557.68"/>
    <n v="92470.16"/>
    <x v="383"/>
    <s v="Books"/>
    <s v="Hessel-Stiedemann"/>
    <x v="5"/>
    <s v="Crysta Halls"/>
    <s v="PC"/>
    <s v="61-0532585"/>
  </r>
  <r>
    <s v="Netherlands"/>
    <n v="43008.69"/>
    <n v="34458.559999999998"/>
    <x v="497"/>
    <s v="Appliances"/>
    <s v="Stamm-Zulauf"/>
    <x v="6"/>
    <s v="Nero Harbisher"/>
    <s v="PC"/>
    <s v="99-9093075"/>
  </r>
  <r>
    <s v="France"/>
    <n v="154936.24"/>
    <n v="135739.64000000001"/>
    <x v="170"/>
    <s v="Books"/>
    <s v="Friesen-Rath"/>
    <x v="5"/>
    <s v="Ora Grennan"/>
    <s v="PC"/>
    <s v="65-2631885"/>
  </r>
  <r>
    <s v="Sweden"/>
    <n v="115339.49"/>
    <n v="100691.37"/>
    <x v="283"/>
    <s v="Outdoors"/>
    <s v="Farrell, Swaniawski and Crist"/>
    <x v="0"/>
    <s v="Madelon Bront"/>
    <s v="Mobile"/>
    <s v="03-4651559"/>
  </r>
  <r>
    <s v="France"/>
    <n v="65254.5"/>
    <n v="53919.79"/>
    <x v="262"/>
    <s v="Games"/>
    <s v="Rowe, Hermiston and Kessler"/>
    <x v="5"/>
    <s v="Maighdiln Upcraft"/>
    <s v="PC"/>
    <s v="91-6673445"/>
  </r>
  <r>
    <s v="Netherlands"/>
    <n v="50241.47"/>
    <n v="43443.8"/>
    <x v="279"/>
    <s v="Books"/>
    <s v="Schmitt, Purdy and Johnson"/>
    <x v="6"/>
    <s v="Nero Harbisher"/>
    <s v="Tablet"/>
    <s v="62-1501210"/>
  </r>
  <r>
    <s v="UK"/>
    <n v="304337.49"/>
    <n v="261730.24"/>
    <x v="364"/>
    <s v="Clothing"/>
    <s v="Wunsch LLC"/>
    <x v="4"/>
    <s v="Genevra Charrisson"/>
    <s v="PC"/>
    <s v="29-0072186"/>
  </r>
  <r>
    <s v="Bulgaria"/>
    <n v="95960.77"/>
    <n v="76519.12"/>
    <x v="381"/>
    <s v="Books"/>
    <s v="Hessel-Stiedemann"/>
    <x v="8"/>
    <s v="Bernadine Fullagar"/>
    <s v="PC"/>
    <s v="06-5115020"/>
  </r>
  <r>
    <s v="Sweden"/>
    <n v="152522.94"/>
    <n v="122399.66"/>
    <x v="406"/>
    <s v="Outdoors"/>
    <s v="Hane Inc"/>
    <x v="0"/>
    <s v="Madelon Bront"/>
    <s v="PC"/>
    <s v="22-6046651"/>
  </r>
  <r>
    <s v="Sweden"/>
    <n v="63196.98"/>
    <n v="54671.71"/>
    <x v="277"/>
    <s v="Smartphones"/>
    <s v="Spencer, Rogahn and Muller"/>
    <x v="0"/>
    <s v="Caro Morfield"/>
    <s v="PC"/>
    <s v="71-6499815"/>
  </r>
  <r>
    <s v="Sweden"/>
    <n v="83119.87"/>
    <n v="69604.58"/>
    <x v="48"/>
    <s v="Clothing"/>
    <s v="O'Connell-Mitchell"/>
    <x v="0"/>
    <s v="Alyosha Meah"/>
    <s v="PC"/>
    <s v="81-1454737"/>
  </r>
  <r>
    <s v="France"/>
    <n v="75483.45"/>
    <n v="60077.279999999999"/>
    <x v="498"/>
    <s v="Appliances"/>
    <s v="Johns and Sons"/>
    <x v="5"/>
    <s v="Ora Grennan"/>
    <s v="PC"/>
    <s v="26-0092767"/>
  </r>
  <r>
    <s v="Ireland"/>
    <n v="65397.279999999999"/>
    <n v="53920.06"/>
    <x v="418"/>
    <s v="Outdoors"/>
    <s v="Baumbach Group"/>
    <x v="11"/>
    <s v="Bunnie Tonbridge"/>
    <s v="Mobile"/>
    <s v="74-6211038"/>
  </r>
  <r>
    <s v="France"/>
    <n v="48890.14"/>
    <n v="41180.160000000003"/>
    <x v="448"/>
    <s v="Clothing"/>
    <s v="Johns and Sons"/>
    <x v="5"/>
    <s v="Ora Grennan"/>
    <s v="PC"/>
    <s v="85-5544928"/>
  </r>
  <r>
    <s v="France"/>
    <n v="80839.75"/>
    <n v="63936.160000000003"/>
    <x v="132"/>
    <s v="Games"/>
    <s v="Goldner-Dibbert"/>
    <x v="5"/>
    <s v="Crysta Halls"/>
    <s v="PC"/>
    <s v="00-6227453"/>
  </r>
  <r>
    <s v="Ireland"/>
    <n v="79375.17"/>
    <n v="64532.01"/>
    <x v="128"/>
    <s v="Beauty"/>
    <s v="Hessel-Stiedemann"/>
    <x v="11"/>
    <s v="Bunnie Tonbridge"/>
    <s v="Mobile"/>
    <s v="70-5224180"/>
  </r>
  <r>
    <s v="Bulgaria"/>
    <n v="158011.29999999999"/>
    <n v="137390.82999999999"/>
    <x v="408"/>
    <s v="Beauty"/>
    <s v="Jacobson, Marvin and Brown"/>
    <x v="8"/>
    <s v="Bernadine Fullagar"/>
    <s v="PC"/>
    <s v="40-8287610"/>
  </r>
  <r>
    <s v="Portugal"/>
    <n v="155766.23000000001"/>
    <n v="131529"/>
    <x v="234"/>
    <s v="Games"/>
    <s v="Romaguera-Haley"/>
    <x v="2"/>
    <s v="Aurelie Wren"/>
    <s v="PC"/>
    <s v="49-7876403"/>
  </r>
  <r>
    <s v="France"/>
    <n v="19366.75"/>
    <n v="15857.49"/>
    <x v="34"/>
    <s v="Games"/>
    <s v="Wisoky Inc"/>
    <x v="5"/>
    <s v="Avrit Chanders"/>
    <s v="PC"/>
    <s v="01-6107437"/>
  </r>
  <r>
    <s v="France"/>
    <n v="45481.24"/>
    <n v="37317.360000000001"/>
    <x v="71"/>
    <s v="Smartphones"/>
    <s v="Wiza and Sons"/>
    <x v="5"/>
    <s v="Crysta Halls"/>
    <s v="PC"/>
    <s v="13-6163562"/>
  </r>
  <r>
    <s v="Sweden"/>
    <n v="152747.92000000001"/>
    <n v="130614.75"/>
    <x v="338"/>
    <s v="Appliances"/>
    <s v="Armstrong-Little"/>
    <x v="0"/>
    <s v="Anita Woakes"/>
    <s v="PC"/>
    <s v="41-0722740"/>
  </r>
  <r>
    <s v="Sweden"/>
    <n v="255216"/>
    <n v="211446.46"/>
    <x v="157"/>
    <s v="Clothing"/>
    <s v="Jacobson, Marvin and Brown"/>
    <x v="0"/>
    <s v="Tarrah Castelletti"/>
    <s v="PC"/>
    <s v="65-4008552"/>
  </r>
  <r>
    <s v="Portugal"/>
    <n v="154858"/>
    <n v="135376.85999999999"/>
    <x v="499"/>
    <s v="Games"/>
    <s v="Dickinson, Hyatt and Berge"/>
    <x v="2"/>
    <s v="Smitty Culverhouse"/>
    <s v="PC"/>
    <s v="72-4825752"/>
  </r>
  <r>
    <s v="France"/>
    <n v="250488.42"/>
    <n v="214142.55"/>
    <x v="446"/>
    <s v="Appliances"/>
    <s v="Goldner-Dibbert"/>
    <x v="5"/>
    <s v="Amelina Piscopiello"/>
    <s v="PC"/>
    <s v="18-2580592"/>
  </r>
  <r>
    <s v="Sweden"/>
    <n v="115151.22"/>
    <n v="91430.07"/>
    <x v="458"/>
    <s v="Appliances"/>
    <s v="Farrell, Swaniawski and Crist"/>
    <x v="0"/>
    <s v="Madelon Bront"/>
    <s v="PC"/>
    <s v="14-1283254"/>
  </r>
  <r>
    <s v="Sweden"/>
    <n v="57347.48"/>
    <n v="50041.41"/>
    <x v="224"/>
    <s v="Beauty"/>
    <s v="Johns and Sons"/>
    <x v="0"/>
    <s v="Madelon Bront"/>
    <s v="PC"/>
    <s v="79-4826735"/>
  </r>
  <r>
    <s v="Portugal"/>
    <n v="74790.02"/>
    <n v="64992.53"/>
    <x v="402"/>
    <s v="Beauty"/>
    <s v="Corwin and Sons"/>
    <x v="2"/>
    <s v="Corene Shirer"/>
    <s v="PC"/>
    <s v="82-2840501"/>
  </r>
  <r>
    <s v="France"/>
    <n v="72749.070000000007"/>
    <n v="59108.62"/>
    <x v="9"/>
    <s v="Smartphones"/>
    <s v="Johns and Sons"/>
    <x v="5"/>
    <s v="Amelina Piscopiello"/>
    <s v="PC"/>
    <s v="19-0320558"/>
  </r>
  <r>
    <s v="Bulgaria"/>
    <n v="128235.65"/>
    <n v="103024.52"/>
    <x v="500"/>
    <s v="Books"/>
    <s v="Dickinson, Hyatt and Berge"/>
    <x v="8"/>
    <s v="Shermy McGready"/>
    <s v="PC"/>
    <s v="57-0945292"/>
  </r>
  <r>
    <s v="Sweden"/>
    <n v="79088.7"/>
    <n v="67415.210000000006"/>
    <x v="476"/>
    <s v="Beauty"/>
    <s v="McGlynn-Prosacco"/>
    <x v="0"/>
    <s v="Tarrah Castelletti"/>
    <s v="PC"/>
    <s v="01-6573793"/>
  </r>
  <r>
    <s v="UK"/>
    <n v="124537.47"/>
    <n v="105881.76"/>
    <x v="501"/>
    <s v="Clothing"/>
    <s v="Hilll-Vandervort"/>
    <x v="4"/>
    <s v="Winny Agnolo"/>
    <s v="PC"/>
    <s v="63-0694419"/>
  </r>
  <r>
    <s v="Sweden"/>
    <n v="161192.45000000001"/>
    <n v="135965.82999999999"/>
    <x v="396"/>
    <s v="Clothing"/>
    <s v="Wisoky Inc"/>
    <x v="0"/>
    <s v="Tarrah Castelletti"/>
    <s v="PC"/>
    <s v="24-2442637"/>
  </r>
  <r>
    <s v="France"/>
    <n v="109697.86"/>
    <n v="89853.52"/>
    <x v="201"/>
    <s v="Beauty"/>
    <s v="Considine-Fisher"/>
    <x v="5"/>
    <s v="Crysta Halls"/>
    <s v="PC"/>
    <s v="04-8899739"/>
  </r>
  <r>
    <s v="France"/>
    <n v="57276.26"/>
    <n v="49223.22"/>
    <x v="308"/>
    <s v="Appliances"/>
    <s v="Johns and Sons"/>
    <x v="5"/>
    <s v="Amelina Piscopiello"/>
    <s v="PC"/>
    <s v="48-2932903"/>
  </r>
  <r>
    <s v="Netherlands"/>
    <n v="149956.93"/>
    <n v="130087.64"/>
    <x v="362"/>
    <s v="Games"/>
    <s v="Spencer, Rogahn and Muller"/>
    <x v="6"/>
    <s v="Nero Harbisher"/>
    <s v="PC"/>
    <s v="66-0265458"/>
  </r>
  <r>
    <s v="Italy"/>
    <n v="127075.41"/>
    <n v="110924.13"/>
    <x v="501"/>
    <s v="Clothing"/>
    <s v="Labadie and Sons"/>
    <x v="10"/>
    <s v="Joshua Prevost"/>
    <s v="PC"/>
    <s v="57-6602854"/>
  </r>
  <r>
    <s v="Sweden"/>
    <n v="28755.32"/>
    <n v="23938.799999999999"/>
    <x v="385"/>
    <s v="Books"/>
    <s v="Murray, Reichel and Nolan"/>
    <x v="0"/>
    <s v="Madelon Bront"/>
    <s v="PC"/>
    <s v="47-6702070"/>
  </r>
  <r>
    <s v="Portugal"/>
    <n v="178027.46"/>
    <n v="144985.56"/>
    <x v="12"/>
    <s v="Appliances"/>
    <s v="Wisoky Inc"/>
    <x v="2"/>
    <s v="Corene Shirer"/>
    <s v="PC"/>
    <s v="99-9215178"/>
  </r>
  <r>
    <s v="Bulgaria"/>
    <n v="152231.85999999999"/>
    <n v="122303.08"/>
    <x v="428"/>
    <s v="Smartphones"/>
    <s v="Smith Group"/>
    <x v="8"/>
    <s v="Shermy McGready"/>
    <s v="PC"/>
    <s v="39-5953116"/>
  </r>
  <r>
    <s v="Sweden"/>
    <n v="53957.42"/>
    <n v="46905.19"/>
    <x v="502"/>
    <s v="Smartphones"/>
    <s v="Johns and Sons"/>
    <x v="0"/>
    <s v="Caro Morfield"/>
    <s v="PC"/>
    <s v="71-3278650"/>
  </r>
  <r>
    <s v="Portugal"/>
    <n v="80474.78"/>
    <n v="66568.740000000005"/>
    <x v="503"/>
    <s v="Clothing"/>
    <s v="Farrell, Swaniawski and Crist"/>
    <x v="2"/>
    <s v="Hortense Gerring"/>
    <s v="PC"/>
    <s v="38-6891011"/>
  </r>
  <r>
    <s v="Bulgaria"/>
    <n v="145439.65"/>
    <n v="123710.97"/>
    <x v="286"/>
    <s v="Smartphones"/>
    <s v="Friesen and Sons"/>
    <x v="8"/>
    <s v="Bernadine Fullagar"/>
    <s v="PC"/>
    <s v="06-5566367"/>
  </r>
  <r>
    <s v="France"/>
    <n v="84035.82"/>
    <n v="71329.600000000006"/>
    <x v="420"/>
    <s v="Books"/>
    <s v="Johns and Sons"/>
    <x v="5"/>
    <s v="Maighdiln Upcraft"/>
    <s v="Tablet"/>
    <s v="30-9025281"/>
  </r>
  <r>
    <s v="Spain"/>
    <n v="68288.679999999993"/>
    <n v="56754.720000000001"/>
    <x v="151"/>
    <s v="Beauty"/>
    <s v="Johns and Sons"/>
    <x v="3"/>
    <s v="Bertha Walbrook"/>
    <s v="PC"/>
    <s v="80-4161102"/>
  </r>
  <r>
    <s v="Sweden"/>
    <n v="100578.6"/>
    <n v="83208.679999999993"/>
    <x v="98"/>
    <s v="Electronics"/>
    <s v="Labadie and Sons"/>
    <x v="0"/>
    <s v="Caro Morfield"/>
    <s v="PC"/>
    <s v="96-1388247"/>
  </r>
  <r>
    <s v="France"/>
    <n v="94925"/>
    <n v="77572.710000000006"/>
    <x v="112"/>
    <s v="Accessories"/>
    <s v="Schoen-Keeling"/>
    <x v="5"/>
    <s v="Avrit Chanders"/>
    <s v="Mobile"/>
    <s v="21-2097342"/>
  </r>
  <r>
    <s v="France"/>
    <n v="105464.41"/>
    <n v="84761.75"/>
    <x v="268"/>
    <s v="Books"/>
    <s v="Schmitt, Purdy and Johnson"/>
    <x v="5"/>
    <s v="Avrit Chanders"/>
    <s v="PC"/>
    <s v="30-4045249"/>
  </r>
  <r>
    <s v="France"/>
    <n v="155827.29999999999"/>
    <n v="126360.36"/>
    <x v="137"/>
    <s v="Appliances"/>
    <s v="Hilll-Vandervort"/>
    <x v="5"/>
    <s v="Avrit Chanders"/>
    <s v="Tablet"/>
    <s v="31-9806848"/>
  </r>
  <r>
    <s v="Portugal"/>
    <n v="90994.31"/>
    <n v="72540.66"/>
    <x v="433"/>
    <s v="Electronics"/>
    <s v="Zieme, Bailey and Herzog"/>
    <x v="2"/>
    <s v="Brynn Dempster"/>
    <s v="PC"/>
    <s v="09-7835975"/>
  </r>
  <r>
    <s v="Portugal"/>
    <n v="32779.67"/>
    <n v="26800.66"/>
    <x v="504"/>
    <s v="Outdoors"/>
    <s v="Kihn Inc"/>
    <x v="2"/>
    <s v="Aurelie Wren"/>
    <s v="PC"/>
    <s v="16-9758497"/>
  </r>
  <r>
    <s v="Bulgaria"/>
    <n v="40187.99"/>
    <n v="32508.07"/>
    <x v="472"/>
    <s v="Games"/>
    <s v="Friesen-Rath"/>
    <x v="8"/>
    <s v="Shermy McGready"/>
    <s v="PC"/>
    <s v="54-1058965"/>
  </r>
  <r>
    <s v="UK"/>
    <n v="91842.59"/>
    <n v="73979.210000000006"/>
    <x v="36"/>
    <s v="Games"/>
    <s v="Marquardt-Kuvalis"/>
    <x v="4"/>
    <s v="Genevra Charrisson"/>
    <s v="PC"/>
    <s v="84-0565956"/>
  </r>
  <r>
    <s v="Portugal"/>
    <n v="38494.71"/>
    <n v="33113.15"/>
    <x v="156"/>
    <s v="Games"/>
    <s v="Wisoky Inc"/>
    <x v="2"/>
    <s v="Hortense Gerring"/>
    <s v="PC"/>
    <s v="85-6263705"/>
  </r>
  <r>
    <s v="France"/>
    <n v="86050.61"/>
    <n v="75569.649999999994"/>
    <x v="345"/>
    <s v="Clothing"/>
    <s v="McClure Inc"/>
    <x v="5"/>
    <s v="Crysta Halls"/>
    <s v="PC"/>
    <s v="46-4560578"/>
  </r>
  <r>
    <s v="Sweden"/>
    <n v="36749.51"/>
    <n v="30101.52"/>
    <x v="505"/>
    <s v="Games"/>
    <s v="Hilll-Vandervort"/>
    <x v="0"/>
    <s v="Madelon Bront"/>
    <s v="PC"/>
    <s v="08-5093310"/>
  </r>
  <r>
    <s v="Finland"/>
    <n v="194531.02"/>
    <n v="158970.75"/>
    <x v="506"/>
    <s v="Clothing"/>
    <s v="Farrell, Swaniawski and Crist"/>
    <x v="1"/>
    <s v="Mellicent Mattys"/>
    <s v="Tablet"/>
    <s v="21-8525376"/>
  </r>
  <r>
    <s v="France"/>
    <n v="106730.16"/>
    <n v="89503.91"/>
    <x v="507"/>
    <s v="Beauty"/>
    <s v="Farrell, Swaniawski and Crist"/>
    <x v="5"/>
    <s v="Ora Grennan"/>
    <s v="PC"/>
    <s v="60-0406937"/>
  </r>
  <r>
    <s v="Germany"/>
    <n v="30177.8"/>
    <n v="23924.959999999999"/>
    <x v="393"/>
    <s v="Electronics"/>
    <s v="Leffler, Prohaska and Streich"/>
    <x v="12"/>
    <s v="Casie MacBain"/>
    <s v="Mobile"/>
    <s v="61-4937643"/>
  </r>
  <r>
    <s v="Portugal"/>
    <n v="93902.04"/>
    <n v="80793.31"/>
    <x v="154"/>
    <s v="Clothing"/>
    <s v="Tillman and Sons"/>
    <x v="2"/>
    <s v="Aurelie Wren"/>
    <s v="PC"/>
    <s v="94-3251589"/>
  </r>
  <r>
    <s v="Germany"/>
    <n v="250483.63"/>
    <n v="217269.5"/>
    <x v="180"/>
    <s v="Accessories"/>
    <s v="Considine-Fisher"/>
    <x v="12"/>
    <s v="Casie MacBain"/>
    <s v="Mobile"/>
    <s v="48-2124998"/>
  </r>
  <r>
    <s v="Sweden"/>
    <n v="162142.74"/>
    <n v="136037.76000000001"/>
    <x v="48"/>
    <s v="Clothing"/>
    <s v="Kirlin and Sons"/>
    <x v="0"/>
    <s v="Alyosha Meah"/>
    <s v="PC"/>
    <s v="19-1017922"/>
  </r>
  <r>
    <s v="Denmark"/>
    <n v="47516.54"/>
    <n v="38987.32"/>
    <x v="508"/>
    <s v="Books"/>
    <s v="Johns and Sons"/>
    <x v="13"/>
    <s v="Cobby Andersen"/>
    <s v="PC"/>
    <s v="51-1141675"/>
  </r>
  <r>
    <s v="Germany"/>
    <n v="163546.81"/>
    <n v="133307"/>
    <x v="35"/>
    <s v="Electronics"/>
    <s v="Lueilwitz, Kerluke and Lesch"/>
    <x v="12"/>
    <s v="Casie MacBain"/>
    <s v="PC"/>
    <s v="94-2134593"/>
  </r>
  <r>
    <s v="France"/>
    <n v="35437.89"/>
    <n v="30412.799999999999"/>
    <x v="509"/>
    <s v="Clothing"/>
    <s v="Homenick-Marvin"/>
    <x v="5"/>
    <s v="Ora Grennan"/>
    <s v="PC"/>
    <s v="82-0616982"/>
  </r>
  <r>
    <s v="Belgium"/>
    <n v="122889.28"/>
    <n v="103042.66"/>
    <x v="510"/>
    <s v="Smartphones"/>
    <s v="Labadie and Sons"/>
    <x v="7"/>
    <s v="Collin Mackness"/>
    <s v="PC"/>
    <s v="22-5761330"/>
  </r>
  <r>
    <s v="Luxembourg"/>
    <n v="26490.47"/>
    <n v="21168.53"/>
    <x v="511"/>
    <s v="Appliances"/>
    <s v="Hessel-Stiedemann"/>
    <x v="9"/>
    <s v="Jocelyn Laurentino"/>
    <s v="PC"/>
    <s v="62-1694462"/>
  </r>
  <r>
    <s v="UK"/>
    <n v="173722.59"/>
    <n v="148063.76"/>
    <x v="235"/>
    <s v="Games"/>
    <s v="Schowalter, Lesch and Beahan"/>
    <x v="4"/>
    <s v="Jay Morefield"/>
    <s v="PC"/>
    <s v="66-2612057"/>
  </r>
  <r>
    <s v="France"/>
    <n v="76543.360000000001"/>
    <n v="65819.64"/>
    <x v="310"/>
    <s v="Accessories"/>
    <s v="Hermiston, Simonis and Wisoky"/>
    <x v="5"/>
    <s v="Ora Grennan"/>
    <s v="PC"/>
    <s v="01-7655863"/>
  </r>
  <r>
    <s v="Sweden"/>
    <n v="69626.39"/>
    <n v="57295.56"/>
    <x v="147"/>
    <s v="Electronics"/>
    <s v="Hamill, Kulas and Roob"/>
    <x v="0"/>
    <s v="Madelon Bront"/>
    <s v="PC"/>
    <s v="06-2196763"/>
  </r>
  <r>
    <s v="France"/>
    <n v="249915.21"/>
    <n v="215326.95"/>
    <x v="142"/>
    <s v="Appliances"/>
    <s v="Armstrong-Little"/>
    <x v="5"/>
    <s v="Crysta Halls"/>
    <s v="PC"/>
    <s v="84-4465649"/>
  </r>
  <r>
    <s v="Portugal"/>
    <n v="55790.71"/>
    <n v="48783.4"/>
    <x v="362"/>
    <s v="Appliances"/>
    <s v="Johns and Sons"/>
    <x v="2"/>
    <s v="Corene Shirer"/>
    <s v="PC"/>
    <s v="63-6767584"/>
  </r>
  <r>
    <s v="Netherlands"/>
    <n v="77896.83"/>
    <n v="62714.74"/>
    <x v="485"/>
    <s v="Clothing"/>
    <s v="Dibbert Inc"/>
    <x v="6"/>
    <s v="Nero Harbisher"/>
    <s v="PC"/>
    <s v="75-7443241"/>
  </r>
  <r>
    <s v="Portugal"/>
    <n v="104391.93"/>
    <n v="86770.57"/>
    <x v="12"/>
    <s v="Beauty"/>
    <s v="Murray, Reichel and Nolan"/>
    <x v="2"/>
    <s v="Brynn Dempster"/>
    <s v="PC"/>
    <s v="34-8182639"/>
  </r>
  <r>
    <s v="Portugal"/>
    <n v="57115.99"/>
    <n v="48976.959999999999"/>
    <x v="512"/>
    <s v="Books"/>
    <s v="Lind, Mueller and Stoltenberg"/>
    <x v="2"/>
    <s v="Aurelie Wren"/>
    <s v="Mobile"/>
    <s v="53-3803984"/>
  </r>
  <r>
    <s v="France"/>
    <n v="74685.850000000006"/>
    <n v="59166.13"/>
    <x v="447"/>
    <s v="Games"/>
    <s v="Lubowitz, McLaughlin and Erdman"/>
    <x v="5"/>
    <s v="Avrit Chanders"/>
    <s v="PC"/>
    <s v="68-0176456"/>
  </r>
  <r>
    <s v="France"/>
    <n v="74103.820000000007"/>
    <n v="64811.199999999997"/>
    <x v="384"/>
    <s v="Appliances"/>
    <s v="Johns and Sons"/>
    <x v="5"/>
    <s v="Ora Grennan"/>
    <s v="PC"/>
    <s v="63-7370049"/>
  </r>
  <r>
    <s v="France"/>
    <n v="176190.16"/>
    <n v="142273.54999999999"/>
    <x v="513"/>
    <s v="Appliances"/>
    <s v="Johns and Sons"/>
    <x v="5"/>
    <s v="Maighdiln Upcraft"/>
    <s v="PC"/>
    <s v="03-3461826"/>
  </r>
  <r>
    <s v="Sweden"/>
    <n v="185778.3"/>
    <n v="154734.75"/>
    <x v="514"/>
    <s v="Electronics"/>
    <s v="Jacobson, Marvin and Brown"/>
    <x v="0"/>
    <s v="Tarrah Castelletti"/>
    <s v="PC"/>
    <s v="76-5888381"/>
  </r>
  <r>
    <s v="France"/>
    <n v="212521.26"/>
    <n v="172014.71"/>
    <x v="452"/>
    <s v="Books"/>
    <s v="Johns and Sons"/>
    <x v="5"/>
    <s v="Crysta Halls"/>
    <s v="PC"/>
    <s v="43-7357498"/>
  </r>
  <r>
    <s v="France"/>
    <n v="40148.49"/>
    <n v="31954.18"/>
    <x v="515"/>
    <s v="Electronics"/>
    <s v="Hane Inc"/>
    <x v="5"/>
    <s v="Amelina Piscopiello"/>
    <s v="PC"/>
    <s v="88-8981595"/>
  </r>
  <r>
    <s v="Portugal"/>
    <n v="157942.65"/>
    <n v="136620.39000000001"/>
    <x v="370"/>
    <s v="Electronics"/>
    <s v="Hessel-Stiedemann"/>
    <x v="2"/>
    <s v="Brynn Dempster"/>
    <s v="PC"/>
    <s v="95-6123269"/>
  </r>
  <r>
    <s v="Netherlands"/>
    <n v="172453.1"/>
    <n v="145688.38"/>
    <x v="354"/>
    <s v="Outdoors"/>
    <s v="Kirlin and Sons"/>
    <x v="6"/>
    <s v="Nero Harbisher"/>
    <s v="PC"/>
    <s v="60-6986682"/>
  </r>
  <r>
    <s v="France"/>
    <n v="203604.46"/>
    <n v="175344.16"/>
    <x v="320"/>
    <s v="Electronics"/>
    <s v="Kirlin and Sons"/>
    <x v="5"/>
    <s v="Crysta Halls"/>
    <s v="Mobile"/>
    <s v="29-5478106"/>
  </r>
  <r>
    <s v="Sweden"/>
    <n v="251587.20000000001"/>
    <n v="201848.41"/>
    <x v="494"/>
    <s v="Smartphones"/>
    <s v="Schowalter, Lesch and Beahan"/>
    <x v="0"/>
    <s v="Alyosha Meah"/>
    <s v="Mobile"/>
    <s v="49-2256360"/>
  </r>
  <r>
    <s v="Sweden"/>
    <n v="19930.04"/>
    <n v="16543.93"/>
    <x v="389"/>
    <s v="Smartphones"/>
    <s v="Johns and Sons"/>
    <x v="0"/>
    <s v="Anita Woakes"/>
    <s v="Tablet"/>
    <s v="59-2480731"/>
  </r>
  <r>
    <s v="Bulgaria"/>
    <n v="149372.32"/>
    <n v="130611.16"/>
    <x v="376"/>
    <s v="Electronics"/>
    <s v="Abbott, Roberts and Torp"/>
    <x v="8"/>
    <s v="Shermy McGready"/>
    <s v="Mobile"/>
    <s v="63-6848448"/>
  </r>
  <r>
    <s v="Sweden"/>
    <n v="25907.52"/>
    <n v="22454.05"/>
    <x v="120"/>
    <s v="Books"/>
    <s v="Farrell, Swaniawski and Crist"/>
    <x v="0"/>
    <s v="Alyosha Meah"/>
    <s v="PC"/>
    <s v="14-5110197"/>
  </r>
  <r>
    <s v="Portugal"/>
    <n v="64762.89"/>
    <n v="54238.92"/>
    <x v="438"/>
    <s v="Electronics"/>
    <s v="Schoen-Keeling"/>
    <x v="2"/>
    <s v="Hortense Gerring"/>
    <s v="PC"/>
    <s v="42-2646312"/>
  </r>
  <r>
    <s v="Finland"/>
    <n v="65211.07"/>
    <n v="56883.62"/>
    <x v="333"/>
    <s v="Games"/>
    <s v="Hilll-Vandervort"/>
    <x v="1"/>
    <s v="Mellicent Mattys"/>
    <s v="PC"/>
    <s v="60-8083173"/>
  </r>
  <r>
    <s v="Spain"/>
    <n v="42475.6"/>
    <n v="35802.68"/>
    <x v="516"/>
    <s v="Books"/>
    <s v="Johns and Sons"/>
    <x v="3"/>
    <s v="Perri Aldersley"/>
    <s v="PC"/>
    <s v="76-1827989"/>
  </r>
  <r>
    <s v="Portugal"/>
    <n v="172340.86"/>
    <n v="136562.9"/>
    <x v="517"/>
    <s v="Beauty"/>
    <s v="Tromp LLC"/>
    <x v="2"/>
    <s v="Hortense Gerring"/>
    <s v="PC"/>
    <s v="36-4321653"/>
  </r>
  <r>
    <s v="Ireland"/>
    <n v="165709.19"/>
    <n v="138102.04"/>
    <x v="109"/>
    <s v="Smartphones"/>
    <s v="Considine-Fisher"/>
    <x v="11"/>
    <s v="Bunnie Tonbridge"/>
    <s v="PC"/>
    <s v="18-7046062"/>
  </r>
  <r>
    <s v="Italy"/>
    <n v="118409.59"/>
    <n v="96030.18"/>
    <x v="393"/>
    <s v="Games"/>
    <s v="Bashirian, Okuneva and Bechtelar"/>
    <x v="10"/>
    <s v="Joshua Prevost"/>
    <s v="PC"/>
    <s v="73-4380400"/>
  </r>
  <r>
    <s v="France"/>
    <n v="58416.11"/>
    <n v="48076.46"/>
    <x v="335"/>
    <s v="Appliances"/>
    <s v="Stehr LLC"/>
    <x v="5"/>
    <s v="Maighdiln Upcraft"/>
    <s v="PC"/>
    <s v="47-5051773"/>
  </r>
  <r>
    <s v="France"/>
    <n v="78629.19"/>
    <n v="63359.4"/>
    <x v="518"/>
    <s v="Appliances"/>
    <s v="Johns and Sons"/>
    <x v="5"/>
    <s v="Amelina Piscopiello"/>
    <s v="Mobile"/>
    <s v="92-3687989"/>
  </r>
  <r>
    <s v="Sweden"/>
    <n v="64842.92"/>
    <n v="56439.28"/>
    <x v="298"/>
    <s v="Appliances"/>
    <s v="Larkin-Collier"/>
    <x v="0"/>
    <s v="Alyosha Meah"/>
    <s v="Mobile"/>
    <s v="60-9753536"/>
  </r>
  <r>
    <s v="Belgium"/>
    <n v="76183.740000000005"/>
    <n v="61617.41"/>
    <x v="334"/>
    <s v="Clothing"/>
    <s v="Hermiston, Simonis and Wisoky"/>
    <x v="7"/>
    <s v="Collin Mackness"/>
    <s v="Mobile"/>
    <s v="39-5658730"/>
  </r>
  <r>
    <s v="Sweden"/>
    <n v="131839.16"/>
    <n v="115372.45"/>
    <x v="169"/>
    <s v="Books"/>
    <s v="McGlynn-Prosacco"/>
    <x v="0"/>
    <s v="Madelon Bront"/>
    <s v="PC"/>
    <s v="73-8632957"/>
  </r>
  <r>
    <s v="Portugal"/>
    <n v="147092.62"/>
    <n v="117806.48"/>
    <x v="519"/>
    <s v="Clothing"/>
    <s v="Fisher, Morar and Skiles"/>
    <x v="2"/>
    <s v="Hortense Gerring"/>
    <s v="PC"/>
    <s v="16-0987104"/>
  </r>
  <r>
    <s v="Finland"/>
    <n v="62011.86"/>
    <n v="49324.23"/>
    <x v="313"/>
    <s v="Beauty"/>
    <s v="Johns and Sons"/>
    <x v="1"/>
    <s v="Mellicent Mattys"/>
    <s v="Tablet"/>
    <s v="76-0164425"/>
  </r>
  <r>
    <s v="Portugal"/>
    <n v="56763.040000000001"/>
    <n v="47663.92"/>
    <x v="520"/>
    <s v="Smartphones"/>
    <s v="Kirlin and Sons"/>
    <x v="2"/>
    <s v="Aurelie Wren"/>
    <s v="Mobile"/>
    <s v="87-7908481"/>
  </r>
  <r>
    <s v="Portugal"/>
    <n v="78057.960000000006"/>
    <n v="67161.070000000007"/>
    <x v="399"/>
    <s v="Beauty"/>
    <s v="Swaniawski, Runolfsson and Green"/>
    <x v="2"/>
    <s v="Hortense Gerring"/>
    <s v="Tablet"/>
    <s v="30-7149594"/>
  </r>
  <r>
    <s v="UK"/>
    <n v="96358.45"/>
    <n v="80700.2"/>
    <x v="521"/>
    <s v="Outdoors"/>
    <s v="Stamm-Zulauf"/>
    <x v="4"/>
    <s v="Genevra Charrisson"/>
    <s v="PC"/>
    <s v="75-7848944"/>
  </r>
  <r>
    <s v="France"/>
    <n v="40535.64"/>
    <n v="35480.85"/>
    <x v="101"/>
    <s v="Electronics"/>
    <s v="Kihn Inc"/>
    <x v="5"/>
    <s v="Crysta Halls"/>
    <s v="PC"/>
    <s v="72-2796883"/>
  </r>
  <r>
    <s v="France"/>
    <n v="96795.99"/>
    <n v="81395.75"/>
    <x v="192"/>
    <s v="Appliances"/>
    <s v="Connelly-Mohr"/>
    <x v="5"/>
    <s v="Avrit Chanders"/>
    <s v="PC"/>
    <s v="32-3124563"/>
  </r>
  <r>
    <s v="Portugal"/>
    <n v="122035.93"/>
    <n v="97897.22"/>
    <x v="487"/>
    <s v="Accessories"/>
    <s v="Larkin-Collier"/>
    <x v="2"/>
    <s v="Aurelie Wren"/>
    <s v="PC"/>
    <s v="83-7592334"/>
  </r>
  <r>
    <s v="Sweden"/>
    <n v="89502.53"/>
    <n v="72488.100000000006"/>
    <x v="519"/>
    <s v="Clothing"/>
    <s v="Gleichner-Green"/>
    <x v="0"/>
    <s v="Tarrah Castelletti"/>
    <s v="PC"/>
    <s v="61-3721294"/>
  </r>
  <r>
    <s v="Portugal"/>
    <n v="223233.32"/>
    <n v="179100.09"/>
    <x v="365"/>
    <s v="Games"/>
    <s v="Romaguera-Dietrich"/>
    <x v="2"/>
    <s v="Corene Shirer"/>
    <s v="PC"/>
    <s v="43-8355995"/>
  </r>
  <r>
    <s v="Finland"/>
    <n v="33190.03"/>
    <n v="28397.39"/>
    <x v="99"/>
    <s v="Electronics"/>
    <s v="Homenick-Marvin"/>
    <x v="1"/>
    <s v="Wat Bowkley"/>
    <s v="Tablet"/>
    <s v="49-2458036"/>
  </r>
  <r>
    <s v="Portugal"/>
    <n v="82357.570000000007"/>
    <n v="65474.27"/>
    <x v="120"/>
    <s v="Books"/>
    <s v="Kihn Inc"/>
    <x v="2"/>
    <s v="Aurelie Wren"/>
    <s v="PC"/>
    <s v="13-9607758"/>
  </r>
  <r>
    <s v="Ireland"/>
    <n v="46857.77"/>
    <n v="39116.870000000003"/>
    <x v="402"/>
    <s v="Games"/>
    <s v="Johns and Sons"/>
    <x v="11"/>
    <s v="Palm Wetherald"/>
    <s v="Mobile"/>
    <s v="61-0888460"/>
  </r>
  <r>
    <s v="UK"/>
    <n v="178560.1"/>
    <n v="150383.32"/>
    <x v="522"/>
    <s v="Books"/>
    <s v="O'Connell-Mitchell"/>
    <x v="4"/>
    <s v="Winny Agnolo"/>
    <s v="Mobile"/>
    <s v="25-2616039"/>
  </r>
  <r>
    <s v="Sweden"/>
    <n v="173944.47"/>
    <n v="139729.59"/>
    <x v="523"/>
    <s v="Books"/>
    <s v="Johns and Sons"/>
    <x v="0"/>
    <s v="Madelon Bront"/>
    <s v="PC"/>
    <s v="46-2962443"/>
  </r>
  <r>
    <s v="UK"/>
    <n v="176662.26"/>
    <n v="146859.34"/>
    <x v="524"/>
    <s v="Electronics"/>
    <s v="Friesen-Rath"/>
    <x v="4"/>
    <s v="Genevra Charrisson"/>
    <s v="PC"/>
    <s v="44-9908550"/>
  </r>
  <r>
    <s v="France"/>
    <n v="133754.65"/>
    <n v="106147.69"/>
    <x v="525"/>
    <s v="Games"/>
    <s v="Armstrong-Little"/>
    <x v="5"/>
    <s v="Ora Grennan"/>
    <s v="PC"/>
    <s v="52-3150154"/>
  </r>
  <r>
    <s v="Bulgaria"/>
    <n v="159294.28"/>
    <n v="130605.38"/>
    <x v="202"/>
    <s v="Clothing"/>
    <s v="Hamill, Kulas and Roob"/>
    <x v="8"/>
    <s v="Shermy McGready"/>
    <s v="PC"/>
    <s v="37-9761957"/>
  </r>
  <r>
    <s v="France"/>
    <n v="123562.02"/>
    <n v="102927.16"/>
    <x v="526"/>
    <s v="Clothing"/>
    <s v="McGlynn-Bergstrom"/>
    <x v="5"/>
    <s v="Amelina Piscopiello"/>
    <s v="PC"/>
    <s v="67-6072579"/>
  </r>
  <r>
    <s v="France"/>
    <n v="33013.08"/>
    <n v="26743.9"/>
    <x v="198"/>
    <s v="Electronics"/>
    <s v="Romaguera-Dietrich"/>
    <x v="5"/>
    <s v="Amelina Piscopiello"/>
    <s v="PC"/>
    <s v="89-0300778"/>
  </r>
  <r>
    <s v="Portugal"/>
    <n v="105340.85"/>
    <n v="87285.43"/>
    <x v="99"/>
    <s v="Books"/>
    <s v="Farrell, Swaniawski and Crist"/>
    <x v="2"/>
    <s v="Brynn Dempster"/>
    <s v="PC"/>
    <s v="80-1894360"/>
  </r>
  <r>
    <s v="Spain"/>
    <n v="127143.54"/>
    <n v="105033.28"/>
    <x v="397"/>
    <s v="Electronics"/>
    <s v="Murray, Reichel and Nolan"/>
    <x v="3"/>
    <s v="Bertha Walbrook"/>
    <s v="PC"/>
    <s v="58-2235320"/>
  </r>
  <r>
    <s v="Portugal"/>
    <n v="56570.64"/>
    <n v="46993.23"/>
    <x v="416"/>
    <s v="Books"/>
    <s v="Stamm Inc"/>
    <x v="2"/>
    <s v="Smitty Culverhouse"/>
    <s v="PC"/>
    <s v="68-9875936"/>
  </r>
  <r>
    <s v="France"/>
    <n v="75522.66"/>
    <n v="60448.34"/>
    <x v="403"/>
    <s v="Smartphones"/>
    <s v="Corwin and Sons"/>
    <x v="5"/>
    <s v="Crysta Halls"/>
    <s v="PC"/>
    <s v="75-8968627"/>
  </r>
  <r>
    <s v="Portugal"/>
    <n v="87085.71"/>
    <n v="76548.34"/>
    <x v="106"/>
    <s v="Outdoors"/>
    <s v="West-Cummings"/>
    <x v="2"/>
    <s v="Smitty Culverhouse"/>
    <s v="PC"/>
    <s v="86-9456489"/>
  </r>
  <r>
    <s v="UK"/>
    <n v="290010.78999999998"/>
    <n v="234444.72"/>
    <x v="527"/>
    <s v="Smartphones"/>
    <s v="Smith Group"/>
    <x v="4"/>
    <s v="Genevra Charrisson"/>
    <s v="PC"/>
    <s v="02-1124101"/>
  </r>
  <r>
    <s v="Luxembourg"/>
    <n v="256603.66"/>
    <n v="209799.15"/>
    <x v="528"/>
    <s v="Smartphones"/>
    <s v="O'Connell-Mitchell"/>
    <x v="9"/>
    <s v="Jocelyn Laurentino"/>
    <s v="Tablet"/>
    <s v="85-9787047"/>
  </r>
  <r>
    <s v="UK"/>
    <n v="126074.62"/>
    <n v="100027.6"/>
    <x v="529"/>
    <s v="Books"/>
    <s v="Gislason-Stanton"/>
    <x v="4"/>
    <s v="Winny Agnolo"/>
    <s v="PC"/>
    <s v="60-7663173"/>
  </r>
  <r>
    <s v="Sweden"/>
    <n v="94085.5"/>
    <n v="77498.23"/>
    <x v="257"/>
    <s v="Electronics"/>
    <s v="Zieme, Bailey and Herzog"/>
    <x v="0"/>
    <s v="Caro Morfield"/>
    <s v="PC"/>
    <s v="34-1570975"/>
  </r>
  <r>
    <s v="Portugal"/>
    <n v="159216.47"/>
    <n v="137419.74"/>
    <x v="240"/>
    <s v="Games"/>
    <s v="Johns and Sons"/>
    <x v="2"/>
    <s v="Smitty Culverhouse"/>
    <s v="PC"/>
    <s v="57-9765345"/>
  </r>
  <r>
    <s v="Portugal"/>
    <n v="74958.460000000006"/>
    <n v="65806.03"/>
    <x v="281"/>
    <s v="Electronics"/>
    <s v="Hessel-Stiedemann"/>
    <x v="2"/>
    <s v="Smitty Culverhouse"/>
    <s v="PC"/>
    <s v="31-8846200"/>
  </r>
  <r>
    <s v="Sweden"/>
    <n v="83897.88"/>
    <n v="69559.73"/>
    <x v="530"/>
    <s v="Appliances"/>
    <s v="Franecki-White"/>
    <x v="0"/>
    <s v="Anita Woakes"/>
    <s v="Mobile"/>
    <s v="48-6452102"/>
  </r>
  <r>
    <s v="Sweden"/>
    <n v="133055.04000000001"/>
    <n v="105366.29"/>
    <x v="309"/>
    <s v="Books"/>
    <s v="Hegmann Group"/>
    <x v="0"/>
    <s v="Tarrah Castelletti"/>
    <s v="PC"/>
    <s v="85-9541179"/>
  </r>
  <r>
    <s v="Sweden"/>
    <n v="94115.99"/>
    <n v="75669.259999999995"/>
    <x v="531"/>
    <s v="Appliances"/>
    <s v="Swaniawski, Runolfsson and Green"/>
    <x v="0"/>
    <s v="Tarrah Castelletti"/>
    <s v="PC"/>
    <s v="93-2085046"/>
  </r>
  <r>
    <s v="Finland"/>
    <n v="125851.79"/>
    <n v="103777.39"/>
    <x v="332"/>
    <s v="Games"/>
    <s v="Wunsch LLC"/>
    <x v="1"/>
    <s v="Mellicent Mattys"/>
    <s v="PC"/>
    <s v="03-6962760"/>
  </r>
  <r>
    <s v="Netherlands"/>
    <n v="60917.85"/>
    <n v="52736.58"/>
    <x v="470"/>
    <s v="Smartphones"/>
    <s v="Smith Group"/>
    <x v="6"/>
    <s v="Nero Harbisher"/>
    <s v="PC"/>
    <s v="15-3241183"/>
  </r>
  <r>
    <s v="France"/>
    <n v="101318.72"/>
    <n v="86657.9"/>
    <x v="532"/>
    <s v="Games"/>
    <s v="Hilll-Vandervort"/>
    <x v="5"/>
    <s v="Maighdiln Upcraft"/>
    <s v="PC"/>
    <s v="54-5705354"/>
  </r>
  <r>
    <s v="Portugal"/>
    <n v="131610.37"/>
    <n v="106406.98"/>
    <x v="413"/>
    <s v="Beauty"/>
    <s v="O'Connell-Mitchell"/>
    <x v="2"/>
    <s v="Corene Shirer"/>
    <s v="PC"/>
    <s v="29-1888759"/>
  </r>
  <r>
    <s v="France"/>
    <n v="235042.75"/>
    <n v="187446.59"/>
    <x v="527"/>
    <s v="Books"/>
    <s v="Christiansen, Donnelly and Bechtelar"/>
    <x v="5"/>
    <s v="Maighdiln Upcraft"/>
    <s v="PC"/>
    <s v="12-3815754"/>
  </r>
  <r>
    <s v="Ireland"/>
    <n v="58921.31"/>
    <n v="51715.23"/>
    <x v="294"/>
    <s v="Games"/>
    <s v="Johns and Sons"/>
    <x v="11"/>
    <s v="Bunnie Tonbridge"/>
    <s v="PC"/>
    <s v="30-4823900"/>
  </r>
  <r>
    <s v="Portugal"/>
    <n v="101846.87"/>
    <n v="88066.99"/>
    <x v="533"/>
    <s v="Clothing"/>
    <s v="Corwin and Sons"/>
    <x v="2"/>
    <s v="Aurelie Wren"/>
    <s v="PC"/>
    <s v="72-9074281"/>
  </r>
  <r>
    <s v="France"/>
    <n v="95307.21"/>
    <n v="78533.14"/>
    <x v="392"/>
    <s v="Books"/>
    <s v="Armstrong-Little"/>
    <x v="5"/>
    <s v="Amelina Piscopiello"/>
    <s v="PC"/>
    <s v="52-0213558"/>
  </r>
  <r>
    <s v="France"/>
    <n v="232217.05"/>
    <n v="191439.74"/>
    <x v="452"/>
    <s v="Beauty"/>
    <s v="Hessel-Stiedemann"/>
    <x v="5"/>
    <s v="Maighdiln Upcraft"/>
    <s v="Mobile"/>
    <s v="19-6334792"/>
  </r>
  <r>
    <s v="Portugal"/>
    <n v="75912.59"/>
    <n v="60145.55"/>
    <x v="534"/>
    <s v="Outdoors"/>
    <s v="Wisoky Inc"/>
    <x v="2"/>
    <s v="Corene Shirer"/>
    <s v="Mobile"/>
    <s v="35-4712641"/>
  </r>
  <r>
    <s v="Portugal"/>
    <n v="57367.93"/>
    <n v="46255.76"/>
    <x v="33"/>
    <s v="Clothing"/>
    <s v="Friesen-Rath"/>
    <x v="2"/>
    <s v="Aurelie Wren"/>
    <s v="Mobile"/>
    <s v="03-3542738"/>
  </r>
  <r>
    <s v="Portugal"/>
    <n v="158240.24"/>
    <n v="136561.32999999999"/>
    <x v="158"/>
    <s v="Books"/>
    <s v="Hessel-Stiedemann"/>
    <x v="2"/>
    <s v="Brynn Dempster"/>
    <s v="PC"/>
    <s v="81-9457605"/>
  </r>
  <r>
    <s v="Portugal"/>
    <n v="97291.62"/>
    <n v="76899.3"/>
    <x v="384"/>
    <s v="Clothing"/>
    <s v="Johns and Sons"/>
    <x v="2"/>
    <s v="Hortense Gerring"/>
    <s v="PC"/>
    <s v="63-0813030"/>
  </r>
  <r>
    <s v="Portugal"/>
    <n v="83904.320000000007"/>
    <n v="69011.3"/>
    <x v="87"/>
    <s v="Games"/>
    <s v="Hartmann, Hane and Pfannerstill"/>
    <x v="2"/>
    <s v="Corene Shirer"/>
    <s v="PC"/>
    <s v="00-7326184"/>
  </r>
  <r>
    <s v="UK"/>
    <n v="133696.85999999999"/>
    <n v="109310.55"/>
    <x v="440"/>
    <s v="Books"/>
    <s v="Hilll-Vandervort"/>
    <x v="4"/>
    <s v="Winny Agnolo"/>
    <s v="PC"/>
    <s v="22-0156233"/>
  </r>
  <r>
    <s v="UK"/>
    <n v="146076.81"/>
    <n v="123230.39999999999"/>
    <x v="528"/>
    <s v="Appliances"/>
    <s v="Johns and Sons"/>
    <x v="4"/>
    <s v="Genevra Charrisson"/>
    <s v="PC"/>
    <s v="94-0623186"/>
  </r>
  <r>
    <s v="France"/>
    <n v="56118.05"/>
    <n v="47711.57"/>
    <x v="423"/>
    <s v="Beauty"/>
    <s v="Altenwerth-Konopelski"/>
    <x v="5"/>
    <s v="Amelina Piscopiello"/>
    <s v="PC"/>
    <s v="08-0446109"/>
  </r>
  <r>
    <s v="France"/>
    <n v="46296.26"/>
    <n v="40319.410000000003"/>
    <x v="349"/>
    <s v="Games"/>
    <s v="Wisoky Inc"/>
    <x v="5"/>
    <s v="Amelina Piscopiello"/>
    <s v="Tablet"/>
    <s v="77-3489084"/>
  </r>
  <r>
    <s v="Belgium"/>
    <n v="118061.05"/>
    <n v="101131.1"/>
    <x v="522"/>
    <s v="Appliances"/>
    <s v="Johns and Sons"/>
    <x v="7"/>
    <s v="Collin Mackness"/>
    <s v="Mobile"/>
    <s v="59-2117058"/>
  </r>
  <r>
    <s v="Finland"/>
    <n v="74480.56"/>
    <n v="60023.88"/>
    <x v="378"/>
    <s v="Clothing"/>
    <s v="Homenick-Marvin"/>
    <x v="1"/>
    <s v="Wat Bowkley"/>
    <s v="PC"/>
    <s v="31-1849120"/>
  </r>
  <r>
    <s v="Spain"/>
    <n v="87205.01"/>
    <n v="69171.009999999995"/>
    <x v="535"/>
    <s v="Games"/>
    <s v="Johns and Sons"/>
    <x v="3"/>
    <s v="Manuel Goudie"/>
    <s v="Tablet"/>
    <s v="45-3085595"/>
  </r>
  <r>
    <s v="Portugal"/>
    <n v="107716.72"/>
    <n v="86679.64"/>
    <x v="50"/>
    <s v="Accessories"/>
    <s v="Jacobson, Marvin and Brown"/>
    <x v="2"/>
    <s v="Brynn Dempster"/>
    <s v="Mobile"/>
    <s v="61-32941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weden"/>
    <n v="17524.02"/>
    <n v="14122.61"/>
    <d v="2020-02-12T00:00:00"/>
    <s v="Books"/>
    <s v="Goldner-Dibbert"/>
    <s v="Maxie Marrow"/>
    <s v="Madelon Bront"/>
    <x v="0"/>
    <s v="70-0511466"/>
    <m/>
    <x v="0"/>
    <x v="0"/>
    <x v="0"/>
  </r>
  <r>
    <s v="Finland"/>
    <n v="116563.4"/>
    <n v="92807.78"/>
    <d v="2019-09-26T00:00:00"/>
    <s v="Games"/>
    <s v="Hilll-Vandervort"/>
    <s v="Hube Corey"/>
    <s v="Wat Bowkley"/>
    <x v="0"/>
    <s v="28-6585323"/>
    <m/>
    <x v="1"/>
    <x v="1"/>
    <x v="1"/>
  </r>
  <r>
    <s v="Portugal"/>
    <n v="296465.56"/>
    <n v="257480.34"/>
    <d v="2019-07-11T00:00:00"/>
    <s v="Clothing"/>
    <s v="Larkin-Collier"/>
    <s v="Celine Tumasian"/>
    <s v="Smitty Culverhouse"/>
    <x v="1"/>
    <s v="58-7703341"/>
    <m/>
    <x v="2"/>
    <x v="2"/>
    <x v="1"/>
  </r>
  <r>
    <s v="Portugal"/>
    <n v="74532.02"/>
    <n v="59752.32"/>
    <d v="2020-04-02T00:00:00"/>
    <s v="Beauty"/>
    <s v="Hessel-Stiedemann"/>
    <s v="Celine Tumasian"/>
    <s v="Aurelie Wren"/>
    <x v="1"/>
    <s v="14-6700183"/>
    <m/>
    <x v="3"/>
    <x v="3"/>
    <x v="0"/>
  </r>
  <r>
    <s v="Spain"/>
    <n v="178763.42"/>
    <n v="146621.76000000001"/>
    <d v="2019-12-22T00:00:00"/>
    <s v="Games"/>
    <s v="Johns and Sons"/>
    <s v="Emalia Dinse"/>
    <s v="Bertha Walbrook"/>
    <x v="2"/>
    <s v="15-8765160"/>
    <m/>
    <x v="4"/>
    <x v="4"/>
    <x v="1"/>
  </r>
  <r>
    <s v="Spain"/>
    <n v="84900.24"/>
    <n v="73701.899999999994"/>
    <d v="2020-07-14T00:00:00"/>
    <s v="Clothing"/>
    <s v="Farrell, Swaniawski and Crist"/>
    <s v="Emalia Dinse"/>
    <s v="Perri Aldersley"/>
    <x v="1"/>
    <s v="60-6998932"/>
    <m/>
    <x v="5"/>
    <x v="2"/>
    <x v="0"/>
  </r>
  <r>
    <s v="Portugal"/>
    <n v="71620.08"/>
    <n v="62245.01"/>
    <d v="2019-02-05T00:00:00"/>
    <s v="Books"/>
    <s v="Schoen-Keeling"/>
    <s v="Celine Tumasian"/>
    <s v="Smitty Culverhouse"/>
    <x v="1"/>
    <s v="69-6259390"/>
    <m/>
    <x v="6"/>
    <x v="0"/>
    <x v="1"/>
  </r>
  <r>
    <s v="UK"/>
    <n v="156585.22"/>
    <n v="126599.15"/>
    <d v="2020-08-30T00:00:00"/>
    <s v="Accessories"/>
    <s v="Hermiston, Simonis and Wisoky"/>
    <s v="Jessamine Apark"/>
    <s v="Winny Agnolo"/>
    <x v="1"/>
    <s v="64-5761908"/>
    <m/>
    <x v="7"/>
    <x v="5"/>
    <x v="0"/>
  </r>
  <r>
    <s v="Portugal"/>
    <n v="78461.13"/>
    <n v="63537.82"/>
    <d v="2020-05-10T00:00:00"/>
    <s v="Appliances"/>
    <s v="Hessel-Stiedemann"/>
    <s v="Celine Tumasian"/>
    <s v="Smitty Culverhouse"/>
    <x v="0"/>
    <s v="91-4126746"/>
    <m/>
    <x v="8"/>
    <x v="6"/>
    <x v="0"/>
  </r>
  <r>
    <s v="France"/>
    <n v="64827.8"/>
    <n v="56043.63"/>
    <d v="2019-01-20T00:00:00"/>
    <s v="Appliances"/>
    <s v="Gislason-Stanton"/>
    <s v="Othello Bowes"/>
    <s v="Maighdiln Upcraft"/>
    <x v="1"/>
    <s v="62-3312495"/>
    <m/>
    <x v="9"/>
    <x v="7"/>
    <x v="1"/>
  </r>
  <r>
    <s v="Sweden"/>
    <n v="142664.34"/>
    <n v="120808.16"/>
    <d v="2019-05-04T00:00:00"/>
    <s v="Appliances"/>
    <s v="Swaniawski, Runolfsson and Green"/>
    <s v="Maxie Marrow"/>
    <s v="Madelon Bront"/>
    <x v="1"/>
    <s v="85-6625096"/>
    <m/>
    <x v="10"/>
    <x v="6"/>
    <x v="1"/>
  </r>
  <r>
    <s v="UK"/>
    <n v="66673.19"/>
    <n v="52811.83"/>
    <d v="2019-02-23T00:00:00"/>
    <s v="Smartphones"/>
    <s v="Gislason-Stanton"/>
    <s v="Jessamine Apark"/>
    <s v="Winny Agnolo"/>
    <x v="1"/>
    <s v="25-6368157"/>
    <m/>
    <x v="6"/>
    <x v="0"/>
    <x v="1"/>
  </r>
  <r>
    <s v="Portugal"/>
    <n v="136915.60999999999"/>
    <n v="114790.05"/>
    <d v="2020-01-04T00:00:00"/>
    <s v="Outdoors"/>
    <s v="Hessel-Stiedemann"/>
    <s v="Celine Tumasian"/>
    <s v="Aurelie Wren"/>
    <x v="2"/>
    <s v="15-3943365"/>
    <m/>
    <x v="11"/>
    <x v="7"/>
    <x v="0"/>
  </r>
  <r>
    <s v="UK"/>
    <n v="164971.70000000001"/>
    <n v="132686.74"/>
    <d v="2019-07-20T00:00:00"/>
    <s v="Accessories"/>
    <s v="Wisoky Inc"/>
    <s v="Jessamine Apark"/>
    <s v="Winny Agnolo"/>
    <x v="1"/>
    <s v="32-3534634"/>
    <m/>
    <x v="2"/>
    <x v="2"/>
    <x v="1"/>
  </r>
  <r>
    <s v="UK"/>
    <n v="149486.26999999999"/>
    <n v="118662.2"/>
    <d v="2019-08-06T00:00:00"/>
    <s v="Beauty"/>
    <s v="Johns and Sons"/>
    <s v="Jessamine Apark"/>
    <s v="Genevra Charrisson"/>
    <x v="1"/>
    <s v="02-3972649"/>
    <m/>
    <x v="12"/>
    <x v="5"/>
    <x v="1"/>
  </r>
  <r>
    <s v="Sweden"/>
    <n v="54078.92"/>
    <n v="46102.28"/>
    <d v="2020-11-08T00:00:00"/>
    <s v="Books"/>
    <s v="Tillman and Sons"/>
    <s v="Maxie Marrow"/>
    <s v="Anita Woakes"/>
    <x v="1"/>
    <s v="08-7576451"/>
    <m/>
    <x v="13"/>
    <x v="8"/>
    <x v="0"/>
  </r>
  <r>
    <s v="France"/>
    <n v="107499.78"/>
    <n v="91364.06"/>
    <d v="2019-02-26T00:00:00"/>
    <s v="Smartphones"/>
    <s v="Rowe, Hermiston and Kessler"/>
    <s v="Othello Bowes"/>
    <s v="Amelina Piscopiello"/>
    <x v="1"/>
    <s v="68-3583935"/>
    <m/>
    <x v="6"/>
    <x v="0"/>
    <x v="1"/>
  </r>
  <r>
    <s v="UK"/>
    <n v="29493.79"/>
    <n v="24285.19"/>
    <d v="2019-11-22T00:00:00"/>
    <s v="Games"/>
    <s v="Tillman and Sons"/>
    <s v="Jessamine Apark"/>
    <s v="Jay Morefield"/>
    <x v="1"/>
    <s v="53-7769693"/>
    <m/>
    <x v="14"/>
    <x v="8"/>
    <x v="1"/>
  </r>
  <r>
    <s v="Portugal"/>
    <n v="147656.51999999999"/>
    <n v="124193.9"/>
    <d v="2019-06-05T00:00:00"/>
    <s v="Smartphones"/>
    <s v="Goldner-Dibbert"/>
    <s v="Celine Tumasian"/>
    <s v="Corene Shirer"/>
    <x v="1"/>
    <s v="85-4732103"/>
    <m/>
    <x v="15"/>
    <x v="9"/>
    <x v="1"/>
  </r>
  <r>
    <s v="Portugal"/>
    <n v="156839.31"/>
    <n v="134709.28"/>
    <d v="2020-05-11T00:00:00"/>
    <s v="Smartphones"/>
    <s v="Stamm Inc"/>
    <s v="Celine Tumasian"/>
    <s v="Corene Shirer"/>
    <x v="1"/>
    <s v="27-9800293"/>
    <m/>
    <x v="8"/>
    <x v="6"/>
    <x v="0"/>
  </r>
  <r>
    <s v="Spain"/>
    <n v="81412.100000000006"/>
    <n v="64747.040000000001"/>
    <d v="2019-11-06T00:00:00"/>
    <s v="Electronics"/>
    <s v="Johns and Sons"/>
    <s v="Emalia Dinse"/>
    <s v="Bertha Walbrook"/>
    <x v="1"/>
    <s v="67-3929836"/>
    <m/>
    <x v="14"/>
    <x v="8"/>
    <x v="1"/>
  </r>
  <r>
    <s v="Sweden"/>
    <n v="56717.53"/>
    <n v="45101.78"/>
    <d v="2019-03-10T00:00:00"/>
    <s v="Clothing"/>
    <s v="Johns and Sons"/>
    <s v="Maxie Marrow"/>
    <s v="Alyosha Meah"/>
    <x v="1"/>
    <s v="13-0526029"/>
    <m/>
    <x v="16"/>
    <x v="10"/>
    <x v="1"/>
  </r>
  <r>
    <s v="Netherlands"/>
    <n v="17028.189999999999"/>
    <n v="14102.75"/>
    <d v="2020-02-07T00:00:00"/>
    <s v="Clothing"/>
    <s v="Johns and Sons"/>
    <s v="Denice Amberg"/>
    <s v="Nero Harbisher"/>
    <x v="1"/>
    <s v="38-5910704"/>
    <m/>
    <x v="0"/>
    <x v="0"/>
    <x v="0"/>
  </r>
  <r>
    <s v="Finland"/>
    <n v="236462.3"/>
    <n v="205674.91"/>
    <d v="2020-12-23T00:00:00"/>
    <s v="Clothing"/>
    <s v="Hessel-Stiedemann"/>
    <s v="Hube Corey"/>
    <s v="Wat Bowkley"/>
    <x v="1"/>
    <s v="41-6407014"/>
    <m/>
    <x v="17"/>
    <x v="4"/>
    <x v="0"/>
  </r>
  <r>
    <s v="Portugal"/>
    <n v="172989.17"/>
    <n v="142975.54999999999"/>
    <d v="2020-06-10T00:00:00"/>
    <s v="Beauty"/>
    <s v="Romaguera-Dietrich"/>
    <s v="Celine Tumasian"/>
    <s v="Hortense Gerring"/>
    <x v="1"/>
    <s v="22-6745595"/>
    <m/>
    <x v="18"/>
    <x v="9"/>
    <x v="0"/>
  </r>
  <r>
    <s v="Sweden"/>
    <n v="48179.57"/>
    <n v="41405.519999999997"/>
    <d v="2020-08-14T00:00:00"/>
    <s v="Books"/>
    <s v="Franecki-White"/>
    <s v="Maxie Marrow"/>
    <s v="Anita Woakes"/>
    <x v="1"/>
    <s v="96-3022721"/>
    <m/>
    <x v="7"/>
    <x v="5"/>
    <x v="0"/>
  </r>
  <r>
    <s v="Portugal"/>
    <n v="121318.55"/>
    <n v="102890.26"/>
    <d v="2020-03-10T00:00:00"/>
    <s v="Electronics"/>
    <s v="Jacobson, Marvin and Brown"/>
    <s v="Celine Tumasian"/>
    <s v="Aurelie Wren"/>
    <x v="2"/>
    <s v="48-0713329"/>
    <m/>
    <x v="19"/>
    <x v="10"/>
    <x v="0"/>
  </r>
  <r>
    <s v="Belgium"/>
    <n v="93153.98"/>
    <n v="79702.55"/>
    <d v="2020-04-03T00:00:00"/>
    <s v="Appliances"/>
    <s v="Armstrong-Little"/>
    <s v="Lambert Norheny"/>
    <s v="Collin Mackness"/>
    <x v="0"/>
    <s v="50-0942872"/>
    <m/>
    <x v="3"/>
    <x v="3"/>
    <x v="0"/>
  </r>
  <r>
    <s v="Bulgaria"/>
    <n v="98289.32"/>
    <n v="84116"/>
    <d v="2019-02-15T00:00:00"/>
    <s v="Appliances"/>
    <s v="Murray, Reichel and Nolan"/>
    <s v="Charil Alpe"/>
    <s v="Shermy McGready"/>
    <x v="1"/>
    <s v="78-2307905"/>
    <m/>
    <x v="6"/>
    <x v="0"/>
    <x v="1"/>
  </r>
  <r>
    <s v="Luxembourg"/>
    <n v="108920.56"/>
    <n v="94270.74"/>
    <d v="2019-07-08T00:00:00"/>
    <s v="Books"/>
    <s v="Swaniawski, Runolfsson and Green"/>
    <s v="Ilsa Kob"/>
    <s v="Jocelyn Laurentino"/>
    <x v="1"/>
    <s v="63-0019978"/>
    <m/>
    <x v="2"/>
    <x v="2"/>
    <x v="1"/>
  </r>
  <r>
    <s v="Portugal"/>
    <n v="37273.839999999997"/>
    <n v="31559.759999999998"/>
    <d v="2020-01-20T00:00:00"/>
    <s v="Games"/>
    <s v="Considine-Fisher"/>
    <s v="Celine Tumasian"/>
    <s v="Aurelie Wren"/>
    <x v="2"/>
    <s v="26-9948924"/>
    <m/>
    <x v="11"/>
    <x v="7"/>
    <x v="0"/>
  </r>
  <r>
    <s v="Spain"/>
    <n v="221745.05"/>
    <n v="190767.27"/>
    <d v="2019-06-25T00:00:00"/>
    <s v="Appliances"/>
    <s v="Kirlin and Sons"/>
    <s v="Emalia Dinse"/>
    <s v="Bertha Walbrook"/>
    <x v="0"/>
    <s v="72-7630507"/>
    <m/>
    <x v="15"/>
    <x v="9"/>
    <x v="1"/>
  </r>
  <r>
    <s v="Netherlands"/>
    <n v="54566.99"/>
    <n v="43757.27"/>
    <d v="2020-03-23T00:00:00"/>
    <s v="Smartphones"/>
    <s v="Friesen-Rath"/>
    <s v="Denice Amberg"/>
    <s v="Nero Harbisher"/>
    <x v="1"/>
    <s v="36-3410564"/>
    <m/>
    <x v="19"/>
    <x v="10"/>
    <x v="0"/>
  </r>
  <r>
    <s v="Portugal"/>
    <n v="111639.29"/>
    <n v="97204.33"/>
    <d v="2019-10-28T00:00:00"/>
    <s v="Smartphones"/>
    <s v="Keeling, Monahan and Pollich"/>
    <s v="Celine Tumasian"/>
    <s v="Hortense Gerring"/>
    <x v="1"/>
    <s v="82-4653018"/>
    <m/>
    <x v="20"/>
    <x v="11"/>
    <x v="1"/>
  </r>
  <r>
    <s v="Sweden"/>
    <n v="74273.539999999994"/>
    <n v="61981.27"/>
    <d v="2020-03-28T00:00:00"/>
    <s v="Beauty"/>
    <s v="Swaniawski, Runolfsson and Green"/>
    <s v="Maxie Marrow"/>
    <s v="Caro Morfield"/>
    <x v="1"/>
    <s v="29-1001593"/>
    <m/>
    <x v="19"/>
    <x v="10"/>
    <x v="0"/>
  </r>
  <r>
    <s v="Portugal"/>
    <n v="95566.43"/>
    <n v="80342.7"/>
    <d v="2019-05-07T00:00:00"/>
    <s v="Clothing"/>
    <s v="Hessel-Stiedemann"/>
    <s v="Celine Tumasian"/>
    <s v="Hortense Gerring"/>
    <x v="1"/>
    <s v="59-5568557"/>
    <m/>
    <x v="10"/>
    <x v="6"/>
    <x v="1"/>
  </r>
  <r>
    <s v="France"/>
    <n v="28783.05"/>
    <n v="24776.45"/>
    <d v="2019-03-29T00:00:00"/>
    <s v="Clothing"/>
    <s v="Dibbert Inc"/>
    <s v="Othello Bowes"/>
    <s v="Maighdiln Upcraft"/>
    <x v="1"/>
    <s v="12-1249283"/>
    <m/>
    <x v="16"/>
    <x v="10"/>
    <x v="1"/>
  </r>
  <r>
    <s v="UK"/>
    <n v="124414.74"/>
    <n v="98959.48"/>
    <d v="2019-06-13T00:00:00"/>
    <s v="Outdoors"/>
    <s v="Labadie and Sons"/>
    <s v="Jessamine Apark"/>
    <s v="Winny Agnolo"/>
    <x v="1"/>
    <s v="96-0180648"/>
    <m/>
    <x v="15"/>
    <x v="9"/>
    <x v="1"/>
  </r>
  <r>
    <s v="Portugal"/>
    <n v="153029.72"/>
    <n v="125117.1"/>
    <d v="2020-01-28T00:00:00"/>
    <s v="Games"/>
    <s v="Friesen-Rath"/>
    <s v="Celine Tumasian"/>
    <s v="Corene Shirer"/>
    <x v="1"/>
    <s v="51-9029547"/>
    <m/>
    <x v="11"/>
    <x v="7"/>
    <x v="0"/>
  </r>
  <r>
    <s v="Sweden"/>
    <n v="174919.64"/>
    <n v="146845.04"/>
    <d v="2020-11-03T00:00:00"/>
    <s v="Clothing"/>
    <s v="Wiza and Sons"/>
    <s v="Maxie Marrow"/>
    <s v="Caro Morfield"/>
    <x v="0"/>
    <s v="84-2614836"/>
    <m/>
    <x v="13"/>
    <x v="8"/>
    <x v="0"/>
  </r>
  <r>
    <s v="France"/>
    <n v="55804.05"/>
    <n v="46401.07"/>
    <d v="2019-03-05T00:00:00"/>
    <s v="Electronics"/>
    <s v="Rowe, Hermiston and Kessler"/>
    <s v="Othello Bowes"/>
    <s v="Crysta Halls"/>
    <x v="1"/>
    <s v="57-6995715"/>
    <m/>
    <x v="16"/>
    <x v="10"/>
    <x v="1"/>
  </r>
  <r>
    <s v="France"/>
    <n v="89160.66"/>
    <n v="75367.509999999995"/>
    <d v="2019-11-18T00:00:00"/>
    <s v="Beauty"/>
    <s v="Wiza and Sons"/>
    <s v="Othello Bowes"/>
    <s v="Crysta Halls"/>
    <x v="1"/>
    <s v="27-4115444"/>
    <m/>
    <x v="14"/>
    <x v="8"/>
    <x v="1"/>
  </r>
  <r>
    <s v="UK"/>
    <n v="27987.13"/>
    <n v="24001.759999999998"/>
    <d v="2019-03-26T00:00:00"/>
    <s v="Games"/>
    <s v="Labadie and Sons"/>
    <s v="Jessamine Apark"/>
    <s v="Genevra Charrisson"/>
    <x v="1"/>
    <s v="34-3302340"/>
    <m/>
    <x v="16"/>
    <x v="10"/>
    <x v="1"/>
  </r>
  <r>
    <s v="France"/>
    <n v="18326.41"/>
    <n v="15067.97"/>
    <d v="2019-02-03T00:00:00"/>
    <s v="Games"/>
    <s v="Schmitt, Purdy and Johnson"/>
    <s v="Othello Bowes"/>
    <s v="Ora Grennan"/>
    <x v="1"/>
    <s v="25-6638623"/>
    <m/>
    <x v="6"/>
    <x v="0"/>
    <x v="1"/>
  </r>
  <r>
    <s v="Netherlands"/>
    <n v="62708.6"/>
    <n v="51414.78"/>
    <d v="2019-08-29T00:00:00"/>
    <s v="Smartphones"/>
    <s v="Hamill, Kulas and Roob"/>
    <s v="Denice Amberg"/>
    <s v="Nero Harbisher"/>
    <x v="1"/>
    <s v="11-5260310"/>
    <m/>
    <x v="12"/>
    <x v="5"/>
    <x v="1"/>
  </r>
  <r>
    <s v="UK"/>
    <n v="124668.36"/>
    <n v="103998.35"/>
    <d v="2020-11-05T00:00:00"/>
    <s v="Games"/>
    <s v="Hessel-Stiedemann"/>
    <s v="Jessamine Apark"/>
    <s v="Winny Agnolo"/>
    <x v="1"/>
    <s v="68-5024232"/>
    <m/>
    <x v="13"/>
    <x v="8"/>
    <x v="0"/>
  </r>
  <r>
    <s v="Italy"/>
    <n v="109390.57"/>
    <n v="87414"/>
    <d v="2020-11-12T00:00:00"/>
    <s v="Other"/>
    <s v="Schoen-Keeling"/>
    <s v="Piggy Roscrigg"/>
    <s v="Joshua Prevost"/>
    <x v="0"/>
    <s v="90-2530115"/>
    <m/>
    <x v="13"/>
    <x v="8"/>
    <x v="0"/>
  </r>
  <r>
    <s v="Portugal"/>
    <n v="103279.79"/>
    <n v="82334.649999999994"/>
    <d v="2020-03-12T00:00:00"/>
    <s v="Appliances"/>
    <s v="Johns and Sons"/>
    <s v="Celine Tumasian"/>
    <s v="Aurelie Wren"/>
    <x v="1"/>
    <s v="23-8271333"/>
    <m/>
    <x v="19"/>
    <x v="10"/>
    <x v="0"/>
  </r>
  <r>
    <s v="France"/>
    <n v="173478.65"/>
    <n v="139650.31"/>
    <d v="2019-01-29T00:00:00"/>
    <s v="Books"/>
    <s v="Johns and Sons"/>
    <s v="Othello Bowes"/>
    <s v="Avrit Chanders"/>
    <x v="1"/>
    <s v="99-7422044"/>
    <m/>
    <x v="9"/>
    <x v="7"/>
    <x v="1"/>
  </r>
  <r>
    <s v="Sweden"/>
    <n v="57927.54"/>
    <n v="48914.01"/>
    <d v="2019-01-18T00:00:00"/>
    <s v="Games"/>
    <s v="Fisher, Morar and Skiles"/>
    <s v="Maxie Marrow"/>
    <s v="Alyosha Meah"/>
    <x v="0"/>
    <s v="67-6692861"/>
    <m/>
    <x v="9"/>
    <x v="7"/>
    <x v="1"/>
  </r>
  <r>
    <s v="Portugal"/>
    <n v="84767.77"/>
    <n v="68950.100000000006"/>
    <d v="2020-01-18T00:00:00"/>
    <s v="Electronics"/>
    <s v="McGlynn-Bergstrom"/>
    <s v="Celine Tumasian"/>
    <s v="Smitty Culverhouse"/>
    <x v="0"/>
    <s v="20-3441688"/>
    <m/>
    <x v="11"/>
    <x v="7"/>
    <x v="0"/>
  </r>
  <r>
    <s v="France"/>
    <n v="138175.53"/>
    <n v="116744.51"/>
    <d v="2020-11-03T00:00:00"/>
    <s v="Other"/>
    <s v="Spencer, Rogahn and Muller"/>
    <s v="Othello Bowes"/>
    <s v="Ora Grennan"/>
    <x v="1"/>
    <s v="80-8230605"/>
    <m/>
    <x v="13"/>
    <x v="8"/>
    <x v="0"/>
  </r>
  <r>
    <s v="Portugal"/>
    <n v="143107.89000000001"/>
    <n v="121241"/>
    <d v="2020-11-02T00:00:00"/>
    <s v="Electronics"/>
    <s v="Kirlin and Sons"/>
    <s v="Celine Tumasian"/>
    <s v="Hortense Gerring"/>
    <x v="0"/>
    <s v="18-0704377"/>
    <m/>
    <x v="13"/>
    <x v="8"/>
    <x v="0"/>
  </r>
  <r>
    <s v="Sweden"/>
    <n v="54446.5"/>
    <n v="44989.14"/>
    <d v="2020-03-09T00:00:00"/>
    <s v="Appliances"/>
    <s v="Wunsch LLC"/>
    <s v="Maxie Marrow"/>
    <s v="Alyosha Meah"/>
    <x v="2"/>
    <s v="47-5524071"/>
    <m/>
    <x v="19"/>
    <x v="10"/>
    <x v="0"/>
  </r>
  <r>
    <s v="Portugal"/>
    <n v="136324.9"/>
    <n v="110436.8"/>
    <d v="2019-10-29T00:00:00"/>
    <s v="Electronics"/>
    <s v="Walter LLC"/>
    <s v="Celine Tumasian"/>
    <s v="Hortense Gerring"/>
    <x v="2"/>
    <s v="76-2572347"/>
    <m/>
    <x v="20"/>
    <x v="11"/>
    <x v="1"/>
  </r>
  <r>
    <s v="Portugal"/>
    <n v="43066.58"/>
    <n v="36154.39"/>
    <d v="2019-02-08T00:00:00"/>
    <s v="Games"/>
    <s v="Hamill, Kulas and Roob"/>
    <s v="Celine Tumasian"/>
    <s v="Hortense Gerring"/>
    <x v="0"/>
    <s v="74-4429133"/>
    <m/>
    <x v="6"/>
    <x v="0"/>
    <x v="1"/>
  </r>
  <r>
    <s v="France"/>
    <n v="224626.25"/>
    <n v="189988.88"/>
    <d v="2020-07-21T00:00:00"/>
    <s v="Electronics"/>
    <s v="Christiansen, Donnelly and Bechtelar"/>
    <s v="Othello Bowes"/>
    <s v="Ora Grennan"/>
    <x v="1"/>
    <s v="69-1300467"/>
    <m/>
    <x v="5"/>
    <x v="2"/>
    <x v="0"/>
  </r>
  <r>
    <s v="France"/>
    <n v="115689.22"/>
    <n v="98127.6"/>
    <d v="2019-07-15T00:00:00"/>
    <s v="Clothing"/>
    <s v="Altenwerth-Konopelski"/>
    <s v="Othello Bowes"/>
    <s v="Avrit Chanders"/>
    <x v="1"/>
    <s v="99-8643527"/>
    <m/>
    <x v="2"/>
    <x v="2"/>
    <x v="1"/>
  </r>
  <r>
    <s v="Bulgaria"/>
    <n v="78293.94"/>
    <n v="66236.67"/>
    <d v="2019-10-13T00:00:00"/>
    <s v="Appliances"/>
    <s v="Rowe, Hermiston and Kessler"/>
    <s v="Charil Alpe"/>
    <s v="Bernadine Fullagar"/>
    <x v="0"/>
    <s v="14-1143584"/>
    <m/>
    <x v="20"/>
    <x v="11"/>
    <x v="1"/>
  </r>
  <r>
    <s v="Portugal"/>
    <n v="92698.45"/>
    <n v="73454.25"/>
    <d v="2020-01-13T00:00:00"/>
    <s v="Clothing"/>
    <s v="Hessel-Stiedemann"/>
    <s v="Celine Tumasian"/>
    <s v="Corene Shirer"/>
    <x v="1"/>
    <s v="62-4331197"/>
    <m/>
    <x v="11"/>
    <x v="7"/>
    <x v="0"/>
  </r>
  <r>
    <s v="Bulgaria"/>
    <n v="83141.47"/>
    <n v="72000.509999999995"/>
    <d v="2019-03-15T00:00:00"/>
    <s v="Outdoors"/>
    <s v="Wisoky Inc"/>
    <s v="Charil Alpe"/>
    <s v="Shermy McGready"/>
    <x v="0"/>
    <s v="02-3333733"/>
    <m/>
    <x v="16"/>
    <x v="10"/>
    <x v="1"/>
  </r>
  <r>
    <s v="Portugal"/>
    <n v="38982.26"/>
    <n v="32854.25"/>
    <d v="2019-10-12T00:00:00"/>
    <s v="Clothing"/>
    <s v="Hegmann Group"/>
    <s v="Celine Tumasian"/>
    <s v="Smitty Culverhouse"/>
    <x v="0"/>
    <s v="09-3959499"/>
    <m/>
    <x v="20"/>
    <x v="11"/>
    <x v="1"/>
  </r>
  <r>
    <s v="Portugal"/>
    <n v="57120.58"/>
    <n v="49654.92"/>
    <d v="2019-11-25T00:00:00"/>
    <s v="Games"/>
    <s v="Leffler, Prohaska and Streich"/>
    <s v="Celine Tumasian"/>
    <s v="Aurelie Wren"/>
    <x v="1"/>
    <s v="55-7848276"/>
    <m/>
    <x v="14"/>
    <x v="8"/>
    <x v="1"/>
  </r>
  <r>
    <s v="Sweden"/>
    <n v="240759.07"/>
    <n v="205415.64"/>
    <d v="2020-06-14T00:00:00"/>
    <s v="Appliances"/>
    <s v="Schmitt, Purdy and Johnson"/>
    <s v="Maxie Marrow"/>
    <s v="Tarrah Castelletti"/>
    <x v="1"/>
    <s v="98-1814878"/>
    <m/>
    <x v="18"/>
    <x v="9"/>
    <x v="0"/>
  </r>
  <r>
    <s v="Sweden"/>
    <n v="53849.120000000003"/>
    <n v="47354.92"/>
    <d v="2020-04-15T00:00:00"/>
    <s v="Games"/>
    <s v="Rowe, Hermiston and Kessler"/>
    <s v="Maxie Marrow"/>
    <s v="Alyosha Meah"/>
    <x v="1"/>
    <s v="83-9569509"/>
    <m/>
    <x v="3"/>
    <x v="3"/>
    <x v="0"/>
  </r>
  <r>
    <s v="Ireland"/>
    <n v="361182.87"/>
    <n v="288368.40000000002"/>
    <d v="2019-12-02T00:00:00"/>
    <s v="Books"/>
    <s v="Smith Group"/>
    <s v="Glenine Suttaby"/>
    <s v="Bunnie Tonbridge"/>
    <x v="1"/>
    <s v="44-1953194"/>
    <m/>
    <x v="4"/>
    <x v="4"/>
    <x v="1"/>
  </r>
  <r>
    <s v="Sweden"/>
    <n v="97063.22"/>
    <n v="78067.95"/>
    <d v="2019-10-19T00:00:00"/>
    <s v="Appliances"/>
    <s v="Zieme, Bailey and Herzog"/>
    <s v="Maxie Marrow"/>
    <s v="Madelon Bront"/>
    <x v="2"/>
    <s v="50-0376562"/>
    <m/>
    <x v="20"/>
    <x v="11"/>
    <x v="1"/>
  </r>
  <r>
    <s v="Spain"/>
    <n v="39110.97"/>
    <n v="34315.97"/>
    <d v="2019-10-27T00:00:00"/>
    <s v="Clothing"/>
    <s v="Bashirian, Okuneva and Bechtelar"/>
    <s v="Emalia Dinse"/>
    <s v="Perri Aldersley"/>
    <x v="1"/>
    <s v="06-9596696"/>
    <m/>
    <x v="20"/>
    <x v="11"/>
    <x v="1"/>
  </r>
  <r>
    <s v="France"/>
    <n v="123672.7"/>
    <n v="106036.97"/>
    <d v="2020-11-13T00:00:00"/>
    <s v="Smartphones"/>
    <s v="McGlynn-Prosacco"/>
    <s v="Othello Bowes"/>
    <s v="Crysta Halls"/>
    <x v="1"/>
    <s v="46-2632808"/>
    <m/>
    <x v="13"/>
    <x v="8"/>
    <x v="0"/>
  </r>
  <r>
    <s v="France"/>
    <n v="144640.79999999999"/>
    <n v="118345.1"/>
    <d v="2019-04-11T00:00:00"/>
    <s v="Electronics"/>
    <s v="Murray, Reichel and Nolan"/>
    <s v="Othello Bowes"/>
    <s v="Avrit Chanders"/>
    <x v="1"/>
    <s v="77-7771177"/>
    <m/>
    <x v="21"/>
    <x v="3"/>
    <x v="1"/>
  </r>
  <r>
    <s v="France"/>
    <n v="268779.03000000003"/>
    <n v="233676.49"/>
    <d v="2019-12-27T00:00:00"/>
    <s v="Smartphones"/>
    <s v="O'Connell-Mitchell"/>
    <s v="Othello Bowes"/>
    <s v="Ora Grennan"/>
    <x v="0"/>
    <s v="13-0624842"/>
    <m/>
    <x v="4"/>
    <x v="4"/>
    <x v="1"/>
  </r>
  <r>
    <s v="Sweden"/>
    <n v="53593.86"/>
    <n v="45629.81"/>
    <d v="2020-07-12T00:00:00"/>
    <s v="Electronics"/>
    <s v="Friesen-Rath"/>
    <s v="Maxie Marrow"/>
    <s v="Caro Morfield"/>
    <x v="1"/>
    <s v="71-4409662"/>
    <m/>
    <x v="5"/>
    <x v="2"/>
    <x v="0"/>
  </r>
  <r>
    <s v="France"/>
    <n v="155044.01999999999"/>
    <n v="134268.12"/>
    <d v="2019-10-25T00:00:00"/>
    <s v="Beauty"/>
    <s v="West-Cummings"/>
    <s v="Othello Bowes"/>
    <s v="Amelina Piscopiello"/>
    <x v="1"/>
    <s v="46-0270404"/>
    <m/>
    <x v="20"/>
    <x v="11"/>
    <x v="1"/>
  </r>
  <r>
    <s v="Portugal"/>
    <n v="102495.13"/>
    <n v="85009.46"/>
    <d v="2020-08-08T00:00:00"/>
    <s v="Smartphones"/>
    <s v="Hermiston, Simonis and Wisoky"/>
    <s v="Celine Tumasian"/>
    <s v="Hortense Gerring"/>
    <x v="2"/>
    <s v="70-7107956"/>
    <m/>
    <x v="7"/>
    <x v="5"/>
    <x v="0"/>
  </r>
  <r>
    <s v="Portugal"/>
    <n v="294472.77"/>
    <n v="255572.92"/>
    <d v="2019-06-11T00:00:00"/>
    <s v="Smartphones"/>
    <s v="Gislason-Stanton"/>
    <s v="Celine Tumasian"/>
    <s v="Smitty Culverhouse"/>
    <x v="2"/>
    <s v="84-5310661"/>
    <m/>
    <x v="15"/>
    <x v="9"/>
    <x v="1"/>
  </r>
  <r>
    <s v="Sweden"/>
    <n v="64053.77"/>
    <n v="54733.95"/>
    <d v="2020-09-01T00:00:00"/>
    <s v="Beauty"/>
    <s v="Armstrong-Little"/>
    <s v="Maxie Marrow"/>
    <s v="Anita Woakes"/>
    <x v="1"/>
    <s v="75-6638402"/>
    <m/>
    <x v="22"/>
    <x v="1"/>
    <x v="0"/>
  </r>
  <r>
    <s v="UK"/>
    <n v="24543.72"/>
    <n v="19492.62"/>
    <d v="2019-03-22T00:00:00"/>
    <s v="Clothing"/>
    <s v="Hessel-Stiedemann"/>
    <s v="Jessamine Apark"/>
    <s v="Jay Morefield"/>
    <x v="1"/>
    <s v="53-0615558"/>
    <m/>
    <x v="16"/>
    <x v="10"/>
    <x v="1"/>
  </r>
  <r>
    <s v="Portugal"/>
    <n v="161544.06"/>
    <n v="132579.21"/>
    <d v="2019-09-12T00:00:00"/>
    <s v="Clothing"/>
    <s v="Johns and Sons"/>
    <s v="Celine Tumasian"/>
    <s v="Smitty Culverhouse"/>
    <x v="1"/>
    <s v="00-2549549"/>
    <m/>
    <x v="1"/>
    <x v="1"/>
    <x v="1"/>
  </r>
  <r>
    <s v="Portugal"/>
    <n v="50303.66"/>
    <n v="41103.120000000003"/>
    <d v="2020-01-06T00:00:00"/>
    <s v="Appliances"/>
    <s v="Christiansen, Donnelly and Bechtelar"/>
    <s v="Celine Tumasian"/>
    <s v="Smitty Culverhouse"/>
    <x v="1"/>
    <s v="23-1397222"/>
    <m/>
    <x v="11"/>
    <x v="7"/>
    <x v="0"/>
  </r>
  <r>
    <s v="Sweden"/>
    <n v="124593.04"/>
    <n v="109106.13"/>
    <d v="2020-01-11T00:00:00"/>
    <s v="Appliances"/>
    <s v="Johns and Sons"/>
    <s v="Maxie Marrow"/>
    <s v="Madelon Bront"/>
    <x v="0"/>
    <s v="00-4698524"/>
    <m/>
    <x v="11"/>
    <x v="7"/>
    <x v="0"/>
  </r>
  <r>
    <s v="Sweden"/>
    <n v="44147.92"/>
    <n v="37163.72"/>
    <d v="2020-05-18T00:00:00"/>
    <s v="Beauty"/>
    <s v="Murray, Reichel and Nolan"/>
    <s v="Maxie Marrow"/>
    <s v="Madelon Bront"/>
    <x v="1"/>
    <s v="76-3837496"/>
    <m/>
    <x v="8"/>
    <x v="6"/>
    <x v="0"/>
  </r>
  <r>
    <s v="Bulgaria"/>
    <n v="42239.66"/>
    <n v="37039.96"/>
    <d v="2019-05-17T00:00:00"/>
    <s v="Smartphones"/>
    <s v="Johns and Sons"/>
    <s v="Charil Alpe"/>
    <s v="Shermy McGready"/>
    <x v="1"/>
    <s v="61-7979087"/>
    <m/>
    <x v="10"/>
    <x v="6"/>
    <x v="1"/>
  </r>
  <r>
    <s v="Sweden"/>
    <n v="113763.38"/>
    <n v="91158.6"/>
    <d v="2020-04-01T00:00:00"/>
    <s v="Books"/>
    <s v="Christiansen, Donnelly and Bechtelar"/>
    <s v="Maxie Marrow"/>
    <s v="Madelon Bront"/>
    <x v="1"/>
    <s v="52-8377955"/>
    <m/>
    <x v="3"/>
    <x v="3"/>
    <x v="0"/>
  </r>
  <r>
    <s v="Portugal"/>
    <n v="183363.6"/>
    <n v="155033.92000000001"/>
    <d v="2019-06-24T00:00:00"/>
    <s v="Smartphones"/>
    <s v="Johns and Sons"/>
    <s v="Celine Tumasian"/>
    <s v="Hortense Gerring"/>
    <x v="1"/>
    <s v="87-6162387"/>
    <m/>
    <x v="15"/>
    <x v="9"/>
    <x v="1"/>
  </r>
  <r>
    <s v="France"/>
    <n v="85220.83"/>
    <n v="73767.149999999994"/>
    <d v="2019-09-15T00:00:00"/>
    <s v="Beauty"/>
    <s v="Shanahan, Schaden and Parker"/>
    <s v="Othello Bowes"/>
    <s v="Crysta Halls"/>
    <x v="2"/>
    <s v="11-8965256"/>
    <m/>
    <x v="1"/>
    <x v="1"/>
    <x v="1"/>
  </r>
  <r>
    <s v="Portugal"/>
    <n v="87513.27"/>
    <n v="72469.740000000005"/>
    <d v="2020-03-05T00:00:00"/>
    <s v="Books"/>
    <s v="Lubowitz, McLaughlin and Erdman"/>
    <s v="Celine Tumasian"/>
    <s v="Corene Shirer"/>
    <x v="0"/>
    <s v="16-9079414"/>
    <m/>
    <x v="19"/>
    <x v="10"/>
    <x v="0"/>
  </r>
  <r>
    <s v="Bulgaria"/>
    <n v="37073.910000000003"/>
    <n v="30274.55"/>
    <d v="2019-04-26T00:00:00"/>
    <s v="Books"/>
    <s v="Rath-Schroeder"/>
    <s v="Charil Alpe"/>
    <s v="Bernadine Fullagar"/>
    <x v="2"/>
    <s v="15-9091881"/>
    <m/>
    <x v="21"/>
    <x v="3"/>
    <x v="1"/>
  </r>
  <r>
    <s v="France"/>
    <n v="122139.94"/>
    <n v="103684.6"/>
    <d v="2019-11-02T00:00:00"/>
    <s v="Smartphones"/>
    <s v="Smith Group"/>
    <s v="Othello Bowes"/>
    <s v="Ora Grennan"/>
    <x v="1"/>
    <s v="07-3222085"/>
    <m/>
    <x v="14"/>
    <x v="8"/>
    <x v="1"/>
  </r>
  <r>
    <s v="France"/>
    <n v="107586.21"/>
    <n v="94525.24"/>
    <d v="2020-06-07T00:00:00"/>
    <s v="Electronics"/>
    <s v="Spencer, Rogahn and Muller"/>
    <s v="Othello Bowes"/>
    <s v="Amelina Piscopiello"/>
    <x v="1"/>
    <s v="20-3384992"/>
    <m/>
    <x v="18"/>
    <x v="9"/>
    <x v="0"/>
  </r>
  <r>
    <s v="UK"/>
    <n v="203958.16"/>
    <n v="176444.2"/>
    <d v="2020-12-02T00:00:00"/>
    <s v="Appliances"/>
    <s v="Larkin-Collier"/>
    <s v="Jessamine Apark"/>
    <s v="Genevra Charrisson"/>
    <x v="1"/>
    <s v="09-3404706"/>
    <m/>
    <x v="17"/>
    <x v="4"/>
    <x v="0"/>
  </r>
  <r>
    <s v="Portugal"/>
    <n v="55132.39"/>
    <n v="47121.65"/>
    <d v="2019-06-11T00:00:00"/>
    <s v="Clothing"/>
    <s v="Dickinson, Hyatt and Berge"/>
    <s v="Celine Tumasian"/>
    <s v="Hortense Gerring"/>
    <x v="1"/>
    <s v="97-8712680"/>
    <m/>
    <x v="15"/>
    <x v="9"/>
    <x v="1"/>
  </r>
  <r>
    <s v="Ireland"/>
    <n v="135424.06"/>
    <n v="116275.1"/>
    <d v="2020-01-15T00:00:00"/>
    <s v="Electronics"/>
    <s v="Hamill, Kulas and Roob"/>
    <s v="Glenine Suttaby"/>
    <s v="Palm Wetherald"/>
    <x v="1"/>
    <s v="43-4245267"/>
    <m/>
    <x v="11"/>
    <x v="7"/>
    <x v="0"/>
  </r>
  <r>
    <s v="Sweden"/>
    <n v="167123.72"/>
    <n v="132946.92000000001"/>
    <d v="2019-08-01T00:00:00"/>
    <s v="Smartphones"/>
    <s v="Hegmann Group"/>
    <s v="Maxie Marrow"/>
    <s v="Alyosha Meah"/>
    <x v="1"/>
    <s v="58-8969119"/>
    <m/>
    <x v="12"/>
    <x v="5"/>
    <x v="1"/>
  </r>
  <r>
    <s v="Germany"/>
    <n v="92868.37"/>
    <n v="79068.13"/>
    <d v="2020-03-30T00:00:00"/>
    <s v="Electronics"/>
    <s v="Fisher, Morar and Skiles"/>
    <s v="Rickard Doogood"/>
    <s v="Casie MacBain"/>
    <x v="1"/>
    <s v="88-8436664"/>
    <m/>
    <x v="19"/>
    <x v="10"/>
    <x v="0"/>
  </r>
  <r>
    <s v="Portugal"/>
    <n v="108689.45"/>
    <n v="91223.06"/>
    <d v="2019-11-09T00:00:00"/>
    <s v="Appliances"/>
    <s v="Walter LLC"/>
    <s v="Celine Tumasian"/>
    <s v="Brynn Dempster"/>
    <x v="0"/>
    <s v="35-6825112"/>
    <m/>
    <x v="14"/>
    <x v="8"/>
    <x v="1"/>
  </r>
  <r>
    <s v="Portugal"/>
    <n v="79874.42"/>
    <n v="68132.88"/>
    <d v="2020-11-14T00:00:00"/>
    <s v="Outdoors"/>
    <s v="Farrell, Swaniawski and Crist"/>
    <s v="Celine Tumasian"/>
    <s v="Smitty Culverhouse"/>
    <x v="1"/>
    <s v="24-4511396"/>
    <m/>
    <x v="13"/>
    <x v="8"/>
    <x v="0"/>
  </r>
  <r>
    <s v="Germany"/>
    <n v="153011.39000000001"/>
    <n v="131543.89000000001"/>
    <d v="2019-09-13T00:00:00"/>
    <s v="Appliances"/>
    <s v="Johns and Sons"/>
    <s v="Rickard Doogood"/>
    <s v="Casie MacBain"/>
    <x v="1"/>
    <s v="99-0564964"/>
    <m/>
    <x v="1"/>
    <x v="1"/>
    <x v="1"/>
  </r>
  <r>
    <s v="Portugal"/>
    <n v="72857.41"/>
    <n v="60442.51"/>
    <d v="2020-05-10T00:00:00"/>
    <s v="Clothing"/>
    <s v="Armstrong-Little"/>
    <s v="Celine Tumasian"/>
    <s v="Brynn Dempster"/>
    <x v="1"/>
    <s v="47-9920494"/>
    <m/>
    <x v="8"/>
    <x v="6"/>
    <x v="0"/>
  </r>
  <r>
    <s v="France"/>
    <n v="102771.44"/>
    <n v="83584.009999999995"/>
    <d v="2019-11-24T00:00:00"/>
    <s v="Accessories"/>
    <s v="McClure Inc"/>
    <s v="Othello Bowes"/>
    <s v="Maighdiln Upcraft"/>
    <x v="1"/>
    <s v="82-9352154"/>
    <m/>
    <x v="14"/>
    <x v="8"/>
    <x v="1"/>
  </r>
  <r>
    <s v="UK"/>
    <n v="90559.16"/>
    <n v="75318.05"/>
    <d v="2019-08-26T00:00:00"/>
    <s v="Outdoors"/>
    <s v="Dickinson, Hyatt and Berge"/>
    <s v="Jessamine Apark"/>
    <s v="Genevra Charrisson"/>
    <x v="1"/>
    <s v="74-6920956"/>
    <m/>
    <x v="12"/>
    <x v="5"/>
    <x v="1"/>
  </r>
  <r>
    <s v="Portugal"/>
    <n v="141796.75"/>
    <n v="112317.21"/>
    <d v="2020-09-16T00:00:00"/>
    <s v="Games"/>
    <s v="Johns and Sons"/>
    <s v="Celine Tumasian"/>
    <s v="Corene Shirer"/>
    <x v="1"/>
    <s v="16-8778373"/>
    <m/>
    <x v="22"/>
    <x v="1"/>
    <x v="0"/>
  </r>
  <r>
    <s v="Bulgaria"/>
    <n v="103874.1"/>
    <n v="82112.479999999996"/>
    <d v="2019-01-14T00:00:00"/>
    <s v="Outdoors"/>
    <s v="Johns and Sons"/>
    <s v="Charil Alpe"/>
    <s v="Shermy McGready"/>
    <x v="1"/>
    <s v="85-4014655"/>
    <m/>
    <x v="9"/>
    <x v="7"/>
    <x v="1"/>
  </r>
  <r>
    <s v="Spain"/>
    <n v="134908.19"/>
    <n v="114388.65"/>
    <d v="2020-08-18T00:00:00"/>
    <s v="Clothing"/>
    <s v="Romaguera-Dietrich"/>
    <s v="Emalia Dinse"/>
    <s v="Perri Aldersley"/>
    <x v="1"/>
    <s v="25-2355172"/>
    <m/>
    <x v="7"/>
    <x v="5"/>
    <x v="0"/>
  </r>
  <r>
    <s v="Portugal"/>
    <n v="45256.74"/>
    <n v="38975.1"/>
    <d v="2019-01-14T00:00:00"/>
    <s v="Other"/>
    <s v="Spencer, Rogahn and Muller"/>
    <s v="Celine Tumasian"/>
    <s v="Smitty Culverhouse"/>
    <x v="1"/>
    <s v="31-7667796"/>
    <m/>
    <x v="9"/>
    <x v="7"/>
    <x v="1"/>
  </r>
  <r>
    <s v="Portugal"/>
    <n v="131018.65"/>
    <n v="107920.06"/>
    <d v="2020-04-02T00:00:00"/>
    <s v="Clothing"/>
    <s v="Hane Inc"/>
    <s v="Celine Tumasian"/>
    <s v="Brynn Dempster"/>
    <x v="1"/>
    <s v="39-2536155"/>
    <m/>
    <x v="3"/>
    <x v="3"/>
    <x v="0"/>
  </r>
  <r>
    <s v="Ireland"/>
    <n v="84877.87"/>
    <n v="68454"/>
    <d v="2019-12-01T00:00:00"/>
    <s v="Electronics"/>
    <s v="Zieme, Bailey and Herzog"/>
    <s v="Glenine Suttaby"/>
    <s v="Bunnie Tonbridge"/>
    <x v="1"/>
    <s v="30-8840089"/>
    <m/>
    <x v="4"/>
    <x v="4"/>
    <x v="1"/>
  </r>
  <r>
    <s v="France"/>
    <n v="168197.78"/>
    <n v="144246.42000000001"/>
    <d v="2019-01-13T00:00:00"/>
    <s v="Smartphones"/>
    <s v="Kihn Inc"/>
    <s v="Othello Bowes"/>
    <s v="Crysta Halls"/>
    <x v="1"/>
    <s v="93-8309926"/>
    <m/>
    <x v="9"/>
    <x v="7"/>
    <x v="1"/>
  </r>
  <r>
    <s v="UK"/>
    <n v="383996.76"/>
    <n v="304701.43"/>
    <d v="2019-12-19T00:00:00"/>
    <s v="Other"/>
    <s v="Johns and Sons"/>
    <s v="Jessamine Apark"/>
    <s v="Winny Agnolo"/>
    <x v="1"/>
    <s v="42-7823733"/>
    <m/>
    <x v="4"/>
    <x v="4"/>
    <x v="1"/>
  </r>
  <r>
    <s v="France"/>
    <n v="56811.14"/>
    <n v="48221.3"/>
    <d v="2019-10-07T00:00:00"/>
    <s v="Clothing"/>
    <s v="Schowalter, Lesch and Beahan"/>
    <s v="Othello Bowes"/>
    <s v="Ora Grennan"/>
    <x v="1"/>
    <s v="03-9337803"/>
    <m/>
    <x v="20"/>
    <x v="11"/>
    <x v="1"/>
  </r>
  <r>
    <s v="Portugal"/>
    <n v="74364.460000000006"/>
    <n v="60145.98"/>
    <d v="2020-01-21T00:00:00"/>
    <s v="Clothing"/>
    <s v="Altenwerth-Konopelski"/>
    <s v="Celine Tumasian"/>
    <s v="Aurelie Wren"/>
    <x v="0"/>
    <s v="42-1879788"/>
    <m/>
    <x v="11"/>
    <x v="7"/>
    <x v="0"/>
  </r>
  <r>
    <s v="Finland"/>
    <n v="235608.66"/>
    <n v="201468.96"/>
    <d v="2020-07-27T00:00:00"/>
    <s v="Games"/>
    <s v="Hegmann Group"/>
    <s v="Hube Corey"/>
    <s v="Wat Bowkley"/>
    <x v="2"/>
    <s v="42-8394841"/>
    <m/>
    <x v="5"/>
    <x v="2"/>
    <x v="0"/>
  </r>
  <r>
    <s v="Sweden"/>
    <n v="31627.37"/>
    <n v="25662.45"/>
    <d v="2020-08-27T00:00:00"/>
    <s v="Beauty"/>
    <s v="Christiansen, Donnelly and Bechtelar"/>
    <s v="Maxie Marrow"/>
    <s v="Caro Morfield"/>
    <x v="0"/>
    <s v="84-5642889"/>
    <m/>
    <x v="7"/>
    <x v="5"/>
    <x v="0"/>
  </r>
  <r>
    <s v="Sweden"/>
    <n v="57227.99"/>
    <n v="46331.78"/>
    <d v="2019-03-28T00:00:00"/>
    <s v="Appliances"/>
    <s v="Johns and Sons"/>
    <s v="Maxie Marrow"/>
    <s v="Alyosha Meah"/>
    <x v="1"/>
    <s v="92-7234550"/>
    <m/>
    <x v="16"/>
    <x v="10"/>
    <x v="1"/>
  </r>
  <r>
    <s v="Portugal"/>
    <n v="84598.68"/>
    <n v="72391.09"/>
    <d v="2020-04-28T00:00:00"/>
    <s v="Clothing"/>
    <s v="Hamill, Kulas and Roob"/>
    <s v="Celine Tumasian"/>
    <s v="Brynn Dempster"/>
    <x v="1"/>
    <s v="98-5721101"/>
    <m/>
    <x v="3"/>
    <x v="3"/>
    <x v="0"/>
  </r>
  <r>
    <s v="Sweden"/>
    <n v="98322.98"/>
    <n v="84872.4"/>
    <d v="2020-10-09T00:00:00"/>
    <s v="Clothing"/>
    <s v="Hessel-Stiedemann"/>
    <s v="Maxie Marrow"/>
    <s v="Tarrah Castelletti"/>
    <x v="1"/>
    <s v="32-9344186"/>
    <m/>
    <x v="23"/>
    <x v="11"/>
    <x v="0"/>
  </r>
  <r>
    <s v="Netherlands"/>
    <n v="62567.58"/>
    <n v="49916.42"/>
    <d v="2019-04-21T00:00:00"/>
    <s v="Clothing"/>
    <s v="Hessel-Stiedemann"/>
    <s v="Denice Amberg"/>
    <s v="Nero Harbisher"/>
    <x v="1"/>
    <s v="40-7356336"/>
    <m/>
    <x v="21"/>
    <x v="3"/>
    <x v="1"/>
  </r>
  <r>
    <s v="Sweden"/>
    <n v="239423.57"/>
    <n v="199152.52"/>
    <d v="2019-12-08T00:00:00"/>
    <s v="Electronics"/>
    <s v="Hamill, Kulas and Roob"/>
    <s v="Maxie Marrow"/>
    <s v="Madelon Bront"/>
    <x v="0"/>
    <s v="94-1762263"/>
    <m/>
    <x v="4"/>
    <x v="4"/>
    <x v="1"/>
  </r>
  <r>
    <s v="France"/>
    <n v="68773.03"/>
    <n v="59082.91"/>
    <d v="2019-09-30T00:00:00"/>
    <s v="Games"/>
    <s v="Hessel-Stiedemann"/>
    <s v="Othello Bowes"/>
    <s v="Amelina Piscopiello"/>
    <x v="1"/>
    <s v="26-5649751"/>
    <m/>
    <x v="1"/>
    <x v="1"/>
    <x v="1"/>
  </r>
  <r>
    <s v="Germany"/>
    <n v="102918.09"/>
    <n v="87480.38"/>
    <d v="2019-10-28T00:00:00"/>
    <s v="Smartphones"/>
    <s v="Swaniawski, Runolfsson and Green"/>
    <s v="Rickard Doogood"/>
    <s v="Casie MacBain"/>
    <x v="1"/>
    <s v="88-5343320"/>
    <m/>
    <x v="20"/>
    <x v="11"/>
    <x v="1"/>
  </r>
  <r>
    <s v="UK"/>
    <n v="150313.19"/>
    <n v="118927.8"/>
    <d v="2020-01-23T00:00:00"/>
    <s v="Beauty"/>
    <s v="Johns and Sons"/>
    <s v="Jessamine Apark"/>
    <s v="Jay Morefield"/>
    <x v="1"/>
    <s v="09-6527060"/>
    <m/>
    <x v="11"/>
    <x v="7"/>
    <x v="0"/>
  </r>
  <r>
    <s v="Sweden"/>
    <n v="144072.9"/>
    <n v="123729.81"/>
    <d v="2019-07-13T00:00:00"/>
    <s v="Beauty"/>
    <s v="Fisher, Morar and Skiles"/>
    <s v="Maxie Marrow"/>
    <s v="Anita Woakes"/>
    <x v="1"/>
    <s v="85-3431441"/>
    <m/>
    <x v="2"/>
    <x v="2"/>
    <x v="1"/>
  </r>
  <r>
    <s v="Sweden"/>
    <n v="69681.429999999993"/>
    <n v="55529.13"/>
    <d v="2020-01-25T00:00:00"/>
    <s v="Clothing"/>
    <s v="Romaguera-Dietrich"/>
    <s v="Maxie Marrow"/>
    <s v="Alyosha Meah"/>
    <x v="1"/>
    <s v="78-3301264"/>
    <m/>
    <x v="11"/>
    <x v="7"/>
    <x v="0"/>
  </r>
  <r>
    <s v="Sweden"/>
    <n v="78542.59"/>
    <n v="68010.03"/>
    <d v="2019-05-26T00:00:00"/>
    <s v="Games"/>
    <s v="Kihn Inc"/>
    <s v="Maxie Marrow"/>
    <s v="Caro Morfield"/>
    <x v="1"/>
    <s v="02-9523107"/>
    <m/>
    <x v="10"/>
    <x v="6"/>
    <x v="1"/>
  </r>
  <r>
    <s v="Portugal"/>
    <n v="37582.129999999997"/>
    <n v="31967.360000000001"/>
    <d v="2020-05-07T00:00:00"/>
    <s v="Appliances"/>
    <s v="Hilll-Vandervort"/>
    <s v="Celine Tumasian"/>
    <s v="Smitty Culverhouse"/>
    <x v="0"/>
    <s v="19-9205287"/>
    <m/>
    <x v="8"/>
    <x v="6"/>
    <x v="0"/>
  </r>
  <r>
    <s v="Sweden"/>
    <n v="88329.48"/>
    <n v="73755.12"/>
    <d v="2020-08-16T00:00:00"/>
    <s v="Clothing"/>
    <s v="Corwin and Sons"/>
    <s v="Maxie Marrow"/>
    <s v="Caro Morfield"/>
    <x v="0"/>
    <s v="94-1199389"/>
    <m/>
    <x v="7"/>
    <x v="5"/>
    <x v="0"/>
  </r>
  <r>
    <s v="Portugal"/>
    <n v="249099.44"/>
    <n v="215695.2"/>
    <d v="2020-06-15T00:00:00"/>
    <s v="Other"/>
    <s v="Johns and Sons"/>
    <s v="Celine Tumasian"/>
    <s v="Corene Shirer"/>
    <x v="1"/>
    <s v="88-4621939"/>
    <m/>
    <x v="18"/>
    <x v="9"/>
    <x v="0"/>
  </r>
  <r>
    <s v="UK"/>
    <n v="28328.78"/>
    <n v="24408.080000000002"/>
    <d v="2019-02-19T00:00:00"/>
    <s v="Clothing"/>
    <s v="Dickinson, Hyatt and Berge"/>
    <s v="Jessamine Apark"/>
    <s v="Jay Morefield"/>
    <x v="1"/>
    <s v="68-9634139"/>
    <m/>
    <x v="6"/>
    <x v="0"/>
    <x v="1"/>
  </r>
  <r>
    <s v="Portugal"/>
    <n v="162246.76"/>
    <n v="142663.57999999999"/>
    <d v="2019-08-28T00:00:00"/>
    <s v="Games"/>
    <s v="Hessel-Stiedemann"/>
    <s v="Celine Tumasian"/>
    <s v="Corene Shirer"/>
    <x v="1"/>
    <s v="44-5200140"/>
    <m/>
    <x v="12"/>
    <x v="5"/>
    <x v="1"/>
  </r>
  <r>
    <s v="Germany"/>
    <n v="161217.16"/>
    <n v="135696.48000000001"/>
    <d v="2019-10-20T00:00:00"/>
    <s v="Games"/>
    <s v="Labadie and Sons"/>
    <s v="Rickard Doogood"/>
    <s v="Casie MacBain"/>
    <x v="1"/>
    <s v="98-6247105"/>
    <m/>
    <x v="20"/>
    <x v="11"/>
    <x v="1"/>
  </r>
  <r>
    <s v="France"/>
    <n v="37397.43"/>
    <n v="30837.919999999998"/>
    <d v="2020-05-17T00:00:00"/>
    <s v="Games"/>
    <s v="Hegmann Group"/>
    <s v="Othello Bowes"/>
    <s v="Avrit Chanders"/>
    <x v="1"/>
    <s v="24-6566439"/>
    <m/>
    <x v="8"/>
    <x v="6"/>
    <x v="0"/>
  </r>
  <r>
    <s v="UK"/>
    <n v="99064.31"/>
    <n v="85393.44"/>
    <d v="2020-07-10T00:00:00"/>
    <s v="Books"/>
    <s v="Johns and Sons"/>
    <s v="Jessamine Apark"/>
    <s v="Winny Agnolo"/>
    <x v="1"/>
    <s v="52-9152387"/>
    <m/>
    <x v="5"/>
    <x v="2"/>
    <x v="0"/>
  </r>
  <r>
    <s v="Sweden"/>
    <n v="15817.05"/>
    <n v="13743.44"/>
    <d v="2019-03-10T00:00:00"/>
    <s v="Clothing"/>
    <s v="Kihn Inc"/>
    <s v="Maxie Marrow"/>
    <s v="Anita Woakes"/>
    <x v="1"/>
    <s v="26-9787272"/>
    <m/>
    <x v="16"/>
    <x v="10"/>
    <x v="1"/>
  </r>
  <r>
    <s v="Portugal"/>
    <n v="38930.160000000003"/>
    <n v="32837.589999999997"/>
    <d v="2020-11-18T00:00:00"/>
    <s v="Outdoors"/>
    <s v="Spencer, Rogahn and Muller"/>
    <s v="Celine Tumasian"/>
    <s v="Brynn Dempster"/>
    <x v="1"/>
    <s v="12-2202467"/>
    <m/>
    <x v="13"/>
    <x v="8"/>
    <x v="0"/>
  </r>
  <r>
    <s v="Portugal"/>
    <n v="28859.73"/>
    <n v="23656.32"/>
    <d v="2019-01-09T00:00:00"/>
    <s v="Electronics"/>
    <s v="Larkin-Collier"/>
    <s v="Celine Tumasian"/>
    <s v="Corene Shirer"/>
    <x v="0"/>
    <s v="82-0537890"/>
    <m/>
    <x v="9"/>
    <x v="7"/>
    <x v="1"/>
  </r>
  <r>
    <s v="France"/>
    <n v="54079.040000000001"/>
    <n v="45031.62"/>
    <d v="2020-05-29T00:00:00"/>
    <s v="Games"/>
    <s v="Lueilwitz, Kerluke and Lesch"/>
    <s v="Othello Bowes"/>
    <s v="Avrit Chanders"/>
    <x v="1"/>
    <s v="15-6838362"/>
    <m/>
    <x v="8"/>
    <x v="6"/>
    <x v="0"/>
  </r>
  <r>
    <s v="Sweden"/>
    <n v="70596.7"/>
    <n v="60564.91"/>
    <d v="2020-02-09T00:00:00"/>
    <s v="Electronics"/>
    <s v="Hilll-Vandervort"/>
    <s v="Maxie Marrow"/>
    <s v="Alyosha Meah"/>
    <x v="1"/>
    <s v="51-0685379"/>
    <m/>
    <x v="0"/>
    <x v="0"/>
    <x v="0"/>
  </r>
  <r>
    <s v="UK"/>
    <n v="169629.55"/>
    <n v="135347.42000000001"/>
    <d v="2019-10-23T00:00:00"/>
    <s v="Outdoors"/>
    <s v="Johns and Sons"/>
    <s v="Jessamine Apark"/>
    <s v="Jay Morefield"/>
    <x v="1"/>
    <s v="76-5919033"/>
    <m/>
    <x v="20"/>
    <x v="11"/>
    <x v="1"/>
  </r>
  <r>
    <s v="Portugal"/>
    <n v="95387.89"/>
    <n v="76195.850000000006"/>
    <d v="2020-05-08T00:00:00"/>
    <s v="Books"/>
    <s v="Gislason-Stanton"/>
    <s v="Celine Tumasian"/>
    <s v="Aurelie Wren"/>
    <x v="1"/>
    <s v="34-7627348"/>
    <m/>
    <x v="8"/>
    <x v="6"/>
    <x v="0"/>
  </r>
  <r>
    <s v="France"/>
    <n v="50585.98"/>
    <n v="40999.94"/>
    <d v="2020-08-29T00:00:00"/>
    <s v="Beauty"/>
    <s v="Bashirian, Okuneva and Bechtelar"/>
    <s v="Othello Bowes"/>
    <s v="Maighdiln Upcraft"/>
    <x v="2"/>
    <s v="32-1940437"/>
    <m/>
    <x v="7"/>
    <x v="5"/>
    <x v="0"/>
  </r>
  <r>
    <s v="Sweden"/>
    <n v="103726.57"/>
    <n v="90231.74"/>
    <d v="2020-05-21T00:00:00"/>
    <s v="Clothing"/>
    <s v="Dibbert Inc"/>
    <s v="Maxie Marrow"/>
    <s v="Caro Morfield"/>
    <x v="0"/>
    <s v="25-9913528"/>
    <m/>
    <x v="8"/>
    <x v="6"/>
    <x v="0"/>
  </r>
  <r>
    <s v="UK"/>
    <n v="222700.23"/>
    <n v="194951.78"/>
    <d v="2020-12-12T00:00:00"/>
    <s v="Appliances"/>
    <s v="Johns and Sons"/>
    <s v="Jessamine Apark"/>
    <s v="Genevra Charrisson"/>
    <x v="0"/>
    <s v="73-3464233"/>
    <m/>
    <x v="17"/>
    <x v="4"/>
    <x v="0"/>
  </r>
  <r>
    <s v="Portugal"/>
    <n v="143322.47"/>
    <n v="114213.68"/>
    <d v="2020-05-19T00:00:00"/>
    <s v="Books"/>
    <s v="Johns and Sons"/>
    <s v="Celine Tumasian"/>
    <s v="Corene Shirer"/>
    <x v="1"/>
    <s v="04-2863062"/>
    <m/>
    <x v="8"/>
    <x v="6"/>
    <x v="0"/>
  </r>
  <r>
    <s v="UK"/>
    <n v="128227.36"/>
    <n v="106710.81"/>
    <d v="2019-06-01T00:00:00"/>
    <s v="Accessories"/>
    <s v="Murray, Reichel and Nolan"/>
    <s v="Jessamine Apark"/>
    <s v="Jay Morefield"/>
    <x v="1"/>
    <s v="18-7077174"/>
    <m/>
    <x v="15"/>
    <x v="9"/>
    <x v="1"/>
  </r>
  <r>
    <s v="Sweden"/>
    <n v="127939.8"/>
    <n v="112267.17"/>
    <d v="2019-12-09T00:00:00"/>
    <s v="Clothing"/>
    <s v="Gislason-Stanton"/>
    <s v="Maxie Marrow"/>
    <s v="Alyosha Meah"/>
    <x v="1"/>
    <s v="64-8300193"/>
    <m/>
    <x v="4"/>
    <x v="4"/>
    <x v="1"/>
  </r>
  <r>
    <s v="Sweden"/>
    <n v="146540.75"/>
    <n v="120822.85"/>
    <d v="2019-04-30T00:00:00"/>
    <s v="Smartphones"/>
    <s v="Swaniawski, Runolfsson and Green"/>
    <s v="Maxie Marrow"/>
    <s v="Anita Woakes"/>
    <x v="1"/>
    <s v="84-2858993"/>
    <m/>
    <x v="21"/>
    <x v="3"/>
    <x v="1"/>
  </r>
  <r>
    <s v="Portugal"/>
    <n v="36321.68"/>
    <n v="31581.7"/>
    <d v="2020-10-29T00:00:00"/>
    <s v="Books"/>
    <s v="Kirlin and Sons"/>
    <s v="Celine Tumasian"/>
    <s v="Smitty Culverhouse"/>
    <x v="1"/>
    <s v="72-2647440"/>
    <m/>
    <x v="23"/>
    <x v="11"/>
    <x v="0"/>
  </r>
  <r>
    <s v="Spain"/>
    <n v="42814.57"/>
    <n v="35356.269999999997"/>
    <d v="2019-02-01T00:00:00"/>
    <s v="Beauty"/>
    <s v="Wiza and Sons"/>
    <s v="Emalia Dinse"/>
    <s v="Perri Aldersley"/>
    <x v="1"/>
    <s v="68-1806238"/>
    <m/>
    <x v="6"/>
    <x v="0"/>
    <x v="1"/>
  </r>
  <r>
    <s v="UK"/>
    <n v="169262.2"/>
    <n v="141080.04"/>
    <d v="2020-04-26T00:00:00"/>
    <s v="Beauty"/>
    <s v="Considine-Fisher"/>
    <s v="Jessamine Apark"/>
    <s v="Winny Agnolo"/>
    <x v="1"/>
    <s v="87-0922827"/>
    <m/>
    <x v="3"/>
    <x v="3"/>
    <x v="0"/>
  </r>
  <r>
    <s v="Sweden"/>
    <n v="114427.36"/>
    <n v="93727.45"/>
    <d v="2020-03-11T00:00:00"/>
    <s v="Other"/>
    <s v="Tillman and Sons"/>
    <s v="Maxie Marrow"/>
    <s v="Madelon Bront"/>
    <x v="1"/>
    <s v="33-8547717"/>
    <m/>
    <x v="19"/>
    <x v="10"/>
    <x v="0"/>
  </r>
  <r>
    <s v="UK"/>
    <n v="126979.62"/>
    <n v="105113.73"/>
    <d v="2019-09-26T00:00:00"/>
    <s v="Electronics"/>
    <s v="Dibbert Inc"/>
    <s v="Jessamine Apark"/>
    <s v="Genevra Charrisson"/>
    <x v="1"/>
    <s v="15-5051694"/>
    <m/>
    <x v="1"/>
    <x v="1"/>
    <x v="1"/>
  </r>
  <r>
    <s v="Luxembourg"/>
    <n v="294874.74"/>
    <n v="259106.43"/>
    <d v="2020-12-15T00:00:00"/>
    <s v="Books"/>
    <s v="Morissette Group"/>
    <s v="Ilsa Kob"/>
    <s v="Jocelyn Laurentino"/>
    <x v="1"/>
    <s v="37-2363680"/>
    <m/>
    <x v="17"/>
    <x v="4"/>
    <x v="0"/>
  </r>
  <r>
    <s v="UK"/>
    <n v="173258.94"/>
    <n v="143198.51"/>
    <d v="2019-05-24T00:00:00"/>
    <s v="Clothing"/>
    <s v="Johns and Sons"/>
    <s v="Jessamine Apark"/>
    <s v="Jay Morefield"/>
    <x v="1"/>
    <s v="92-4106004"/>
    <m/>
    <x v="10"/>
    <x v="6"/>
    <x v="1"/>
  </r>
  <r>
    <s v="Luxembourg"/>
    <n v="158362.32999999999"/>
    <n v="133990.37"/>
    <d v="2020-08-14T00:00:00"/>
    <s v="Books"/>
    <s v="Hessel-Stiedemann"/>
    <s v="Ilsa Kob"/>
    <s v="Jocelyn Laurentino"/>
    <x v="1"/>
    <s v="39-1671087"/>
    <m/>
    <x v="7"/>
    <x v="5"/>
    <x v="0"/>
  </r>
  <r>
    <s v="UK"/>
    <n v="50689.19"/>
    <n v="43597.77"/>
    <d v="2020-11-18T00:00:00"/>
    <s v="Clothing"/>
    <s v="Swaniawski, Runolfsson and Green"/>
    <s v="Jessamine Apark"/>
    <s v="Jay Morefield"/>
    <x v="1"/>
    <s v="77-9240051"/>
    <m/>
    <x v="13"/>
    <x v="8"/>
    <x v="0"/>
  </r>
  <r>
    <s v="Ireland"/>
    <n v="117358.02"/>
    <n v="102664.8"/>
    <d v="2020-11-02T00:00:00"/>
    <s v="Clothing"/>
    <s v="Goldner-Dibbert"/>
    <s v="Glenine Suttaby"/>
    <s v="Palm Wetherald"/>
    <x v="1"/>
    <s v="79-8966057"/>
    <m/>
    <x v="13"/>
    <x v="8"/>
    <x v="0"/>
  </r>
  <r>
    <s v="Sweden"/>
    <n v="93996.68"/>
    <n v="77171.27"/>
    <d v="2020-10-10T00:00:00"/>
    <s v="Games"/>
    <s v="Swaniawski, Runolfsson and Green"/>
    <s v="Maxie Marrow"/>
    <s v="Alyosha Meah"/>
    <x v="0"/>
    <s v="75-0683725"/>
    <m/>
    <x v="23"/>
    <x v="11"/>
    <x v="0"/>
  </r>
  <r>
    <s v="UK"/>
    <n v="119769.22"/>
    <n v="98234.71"/>
    <d v="2020-01-11T00:00:00"/>
    <s v="Books"/>
    <s v="Bashirian, Okuneva and Bechtelar"/>
    <s v="Jessamine Apark"/>
    <s v="Jay Morefield"/>
    <x v="1"/>
    <s v="55-5032186"/>
    <m/>
    <x v="11"/>
    <x v="7"/>
    <x v="0"/>
  </r>
  <r>
    <s v="France"/>
    <n v="84194.21"/>
    <n v="71885.02"/>
    <d v="2020-12-26T00:00:00"/>
    <s v="Books"/>
    <s v="Zieme, Bailey and Herzog"/>
    <s v="Othello Bowes"/>
    <s v="Avrit Chanders"/>
    <x v="0"/>
    <s v="31-8836719"/>
    <m/>
    <x v="17"/>
    <x v="4"/>
    <x v="0"/>
  </r>
  <r>
    <s v="Finland"/>
    <n v="205582.75"/>
    <n v="166748.17000000001"/>
    <d v="2020-12-22T00:00:00"/>
    <s v="Beauty"/>
    <s v="Tromp LLC"/>
    <s v="Hube Corey"/>
    <s v="Wat Bowkley"/>
    <x v="1"/>
    <s v="64-4923214"/>
    <m/>
    <x v="17"/>
    <x v="4"/>
    <x v="0"/>
  </r>
  <r>
    <s v="Sweden"/>
    <n v="159793.46"/>
    <n v="139180.1"/>
    <d v="2019-06-15T00:00:00"/>
    <s v="Smartphones"/>
    <s v="Swaniawski, Runolfsson and Green"/>
    <s v="Maxie Marrow"/>
    <s v="Alyosha Meah"/>
    <x v="2"/>
    <s v="98-2574776"/>
    <m/>
    <x v="15"/>
    <x v="9"/>
    <x v="1"/>
  </r>
  <r>
    <s v="Portugal"/>
    <n v="104711.22"/>
    <n v="90868.4"/>
    <d v="2020-08-25T00:00:00"/>
    <s v="Clothing"/>
    <s v="Marquardt-Kuvalis"/>
    <s v="Celine Tumasian"/>
    <s v="Corene Shirer"/>
    <x v="1"/>
    <s v="33-0729966"/>
    <m/>
    <x v="7"/>
    <x v="5"/>
    <x v="0"/>
  </r>
  <r>
    <s v="France"/>
    <n v="69126.5"/>
    <n v="55902.6"/>
    <d v="2019-12-08T00:00:00"/>
    <s v="Electronics"/>
    <s v="Farrell, Swaniawski and Crist"/>
    <s v="Othello Bowes"/>
    <s v="Avrit Chanders"/>
    <x v="1"/>
    <s v="07-3201531"/>
    <m/>
    <x v="4"/>
    <x v="4"/>
    <x v="1"/>
  </r>
  <r>
    <s v="Sweden"/>
    <n v="20226.11"/>
    <n v="17408.61"/>
    <d v="2019-02-23T00:00:00"/>
    <s v="Electronics"/>
    <s v="Larkin-Collier"/>
    <s v="Maxie Marrow"/>
    <s v="Caro Morfield"/>
    <x v="1"/>
    <s v="21-3278349"/>
    <m/>
    <x v="6"/>
    <x v="0"/>
    <x v="1"/>
  </r>
  <r>
    <s v="France"/>
    <n v="65036.81"/>
    <n v="52361.14"/>
    <d v="2019-05-30T00:00:00"/>
    <s v="Other"/>
    <s v="Considine-Fisher"/>
    <s v="Othello Bowes"/>
    <s v="Amelina Piscopiello"/>
    <x v="1"/>
    <s v="50-1695443"/>
    <m/>
    <x v="10"/>
    <x v="6"/>
    <x v="1"/>
  </r>
  <r>
    <s v="France"/>
    <n v="254021.98"/>
    <n v="205605.39"/>
    <d v="2019-07-03T00:00:00"/>
    <s v="Clothing"/>
    <s v="McGlynn-Prosacco"/>
    <s v="Othello Bowes"/>
    <s v="Maighdiln Upcraft"/>
    <x v="1"/>
    <s v="52-3693331"/>
    <m/>
    <x v="2"/>
    <x v="2"/>
    <x v="1"/>
  </r>
  <r>
    <s v="Luxembourg"/>
    <n v="160185.99"/>
    <n v="130487.51"/>
    <d v="2020-09-27T00:00:00"/>
    <s v="Accessories"/>
    <s v="Zieme, Bailey and Herzog"/>
    <s v="Ilsa Kob"/>
    <s v="Jocelyn Laurentino"/>
    <x v="1"/>
    <s v="98-3033030"/>
    <m/>
    <x v="22"/>
    <x v="1"/>
    <x v="0"/>
  </r>
  <r>
    <s v="UK"/>
    <n v="81219.67"/>
    <n v="70319.990000000005"/>
    <d v="2020-05-20T00:00:00"/>
    <s v="Clothing"/>
    <s v="Hessel-Stiedemann"/>
    <s v="Jessamine Apark"/>
    <s v="Genevra Charrisson"/>
    <x v="1"/>
    <s v="34-5793997"/>
    <m/>
    <x v="8"/>
    <x v="6"/>
    <x v="0"/>
  </r>
  <r>
    <s v="Portugal"/>
    <n v="108412.76"/>
    <n v="88594.91"/>
    <d v="2019-08-03T00:00:00"/>
    <s v="Smartphones"/>
    <s v="Romaguera-Haley"/>
    <s v="Celine Tumasian"/>
    <s v="Corene Shirer"/>
    <x v="0"/>
    <s v="52-7280101"/>
    <m/>
    <x v="12"/>
    <x v="5"/>
    <x v="1"/>
  </r>
  <r>
    <s v="Spain"/>
    <n v="42028.45"/>
    <n v="36299.97"/>
    <d v="2020-03-01T00:00:00"/>
    <s v="Other"/>
    <s v="Hessel-Stiedemann"/>
    <s v="Emalia Dinse"/>
    <s v="Perri Aldersley"/>
    <x v="1"/>
    <s v="55-3118263"/>
    <m/>
    <x v="19"/>
    <x v="10"/>
    <x v="0"/>
  </r>
  <r>
    <s v="Sweden"/>
    <n v="62272.959999999999"/>
    <n v="54600.93"/>
    <d v="2019-02-20T00:00:00"/>
    <s v="Beauty"/>
    <s v="Romaguera-Haley"/>
    <s v="Maxie Marrow"/>
    <s v="Caro Morfield"/>
    <x v="1"/>
    <s v="58-9822844"/>
    <m/>
    <x v="6"/>
    <x v="0"/>
    <x v="1"/>
  </r>
  <r>
    <s v="Sweden"/>
    <n v="91350.76"/>
    <n v="75839.399999999994"/>
    <d v="2019-02-04T00:00:00"/>
    <s v="Games"/>
    <s v="Tillman and Sons"/>
    <s v="Maxie Marrow"/>
    <s v="Alyosha Meah"/>
    <x v="1"/>
    <s v="51-5324396"/>
    <m/>
    <x v="6"/>
    <x v="0"/>
    <x v="1"/>
  </r>
  <r>
    <s v="UK"/>
    <n v="123272.44"/>
    <n v="101576.49"/>
    <d v="2019-01-20T00:00:00"/>
    <s v="Clothing"/>
    <s v="Christiansen, Donnelly and Bechtelar"/>
    <s v="Jessamine Apark"/>
    <s v="Genevra Charrisson"/>
    <x v="2"/>
    <s v="99-5465830"/>
    <m/>
    <x v="9"/>
    <x v="7"/>
    <x v="1"/>
  </r>
  <r>
    <s v="Luxembourg"/>
    <n v="182852.21"/>
    <n v="145440.65"/>
    <d v="2019-12-28T00:00:00"/>
    <s v="Outdoors"/>
    <s v="Johns and Sons"/>
    <s v="Ilsa Kob"/>
    <s v="Jocelyn Laurentino"/>
    <x v="1"/>
    <s v="01-8696189"/>
    <m/>
    <x v="4"/>
    <x v="4"/>
    <x v="1"/>
  </r>
  <r>
    <s v="Portugal"/>
    <n v="118321.11"/>
    <n v="94822.54"/>
    <d v="2020-11-23T00:00:00"/>
    <s v="Electronics"/>
    <s v="Tillman and Sons"/>
    <s v="Celine Tumasian"/>
    <s v="Aurelie Wren"/>
    <x v="2"/>
    <s v="20-7636879"/>
    <m/>
    <x v="13"/>
    <x v="8"/>
    <x v="0"/>
  </r>
  <r>
    <s v="UK"/>
    <n v="74295.81"/>
    <n v="63716.09"/>
    <d v="2019-04-11T00:00:00"/>
    <s v="Games"/>
    <s v="Keeling, Monahan and Pollich"/>
    <s v="Jessamine Apark"/>
    <s v="Genevra Charrisson"/>
    <x v="1"/>
    <s v="85-8092784"/>
    <m/>
    <x v="21"/>
    <x v="3"/>
    <x v="1"/>
  </r>
  <r>
    <s v="UK"/>
    <n v="152865.34"/>
    <n v="121130.5"/>
    <d v="2020-12-06T00:00:00"/>
    <s v="Clothing"/>
    <s v="Konopelski LLC"/>
    <s v="Jessamine Apark"/>
    <s v="Genevra Charrisson"/>
    <x v="1"/>
    <s v="97-5905883"/>
    <m/>
    <x v="17"/>
    <x v="4"/>
    <x v="0"/>
  </r>
  <r>
    <s v="France"/>
    <n v="171458.64"/>
    <n v="148877.54"/>
    <d v="2019-08-16T00:00:00"/>
    <s v="Books"/>
    <s v="McGlynn-Bergstrom"/>
    <s v="Othello Bowes"/>
    <s v="Crysta Halls"/>
    <x v="1"/>
    <s v="74-6473826"/>
    <m/>
    <x v="12"/>
    <x v="5"/>
    <x v="1"/>
  </r>
  <r>
    <s v="UK"/>
    <n v="156177.76999999999"/>
    <n v="130096.08"/>
    <d v="2019-12-24T00:00:00"/>
    <s v="Clothing"/>
    <s v="Johns and Sons"/>
    <s v="Jessamine Apark"/>
    <s v="Winny Agnolo"/>
    <x v="1"/>
    <s v="91-0416047"/>
    <m/>
    <x v="4"/>
    <x v="4"/>
    <x v="1"/>
  </r>
  <r>
    <s v="Portugal"/>
    <n v="116023.51"/>
    <n v="96566.37"/>
    <d v="2020-06-02T00:00:00"/>
    <s v="Smartphones"/>
    <s v="Tillman and Sons"/>
    <s v="Celine Tumasian"/>
    <s v="Smitty Culverhouse"/>
    <x v="1"/>
    <s v="34-0232219"/>
    <m/>
    <x v="18"/>
    <x v="9"/>
    <x v="0"/>
  </r>
  <r>
    <s v="France"/>
    <n v="70657.259999999995"/>
    <n v="61330.5"/>
    <d v="2020-09-05T00:00:00"/>
    <s v="Other"/>
    <s v="Rowe, Hermiston and Kessler"/>
    <s v="Othello Bowes"/>
    <s v="Maighdiln Upcraft"/>
    <x v="1"/>
    <s v="34-0783331"/>
    <m/>
    <x v="22"/>
    <x v="1"/>
    <x v="0"/>
  </r>
  <r>
    <s v="Netherlands"/>
    <n v="104152.15"/>
    <n v="85696.39"/>
    <d v="2019-05-06T00:00:00"/>
    <s v="Smartphones"/>
    <s v="Swaniawski, Runolfsson and Green"/>
    <s v="Denice Amberg"/>
    <s v="Nero Harbisher"/>
    <x v="0"/>
    <s v="30-8215510"/>
    <m/>
    <x v="10"/>
    <x v="6"/>
    <x v="1"/>
  </r>
  <r>
    <s v="Portugal"/>
    <n v="84224.98"/>
    <n v="68239.08"/>
    <d v="2019-01-21T00:00:00"/>
    <s v="Appliances"/>
    <s v="Hessel-Stiedemann"/>
    <s v="Celine Tumasian"/>
    <s v="Aurelie Wren"/>
    <x v="0"/>
    <s v="95-3196761"/>
    <m/>
    <x v="9"/>
    <x v="7"/>
    <x v="1"/>
  </r>
  <r>
    <s v="Portugal"/>
    <n v="172505.24"/>
    <n v="139125.48000000001"/>
    <d v="2020-10-02T00:00:00"/>
    <s v="Accessories"/>
    <s v="Romaguera-Haley"/>
    <s v="Celine Tumasian"/>
    <s v="Brynn Dempster"/>
    <x v="1"/>
    <s v="99-3651863"/>
    <m/>
    <x v="23"/>
    <x v="11"/>
    <x v="0"/>
  </r>
  <r>
    <s v="Portugal"/>
    <n v="89830.34"/>
    <n v="76795.960000000006"/>
    <d v="2019-04-19T00:00:00"/>
    <s v="Games"/>
    <s v="Johns and Sons"/>
    <s v="Celine Tumasian"/>
    <s v="Aurelie Wren"/>
    <x v="2"/>
    <s v="94-8641337"/>
    <m/>
    <x v="21"/>
    <x v="3"/>
    <x v="1"/>
  </r>
  <r>
    <s v="Netherlands"/>
    <n v="353925.06"/>
    <n v="287528.71999999997"/>
    <d v="2020-12-04T00:00:00"/>
    <s v="Clothing"/>
    <s v="Corwin and Sons"/>
    <s v="Denice Amberg"/>
    <s v="Nero Harbisher"/>
    <x v="1"/>
    <s v="36-2694099"/>
    <m/>
    <x v="17"/>
    <x v="4"/>
    <x v="0"/>
  </r>
  <r>
    <s v="France"/>
    <n v="141436.98000000001"/>
    <n v="114691.25"/>
    <d v="2019-05-26T00:00:00"/>
    <s v="Outdoors"/>
    <s v="Walter LLC"/>
    <s v="Othello Bowes"/>
    <s v="Maighdiln Upcraft"/>
    <x v="1"/>
    <s v="40-5308505"/>
    <m/>
    <x v="10"/>
    <x v="6"/>
    <x v="1"/>
  </r>
  <r>
    <s v="UK"/>
    <n v="178465.4"/>
    <n v="156282.15"/>
    <d v="2020-04-27T00:00:00"/>
    <s v="Accessories"/>
    <s v="Romaguera-Haley"/>
    <s v="Jessamine Apark"/>
    <s v="Winny Agnolo"/>
    <x v="1"/>
    <s v="68-8279682"/>
    <m/>
    <x v="3"/>
    <x v="3"/>
    <x v="0"/>
  </r>
  <r>
    <s v="Sweden"/>
    <n v="110092.84"/>
    <n v="92797.25"/>
    <d v="2020-06-29T00:00:00"/>
    <s v="Other"/>
    <s v="Rowe, Hermiston and Kessler"/>
    <s v="Maxie Marrow"/>
    <s v="Anita Woakes"/>
    <x v="2"/>
    <s v="50-2481520"/>
    <m/>
    <x v="18"/>
    <x v="9"/>
    <x v="0"/>
  </r>
  <r>
    <s v="UK"/>
    <n v="154715.49"/>
    <n v="126572.74"/>
    <d v="2020-10-23T00:00:00"/>
    <s v="Electronics"/>
    <s v="Smith Group"/>
    <s v="Jessamine Apark"/>
    <s v="Genevra Charrisson"/>
    <x v="1"/>
    <s v="46-1054213"/>
    <m/>
    <x v="23"/>
    <x v="11"/>
    <x v="0"/>
  </r>
  <r>
    <s v="Sweden"/>
    <n v="92877.57"/>
    <n v="75936.7"/>
    <d v="2020-04-05T00:00:00"/>
    <s v="Electronics"/>
    <s v="Wisoky Inc"/>
    <s v="Maxie Marrow"/>
    <s v="Madelon Bront"/>
    <x v="0"/>
    <s v="40-9497268"/>
    <m/>
    <x v="3"/>
    <x v="3"/>
    <x v="0"/>
  </r>
  <r>
    <s v="France"/>
    <n v="66141.13"/>
    <n v="53435.42"/>
    <d v="2019-05-26T00:00:00"/>
    <s v="Clothing"/>
    <s v="Stehr LLC"/>
    <s v="Othello Bowes"/>
    <s v="Ora Grennan"/>
    <x v="1"/>
    <s v="54-5107115"/>
    <m/>
    <x v="10"/>
    <x v="6"/>
    <x v="1"/>
  </r>
  <r>
    <s v="Germany"/>
    <n v="241782.39"/>
    <n v="196544.91"/>
    <d v="2020-06-09T00:00:00"/>
    <s v="Appliances"/>
    <s v="Johns and Sons"/>
    <s v="Rickard Doogood"/>
    <s v="Casie MacBain"/>
    <x v="1"/>
    <s v="15-7053450"/>
    <m/>
    <x v="18"/>
    <x v="9"/>
    <x v="0"/>
  </r>
  <r>
    <s v="Portugal"/>
    <n v="211872.69"/>
    <n v="177930.69"/>
    <d v="2019-07-23T00:00:00"/>
    <s v="Games"/>
    <s v="Johns and Sons"/>
    <s v="Celine Tumasian"/>
    <s v="Hortense Gerring"/>
    <x v="0"/>
    <s v="36-2012010"/>
    <m/>
    <x v="2"/>
    <x v="2"/>
    <x v="1"/>
  </r>
  <r>
    <s v="Portugal"/>
    <n v="170408.23"/>
    <n v="143432.60999999999"/>
    <d v="2020-11-03T00:00:00"/>
    <s v="Clothing"/>
    <s v="Romaguera-Haley"/>
    <s v="Celine Tumasian"/>
    <s v="Aurelie Wren"/>
    <x v="0"/>
    <s v="61-7521706"/>
    <m/>
    <x v="13"/>
    <x v="8"/>
    <x v="0"/>
  </r>
  <r>
    <s v="Sweden"/>
    <n v="157683.41"/>
    <n v="130624.94"/>
    <d v="2019-06-08T00:00:00"/>
    <s v="Electronics"/>
    <s v="Hegmann Group"/>
    <s v="Maxie Marrow"/>
    <s v="Alyosha Meah"/>
    <x v="2"/>
    <s v="17-0893784"/>
    <m/>
    <x v="15"/>
    <x v="9"/>
    <x v="1"/>
  </r>
  <r>
    <s v="Portugal"/>
    <n v="116157.89"/>
    <n v="97166.07"/>
    <d v="2019-11-14T00:00:00"/>
    <s v="Games"/>
    <s v="Parisian, Steuber and Satterfield"/>
    <s v="Celine Tumasian"/>
    <s v="Hortense Gerring"/>
    <x v="1"/>
    <s v="23-5766200"/>
    <m/>
    <x v="14"/>
    <x v="8"/>
    <x v="1"/>
  </r>
  <r>
    <s v="France"/>
    <n v="56106.13"/>
    <n v="45081.27"/>
    <d v="2020-03-12T00:00:00"/>
    <s v="Electronics"/>
    <s v="Rowe, Hermiston and Kessler"/>
    <s v="Othello Bowes"/>
    <s v="Amelina Piscopiello"/>
    <x v="1"/>
    <s v="24-3140242"/>
    <m/>
    <x v="19"/>
    <x v="10"/>
    <x v="0"/>
  </r>
  <r>
    <s v="Sweden"/>
    <n v="40385.449999999997"/>
    <n v="32591.06"/>
    <d v="2020-07-15T00:00:00"/>
    <s v="Smartphones"/>
    <s v="Armstrong-Little"/>
    <s v="Maxie Marrow"/>
    <s v="Tarrah Castelletti"/>
    <x v="1"/>
    <s v="81-0573181"/>
    <m/>
    <x v="5"/>
    <x v="2"/>
    <x v="0"/>
  </r>
  <r>
    <s v="UK"/>
    <n v="112491.58"/>
    <n v="92254.34"/>
    <d v="2019-10-24T00:00:00"/>
    <s v="Appliances"/>
    <s v="Hessel-Stiedemann"/>
    <s v="Jessamine Apark"/>
    <s v="Genevra Charrisson"/>
    <x v="0"/>
    <s v="13-1936536"/>
    <m/>
    <x v="20"/>
    <x v="11"/>
    <x v="1"/>
  </r>
  <r>
    <s v="Finland"/>
    <n v="200635.57"/>
    <n v="172245.64"/>
    <d v="2019-12-11T00:00:00"/>
    <s v="Clothing"/>
    <s v="Larkin-Collier"/>
    <s v="Hube Corey"/>
    <s v="Wat Bowkley"/>
    <x v="1"/>
    <s v="94-8026718"/>
    <m/>
    <x v="4"/>
    <x v="4"/>
    <x v="1"/>
  </r>
  <r>
    <s v="Portugal"/>
    <n v="243176.92"/>
    <n v="202250.23999999999"/>
    <d v="2020-07-03T00:00:00"/>
    <s v="Appliances"/>
    <s v="Gislason-Stanton"/>
    <s v="Celine Tumasian"/>
    <s v="Hortense Gerring"/>
    <x v="1"/>
    <s v="81-5976459"/>
    <m/>
    <x v="5"/>
    <x v="2"/>
    <x v="0"/>
  </r>
  <r>
    <s v="Portugal"/>
    <n v="52227.07"/>
    <n v="45124.19"/>
    <d v="2019-03-14T00:00:00"/>
    <s v="Books"/>
    <s v="Farrell, Swaniawski and Crist"/>
    <s v="Celine Tumasian"/>
    <s v="Corene Shirer"/>
    <x v="1"/>
    <s v="28-6038070"/>
    <m/>
    <x v="16"/>
    <x v="10"/>
    <x v="1"/>
  </r>
  <r>
    <s v="Bulgaria"/>
    <n v="147672.87"/>
    <n v="129110.39"/>
    <d v="2019-10-15T00:00:00"/>
    <s v="Electronics"/>
    <s v="Homenick-Marvin"/>
    <s v="Charil Alpe"/>
    <s v="Bernadine Fullagar"/>
    <x v="1"/>
    <s v="81-7970957"/>
    <m/>
    <x v="20"/>
    <x v="11"/>
    <x v="1"/>
  </r>
  <r>
    <s v="France"/>
    <n v="149500.60999999999"/>
    <n v="125401.11"/>
    <d v="2020-07-24T00:00:00"/>
    <s v="Games"/>
    <s v="McGlynn-Bergstrom"/>
    <s v="Othello Bowes"/>
    <s v="Crysta Halls"/>
    <x v="1"/>
    <s v="60-8646184"/>
    <m/>
    <x v="5"/>
    <x v="2"/>
    <x v="0"/>
  </r>
  <r>
    <s v="France"/>
    <n v="53089.52"/>
    <n v="44812.86"/>
    <d v="2019-08-24T00:00:00"/>
    <s v="Beauty"/>
    <s v="Goldner-Dibbert"/>
    <s v="Othello Bowes"/>
    <s v="Crysta Halls"/>
    <x v="1"/>
    <s v="32-2114915"/>
    <m/>
    <x v="12"/>
    <x v="5"/>
    <x v="1"/>
  </r>
  <r>
    <s v="France"/>
    <n v="85223.07"/>
    <n v="73002.080000000002"/>
    <d v="2019-09-15T00:00:00"/>
    <s v="Beauty"/>
    <s v="Hamill, Kulas and Roob"/>
    <s v="Othello Bowes"/>
    <s v="Maighdiln Upcraft"/>
    <x v="1"/>
    <s v="58-7865136"/>
    <m/>
    <x v="1"/>
    <x v="1"/>
    <x v="1"/>
  </r>
  <r>
    <s v="Denmark"/>
    <n v="58948.52"/>
    <n v="49416.54"/>
    <d v="2020-05-20T00:00:00"/>
    <s v="Clothing"/>
    <s v="Wisoky Inc"/>
    <s v="Modestia Byfford"/>
    <s v="Case Desorts"/>
    <x v="1"/>
    <s v="98-9112505"/>
    <m/>
    <x v="8"/>
    <x v="6"/>
    <x v="0"/>
  </r>
  <r>
    <s v="Portugal"/>
    <n v="165696.9"/>
    <n v="132275.84"/>
    <d v="2020-10-22T00:00:00"/>
    <s v="Electronics"/>
    <s v="Franecki-White"/>
    <s v="Celine Tumasian"/>
    <s v="Aurelie Wren"/>
    <x v="1"/>
    <s v="03-0455038"/>
    <m/>
    <x v="23"/>
    <x v="11"/>
    <x v="0"/>
  </r>
  <r>
    <s v="Sweden"/>
    <n v="177993.88"/>
    <n v="145029.41"/>
    <d v="2019-12-02T00:00:00"/>
    <s v="Outdoors"/>
    <s v="Johns and Sons"/>
    <s v="Maxie Marrow"/>
    <s v="Alyosha Meah"/>
    <x v="2"/>
    <s v="71-0122842"/>
    <m/>
    <x v="4"/>
    <x v="4"/>
    <x v="1"/>
  </r>
  <r>
    <s v="France"/>
    <n v="108713.83"/>
    <n v="90341.19"/>
    <d v="2020-03-09T00:00:00"/>
    <s v="Clothing"/>
    <s v="Hessel-Stiedemann"/>
    <s v="Othello Bowes"/>
    <s v="Amelina Piscopiello"/>
    <x v="1"/>
    <s v="55-1395838"/>
    <m/>
    <x v="19"/>
    <x v="10"/>
    <x v="0"/>
  </r>
  <r>
    <s v="Finland"/>
    <n v="25816.05"/>
    <n v="21447.97"/>
    <d v="2019-09-08T00:00:00"/>
    <s v="Clothing"/>
    <s v="Smith Group"/>
    <s v="Hube Corey"/>
    <s v="Mellicent Mattys"/>
    <x v="0"/>
    <s v="95-7886861"/>
    <m/>
    <x v="1"/>
    <x v="1"/>
    <x v="1"/>
  </r>
  <r>
    <s v="Portugal"/>
    <n v="154072.89000000001"/>
    <n v="121887.06"/>
    <d v="2020-09-30T00:00:00"/>
    <s v="Beauty"/>
    <s v="Rowe, Hermiston and Kessler"/>
    <s v="Celine Tumasian"/>
    <s v="Smitty Culverhouse"/>
    <x v="1"/>
    <s v="19-3013452"/>
    <m/>
    <x v="22"/>
    <x v="1"/>
    <x v="0"/>
  </r>
  <r>
    <s v="Finland"/>
    <n v="194962.05"/>
    <n v="154975.32999999999"/>
    <d v="2020-07-05T00:00:00"/>
    <s v="Appliances"/>
    <s v="Rowe, Hermiston and Kessler"/>
    <s v="Hube Corey"/>
    <s v="Mellicent Mattys"/>
    <x v="1"/>
    <s v="54-5082146"/>
    <m/>
    <x v="5"/>
    <x v="2"/>
    <x v="0"/>
  </r>
  <r>
    <s v="Portugal"/>
    <n v="60744.83"/>
    <n v="52805.48"/>
    <d v="2020-03-19T00:00:00"/>
    <s v="Smartphones"/>
    <s v="Gislason-Stanton"/>
    <s v="Celine Tumasian"/>
    <s v="Brynn Dempster"/>
    <x v="1"/>
    <s v="69-4462108"/>
    <m/>
    <x v="19"/>
    <x v="10"/>
    <x v="0"/>
  </r>
  <r>
    <s v="Sweden"/>
    <n v="39313.39"/>
    <n v="34273.410000000003"/>
    <d v="2020-10-10T00:00:00"/>
    <s v="Beauty"/>
    <s v="Corwin and Sons"/>
    <s v="Maxie Marrow"/>
    <s v="Anita Woakes"/>
    <x v="0"/>
    <s v="68-3731565"/>
    <m/>
    <x v="23"/>
    <x v="11"/>
    <x v="0"/>
  </r>
  <r>
    <s v="France"/>
    <n v="119820.82"/>
    <n v="98289.02"/>
    <d v="2019-06-16T00:00:00"/>
    <s v="Appliances"/>
    <s v="Considine-Fisher"/>
    <s v="Othello Bowes"/>
    <s v="Amelina Piscopiello"/>
    <x v="1"/>
    <s v="82-2972108"/>
    <m/>
    <x v="15"/>
    <x v="9"/>
    <x v="1"/>
  </r>
  <r>
    <s v="UK"/>
    <n v="129485.51"/>
    <n v="112794.83"/>
    <d v="2019-01-05T00:00:00"/>
    <s v="Appliances"/>
    <s v="McGlynn-Prosacco"/>
    <s v="Jessamine Apark"/>
    <s v="Jay Morefield"/>
    <x v="1"/>
    <s v="15-2503493"/>
    <m/>
    <x v="9"/>
    <x v="7"/>
    <x v="1"/>
  </r>
  <r>
    <s v="Italy"/>
    <n v="163203.64000000001"/>
    <n v="140893.70000000001"/>
    <d v="2019-06-21T00:00:00"/>
    <s v="Smartphones"/>
    <s v="Swaniawski, Runolfsson and Green"/>
    <s v="Piggy Roscrigg"/>
    <s v="Joshua Prevost"/>
    <x v="1"/>
    <s v="37-0857161"/>
    <m/>
    <x v="15"/>
    <x v="9"/>
    <x v="1"/>
  </r>
  <r>
    <s v="France"/>
    <n v="62788.04"/>
    <n v="53049.61"/>
    <d v="2020-02-13T00:00:00"/>
    <s v="Appliances"/>
    <s v="Altenwerth-Konopelski"/>
    <s v="Othello Bowes"/>
    <s v="Avrit Chanders"/>
    <x v="1"/>
    <s v="71-2709641"/>
    <m/>
    <x v="0"/>
    <x v="0"/>
    <x v="0"/>
  </r>
  <r>
    <s v="Portugal"/>
    <n v="148037.71"/>
    <n v="117867.62"/>
    <d v="2020-04-14T00:00:00"/>
    <s v="Electronics"/>
    <s v="Romaguera-Dietrich"/>
    <s v="Celine Tumasian"/>
    <s v="Corene Shirer"/>
    <x v="1"/>
    <s v="10-5899580"/>
    <m/>
    <x v="3"/>
    <x v="3"/>
    <x v="0"/>
  </r>
  <r>
    <s v="Ireland"/>
    <n v="55539.67"/>
    <n v="45620.29"/>
    <d v="2020-03-21T00:00:00"/>
    <s v="Electronics"/>
    <s v="Altenwerth-Konopelski"/>
    <s v="Glenine Suttaby"/>
    <s v="Palm Wetherald"/>
    <x v="1"/>
    <s v="10-9241948"/>
    <m/>
    <x v="19"/>
    <x v="10"/>
    <x v="0"/>
  </r>
  <r>
    <s v="France"/>
    <n v="150135"/>
    <n v="131067.85"/>
    <d v="2020-09-09T00:00:00"/>
    <s v="Smartphones"/>
    <s v="Larkin-Collier"/>
    <s v="Othello Bowes"/>
    <s v="Avrit Chanders"/>
    <x v="1"/>
    <s v="68-0080728"/>
    <m/>
    <x v="22"/>
    <x v="1"/>
    <x v="0"/>
  </r>
  <r>
    <s v="Ireland"/>
    <n v="85294.3"/>
    <n v="72662.210000000006"/>
    <d v="2020-03-25T00:00:00"/>
    <s v="Beauty"/>
    <s v="Zieme, Bailey and Herzog"/>
    <s v="Glenine Suttaby"/>
    <s v="Bunnie Tonbridge"/>
    <x v="1"/>
    <s v="47-0640313"/>
    <m/>
    <x v="19"/>
    <x v="10"/>
    <x v="0"/>
  </r>
  <r>
    <s v="Luxembourg"/>
    <n v="136079.62"/>
    <n v="119178.53"/>
    <d v="2019-08-29T00:00:00"/>
    <s v="Games"/>
    <s v="West-Cummings"/>
    <s v="Ilsa Kob"/>
    <s v="Jocelyn Laurentino"/>
    <x v="1"/>
    <s v="37-6597365"/>
    <m/>
    <x v="12"/>
    <x v="5"/>
    <x v="1"/>
  </r>
  <r>
    <s v="Finland"/>
    <n v="186397.6"/>
    <n v="161233.92000000001"/>
    <d v="2020-12-04T00:00:00"/>
    <s v="Appliances"/>
    <s v="Friesen and Sons"/>
    <s v="Hube Corey"/>
    <s v="Mellicent Mattys"/>
    <x v="0"/>
    <s v="13-0833129"/>
    <m/>
    <x v="17"/>
    <x v="4"/>
    <x v="0"/>
  </r>
  <r>
    <s v="Germany"/>
    <n v="32695.37"/>
    <n v="26375.35"/>
    <d v="2020-11-28T00:00:00"/>
    <s v="Accessories"/>
    <s v="Johns and Sons"/>
    <s v="Rickard Doogood"/>
    <s v="Casie MacBain"/>
    <x v="0"/>
    <s v="15-2994585"/>
    <m/>
    <x v="13"/>
    <x v="8"/>
    <x v="0"/>
  </r>
  <r>
    <s v="France"/>
    <n v="86077.83"/>
    <n v="72288.160000000003"/>
    <d v="2019-11-03T00:00:00"/>
    <s v="Appliances"/>
    <s v="Johns and Sons"/>
    <s v="Othello Bowes"/>
    <s v="Amelina Piscopiello"/>
    <x v="1"/>
    <s v="85-7784608"/>
    <m/>
    <x v="14"/>
    <x v="8"/>
    <x v="1"/>
  </r>
  <r>
    <s v="Sweden"/>
    <n v="72885.55"/>
    <n v="59773.440000000002"/>
    <d v="2020-12-29T00:00:00"/>
    <s v="Clothing"/>
    <s v="Johns and Sons"/>
    <s v="Maxie Marrow"/>
    <s v="Anita Woakes"/>
    <x v="1"/>
    <s v="22-3969127"/>
    <m/>
    <x v="17"/>
    <x v="4"/>
    <x v="0"/>
  </r>
  <r>
    <s v="Portugal"/>
    <n v="100469.75"/>
    <n v="82566.039999999994"/>
    <d v="2019-05-17T00:00:00"/>
    <s v="Electronics"/>
    <s v="Johns and Sons"/>
    <s v="Celine Tumasian"/>
    <s v="Aurelie Wren"/>
    <x v="1"/>
    <s v="80-2242820"/>
    <m/>
    <x v="10"/>
    <x v="6"/>
    <x v="1"/>
  </r>
  <r>
    <s v="Sweden"/>
    <n v="40831.519999999997"/>
    <n v="34192.31"/>
    <d v="2019-04-26T00:00:00"/>
    <s v="Appliances"/>
    <s v="Labadie and Sons"/>
    <s v="Maxie Marrow"/>
    <s v="Madelon Bront"/>
    <x v="1"/>
    <s v="35-1705563"/>
    <m/>
    <x v="21"/>
    <x v="3"/>
    <x v="1"/>
  </r>
  <r>
    <s v="Italy"/>
    <n v="142353.07"/>
    <n v="116046.22"/>
    <d v="2019-07-24T00:00:00"/>
    <s v="Books"/>
    <s v="Dibbert Inc"/>
    <s v="Piggy Roscrigg"/>
    <s v="Joshua Prevost"/>
    <x v="1"/>
    <s v="93-9941140"/>
    <m/>
    <x v="2"/>
    <x v="2"/>
    <x v="1"/>
  </r>
  <r>
    <s v="Sweden"/>
    <n v="250315.06"/>
    <n v="218825.43"/>
    <d v="2019-07-08T00:00:00"/>
    <s v="Beauty"/>
    <s v="McGlynn-Prosacco"/>
    <s v="Maxie Marrow"/>
    <s v="Alyosha Meah"/>
    <x v="1"/>
    <s v="36-2366573"/>
    <m/>
    <x v="2"/>
    <x v="2"/>
    <x v="1"/>
  </r>
  <r>
    <s v="UK"/>
    <n v="100094.97"/>
    <n v="84690.35"/>
    <d v="2020-11-08T00:00:00"/>
    <s v="Games"/>
    <s v="Swaniawski, Runolfsson and Green"/>
    <s v="Jessamine Apark"/>
    <s v="Genevra Charrisson"/>
    <x v="1"/>
    <s v="10-9932801"/>
    <m/>
    <x v="13"/>
    <x v="8"/>
    <x v="0"/>
  </r>
  <r>
    <s v="UK"/>
    <n v="77128.75"/>
    <n v="65536.3"/>
    <d v="2020-08-09T00:00:00"/>
    <s v="Books"/>
    <s v="Dickinson, Hyatt and Berge"/>
    <s v="Jessamine Apark"/>
    <s v="Jay Morefield"/>
    <x v="0"/>
    <s v="70-8991739"/>
    <m/>
    <x v="7"/>
    <x v="5"/>
    <x v="0"/>
  </r>
  <r>
    <s v="France"/>
    <n v="176114.73"/>
    <n v="149257.23000000001"/>
    <d v="2020-11-24T00:00:00"/>
    <s v="Electronics"/>
    <s v="Johns and Sons"/>
    <s v="Othello Bowes"/>
    <s v="Maighdiln Upcraft"/>
    <x v="1"/>
    <s v="97-4830372"/>
    <m/>
    <x v="13"/>
    <x v="8"/>
    <x v="0"/>
  </r>
  <r>
    <s v="France"/>
    <n v="146325.53"/>
    <n v="118333.46"/>
    <d v="2020-08-09T00:00:00"/>
    <s v="Games"/>
    <s v="Stehr-Bogan"/>
    <s v="Othello Bowes"/>
    <s v="Crysta Halls"/>
    <x v="1"/>
    <s v="95-8015610"/>
    <m/>
    <x v="7"/>
    <x v="5"/>
    <x v="0"/>
  </r>
  <r>
    <s v="Germany"/>
    <n v="161823.46"/>
    <n v="130494.44"/>
    <d v="2020-07-20T00:00:00"/>
    <s v="Clothing"/>
    <s v="Friesen-Rath"/>
    <s v="Rickard Doogood"/>
    <s v="Casie MacBain"/>
    <x v="1"/>
    <s v="84-1062113"/>
    <m/>
    <x v="5"/>
    <x v="2"/>
    <x v="0"/>
  </r>
  <r>
    <s v="Sweden"/>
    <n v="132632.97"/>
    <n v="112035.07"/>
    <d v="2019-04-23T00:00:00"/>
    <s v="Electronics"/>
    <s v="Keeling, Monahan and Pollich"/>
    <s v="Maxie Marrow"/>
    <s v="Anita Woakes"/>
    <x v="1"/>
    <s v="05-5082715"/>
    <m/>
    <x v="21"/>
    <x v="3"/>
    <x v="1"/>
  </r>
  <r>
    <s v="Portugal"/>
    <n v="107232.99"/>
    <n v="85207.33"/>
    <d v="2020-03-08T00:00:00"/>
    <s v="Appliances"/>
    <s v="Hessel-Stiedemann"/>
    <s v="Celine Tumasian"/>
    <s v="Smitty Culverhouse"/>
    <x v="1"/>
    <s v="35-6942653"/>
    <m/>
    <x v="19"/>
    <x v="10"/>
    <x v="0"/>
  </r>
  <r>
    <s v="Sweden"/>
    <n v="120763.23"/>
    <n v="96719.27"/>
    <d v="2020-04-14T00:00:00"/>
    <s v="Clothing"/>
    <s v="Murray, Reichel and Nolan"/>
    <s v="Maxie Marrow"/>
    <s v="Anita Woakes"/>
    <x v="1"/>
    <s v="79-6623911"/>
    <m/>
    <x v="3"/>
    <x v="3"/>
    <x v="0"/>
  </r>
  <r>
    <s v="Bulgaria"/>
    <n v="278731.90000000002"/>
    <n v="221591.86"/>
    <d v="2019-12-05T00:00:00"/>
    <s v="Appliances"/>
    <s v="West-Cummings"/>
    <s v="Charil Alpe"/>
    <s v="Bernadine Fullagar"/>
    <x v="1"/>
    <s v="48-7662634"/>
    <m/>
    <x v="4"/>
    <x v="4"/>
    <x v="1"/>
  </r>
  <r>
    <s v="Bulgaria"/>
    <n v="138153.70000000001"/>
    <n v="112926.83"/>
    <d v="2019-02-14T00:00:00"/>
    <s v="Games"/>
    <s v="McGlynn-Bergstrom"/>
    <s v="Charil Alpe"/>
    <s v="Bernadine Fullagar"/>
    <x v="1"/>
    <s v="46-5888587"/>
    <m/>
    <x v="6"/>
    <x v="0"/>
    <x v="1"/>
  </r>
  <r>
    <s v="Ireland"/>
    <n v="68802.13"/>
    <n v="54635.77"/>
    <d v="2020-09-15T00:00:00"/>
    <s v="Beauty"/>
    <s v="Kirlin and Sons"/>
    <s v="Glenine Suttaby"/>
    <s v="Bunnie Tonbridge"/>
    <x v="1"/>
    <s v="17-3178991"/>
    <m/>
    <x v="22"/>
    <x v="1"/>
    <x v="0"/>
  </r>
  <r>
    <s v="Finland"/>
    <n v="35619.279999999999"/>
    <n v="28192.66"/>
    <d v="2019-01-08T00:00:00"/>
    <s v="Electronics"/>
    <s v="Murray, Reichel and Nolan"/>
    <s v="Hube Corey"/>
    <s v="Wat Bowkley"/>
    <x v="1"/>
    <s v="18-8528486"/>
    <m/>
    <x v="9"/>
    <x v="7"/>
    <x v="1"/>
  </r>
  <r>
    <s v="UK"/>
    <n v="65014.84"/>
    <n v="53669.75"/>
    <d v="2020-03-27T00:00:00"/>
    <s v="Outdoors"/>
    <s v="Dickinson, Hyatt and Berge"/>
    <s v="Jessamine Apark"/>
    <s v="Genevra Charrisson"/>
    <x v="0"/>
    <s v="55-4588115"/>
    <m/>
    <x v="19"/>
    <x v="10"/>
    <x v="0"/>
  </r>
  <r>
    <s v="Germany"/>
    <n v="48922.42"/>
    <n v="39387.440000000002"/>
    <d v="2020-10-19T00:00:00"/>
    <s v="Outdoors"/>
    <s v="Murray, Reichel and Nolan"/>
    <s v="Rickard Doogood"/>
    <s v="Casie MacBain"/>
    <x v="2"/>
    <s v="19-9073616"/>
    <m/>
    <x v="23"/>
    <x v="11"/>
    <x v="0"/>
  </r>
  <r>
    <s v="France"/>
    <n v="165262.34"/>
    <n v="142621.4"/>
    <d v="2020-05-19T00:00:00"/>
    <s v="Electronics"/>
    <s v="Altenwerth-Konopelski"/>
    <s v="Othello Bowes"/>
    <s v="Amelina Piscopiello"/>
    <x v="0"/>
    <s v="96-0020600"/>
    <m/>
    <x v="8"/>
    <x v="6"/>
    <x v="0"/>
  </r>
  <r>
    <s v="Portugal"/>
    <n v="164117.24"/>
    <n v="133509.37"/>
    <d v="2020-05-28T00:00:00"/>
    <s v="Electronics"/>
    <s v="Zieme, Bailey and Herzog"/>
    <s v="Celine Tumasian"/>
    <s v="Corene Shirer"/>
    <x v="1"/>
    <s v="88-7664123"/>
    <m/>
    <x v="8"/>
    <x v="6"/>
    <x v="0"/>
  </r>
  <r>
    <s v="Portugal"/>
    <n v="238085.99"/>
    <n v="193587.72"/>
    <d v="2020-07-16T00:00:00"/>
    <s v="Clothing"/>
    <s v="Rowe, Hermiston and Kessler"/>
    <s v="Celine Tumasian"/>
    <s v="Hortense Gerring"/>
    <x v="1"/>
    <s v="17-8884817"/>
    <m/>
    <x v="5"/>
    <x v="2"/>
    <x v="0"/>
  </r>
  <r>
    <s v="Sweden"/>
    <n v="117733.51"/>
    <n v="97294.97"/>
    <d v="2019-07-13T00:00:00"/>
    <s v="Electronics"/>
    <s v="Connelly-Mohr"/>
    <s v="Maxie Marrow"/>
    <s v="Tarrah Castelletti"/>
    <x v="1"/>
    <s v="45-5509135"/>
    <m/>
    <x v="2"/>
    <x v="2"/>
    <x v="1"/>
  </r>
  <r>
    <s v="France"/>
    <n v="26713.46"/>
    <n v="22043.95"/>
    <d v="2020-10-12T00:00:00"/>
    <s v="Beauty"/>
    <s v="Wisoky Inc"/>
    <s v="Othello Bowes"/>
    <s v="Ora Grennan"/>
    <x v="1"/>
    <s v="81-4176165"/>
    <m/>
    <x v="23"/>
    <x v="11"/>
    <x v="0"/>
  </r>
  <r>
    <s v="France"/>
    <n v="49664.17"/>
    <n v="39244.629999999997"/>
    <d v="2019-10-30T00:00:00"/>
    <s v="Books"/>
    <s v="Swaniawski, Runolfsson and Green"/>
    <s v="Othello Bowes"/>
    <s v="Amelina Piscopiello"/>
    <x v="1"/>
    <s v="24-9702599"/>
    <m/>
    <x v="20"/>
    <x v="11"/>
    <x v="1"/>
  </r>
  <r>
    <s v="Sweden"/>
    <n v="162101.93"/>
    <n v="133912.4"/>
    <d v="2019-12-19T00:00:00"/>
    <s v="Smartphones"/>
    <s v="Rowe, Hermiston and Kessler"/>
    <s v="Maxie Marrow"/>
    <s v="Tarrah Castelletti"/>
    <x v="1"/>
    <s v="24-4272786"/>
    <m/>
    <x v="4"/>
    <x v="4"/>
    <x v="1"/>
  </r>
  <r>
    <s v="France"/>
    <n v="118027.37"/>
    <n v="96050.67"/>
    <d v="2019-04-06T00:00:00"/>
    <s v="Beauty"/>
    <s v="Johns and Sons"/>
    <s v="Othello Bowes"/>
    <s v="Ora Grennan"/>
    <x v="1"/>
    <s v="77-3656041"/>
    <m/>
    <x v="21"/>
    <x v="3"/>
    <x v="1"/>
  </r>
  <r>
    <s v="Sweden"/>
    <n v="147994.63"/>
    <n v="129643.3"/>
    <d v="2019-01-27T00:00:00"/>
    <s v="Games"/>
    <s v="Stamm Inc"/>
    <s v="Maxie Marrow"/>
    <s v="Alyosha Meah"/>
    <x v="1"/>
    <s v="47-7207206"/>
    <m/>
    <x v="9"/>
    <x v="7"/>
    <x v="1"/>
  </r>
  <r>
    <s v="Finland"/>
    <n v="48946.74"/>
    <n v="38765.82"/>
    <d v="2019-04-19T00:00:00"/>
    <s v="Accessories"/>
    <s v="Swaniawski, Runolfsson and Green"/>
    <s v="Hube Corey"/>
    <s v="Mellicent Mattys"/>
    <x v="1"/>
    <s v="65-2022928"/>
    <m/>
    <x v="21"/>
    <x v="3"/>
    <x v="1"/>
  </r>
  <r>
    <s v="Sweden"/>
    <n v="73860.570000000007"/>
    <n v="60336.7"/>
    <d v="2020-11-13T00:00:00"/>
    <s v="Clothing"/>
    <s v="McGlynn-Prosacco"/>
    <s v="Maxie Marrow"/>
    <s v="Madelon Bront"/>
    <x v="1"/>
    <s v="16-5837761"/>
    <m/>
    <x v="13"/>
    <x v="8"/>
    <x v="0"/>
  </r>
  <r>
    <s v="Portugal"/>
    <n v="86083.27"/>
    <n v="72309.95"/>
    <d v="2019-11-30T00:00:00"/>
    <s v="Electronics"/>
    <s v="Connelly-Mohr"/>
    <s v="Celine Tumasian"/>
    <s v="Hortense Gerring"/>
    <x v="1"/>
    <s v="80-7090422"/>
    <m/>
    <x v="14"/>
    <x v="8"/>
    <x v="1"/>
  </r>
  <r>
    <s v="Finland"/>
    <n v="72385.53"/>
    <n v="60181.33"/>
    <d v="2019-09-10T00:00:00"/>
    <s v="Clothing"/>
    <s v="Johns and Sons"/>
    <s v="Hube Corey"/>
    <s v="Wat Bowkley"/>
    <x v="1"/>
    <s v="66-8222460"/>
    <m/>
    <x v="1"/>
    <x v="1"/>
    <x v="1"/>
  </r>
  <r>
    <s v="Portugal"/>
    <n v="120332.26"/>
    <n v="102282.42"/>
    <d v="2020-01-14T00:00:00"/>
    <s v="Clothing"/>
    <s v="Parisian, Steuber and Satterfield"/>
    <s v="Celine Tumasian"/>
    <s v="Hortense Gerring"/>
    <x v="2"/>
    <s v="44-0527427"/>
    <m/>
    <x v="11"/>
    <x v="7"/>
    <x v="0"/>
  </r>
  <r>
    <s v="Sweden"/>
    <n v="81262.34"/>
    <n v="65326.8"/>
    <d v="2019-09-06T00:00:00"/>
    <s v="Books"/>
    <s v="Johns and Sons"/>
    <s v="Maxie Marrow"/>
    <s v="Anita Woakes"/>
    <x v="0"/>
    <s v="75-9517276"/>
    <m/>
    <x v="1"/>
    <x v="1"/>
    <x v="1"/>
  </r>
  <r>
    <s v="Austria"/>
    <n v="139075.59"/>
    <n v="113708.2"/>
    <d v="2020-12-16T00:00:00"/>
    <s v="Games"/>
    <s v="Murray, Reichel and Nolan"/>
    <s v="Orsa Geekin"/>
    <s v="Bank Coumbe"/>
    <x v="1"/>
    <s v="24-2403756"/>
    <m/>
    <x v="17"/>
    <x v="4"/>
    <x v="0"/>
  </r>
  <r>
    <s v="France"/>
    <n v="50516.2"/>
    <n v="43918.78"/>
    <d v="2019-03-22T00:00:00"/>
    <s v="Electronics"/>
    <s v="Wiza and Sons"/>
    <s v="Othello Bowes"/>
    <s v="Maighdiln Upcraft"/>
    <x v="1"/>
    <s v="50-1986322"/>
    <m/>
    <x v="16"/>
    <x v="10"/>
    <x v="1"/>
  </r>
  <r>
    <s v="Sweden"/>
    <n v="112228.82"/>
    <n v="97470.73"/>
    <d v="2019-09-15T00:00:00"/>
    <s v="Outdoors"/>
    <s v="Gislason-Stanton"/>
    <s v="Maxie Marrow"/>
    <s v="Madelon Bront"/>
    <x v="1"/>
    <s v="75-9585763"/>
    <m/>
    <x v="1"/>
    <x v="1"/>
    <x v="1"/>
  </r>
  <r>
    <s v="France"/>
    <n v="79833.600000000006"/>
    <n v="63411.83"/>
    <d v="2019-06-15T00:00:00"/>
    <s v="Appliances"/>
    <s v="McGlynn-Bergstrom"/>
    <s v="Othello Bowes"/>
    <s v="Avrit Chanders"/>
    <x v="1"/>
    <s v="86-6760202"/>
    <m/>
    <x v="15"/>
    <x v="9"/>
    <x v="1"/>
  </r>
  <r>
    <s v="Finland"/>
    <n v="135629.35999999999"/>
    <n v="118526.5"/>
    <d v="2020-08-12T00:00:00"/>
    <s v="Games"/>
    <s v="Tillman and Sons"/>
    <s v="Hube Corey"/>
    <s v="Mellicent Mattys"/>
    <x v="1"/>
    <s v="66-7717800"/>
    <m/>
    <x v="7"/>
    <x v="5"/>
    <x v="0"/>
  </r>
  <r>
    <s v="Luxembourg"/>
    <n v="175332.04"/>
    <n v="144999.6"/>
    <d v="2020-09-24T00:00:00"/>
    <s v="Accessories"/>
    <s v="Hegmann Group"/>
    <s v="Ilsa Kob"/>
    <s v="Jocelyn Laurentino"/>
    <x v="1"/>
    <s v="89-8942175"/>
    <m/>
    <x v="22"/>
    <x v="1"/>
    <x v="0"/>
  </r>
  <r>
    <s v="Portugal"/>
    <n v="101923.36"/>
    <n v="86115.05"/>
    <d v="2019-01-19T00:00:00"/>
    <s v="Beauty"/>
    <s v="Shanahan, Schaden and Parker"/>
    <s v="Celine Tumasian"/>
    <s v="Brynn Dempster"/>
    <x v="0"/>
    <s v="38-0584273"/>
    <m/>
    <x v="9"/>
    <x v="7"/>
    <x v="1"/>
  </r>
  <r>
    <s v="Germany"/>
    <n v="190100.96"/>
    <n v="160749.37"/>
    <d v="2019-12-20T00:00:00"/>
    <s v="Electronics"/>
    <s v="Walter LLC"/>
    <s v="Rickard Doogood"/>
    <s v="Casie MacBain"/>
    <x v="1"/>
    <s v="38-8840357"/>
    <m/>
    <x v="4"/>
    <x v="4"/>
    <x v="1"/>
  </r>
  <r>
    <s v="Netherlands"/>
    <n v="152771.9"/>
    <n v="134423.99"/>
    <d v="2020-05-02T00:00:00"/>
    <s v="Clothing"/>
    <s v="McClure Inc"/>
    <s v="Denice Amberg"/>
    <s v="Nero Harbisher"/>
    <x v="1"/>
    <s v="82-4495901"/>
    <m/>
    <x v="8"/>
    <x v="6"/>
    <x v="0"/>
  </r>
  <r>
    <s v="France"/>
    <n v="52805.94"/>
    <n v="43791.97"/>
    <d v="2020-06-22T00:00:00"/>
    <s v="Smartphones"/>
    <s v="Kihn Inc"/>
    <s v="Othello Bowes"/>
    <s v="Amelina Piscopiello"/>
    <x v="1"/>
    <s v="81-2373308"/>
    <m/>
    <x v="18"/>
    <x v="9"/>
    <x v="0"/>
  </r>
  <r>
    <s v="Portugal"/>
    <n v="51416.24"/>
    <n v="43338.75"/>
    <d v="2020-04-15T00:00:00"/>
    <s v="Smartphones"/>
    <s v="Spencer, Rogahn and Muller"/>
    <s v="Celine Tumasian"/>
    <s v="Aurelie Wren"/>
    <x v="1"/>
    <s v="15-0224516"/>
    <m/>
    <x v="3"/>
    <x v="3"/>
    <x v="0"/>
  </r>
  <r>
    <s v="Luxembourg"/>
    <n v="76426.539999999994"/>
    <n v="66116.600000000006"/>
    <d v="2019-03-16T00:00:00"/>
    <s v="Clothing"/>
    <s v="O'Connell-Mitchell"/>
    <s v="Ilsa Kob"/>
    <s v="Jocelyn Laurentino"/>
    <x v="1"/>
    <s v="95-6935153"/>
    <m/>
    <x v="16"/>
    <x v="10"/>
    <x v="1"/>
  </r>
  <r>
    <s v="France"/>
    <n v="118021.59"/>
    <n v="98229.37"/>
    <d v="2019-04-21T00:00:00"/>
    <s v="Beauty"/>
    <s v="Lubowitz, McLaughlin and Erdman"/>
    <s v="Othello Bowes"/>
    <s v="Maighdiln Upcraft"/>
    <x v="1"/>
    <s v="60-8661261"/>
    <m/>
    <x v="21"/>
    <x v="3"/>
    <x v="1"/>
  </r>
  <r>
    <s v="Portugal"/>
    <n v="59378.97"/>
    <n v="52176.3"/>
    <d v="2020-04-25T00:00:00"/>
    <s v="Appliances"/>
    <s v="Schoen-Keeling"/>
    <s v="Celine Tumasian"/>
    <s v="Corene Shirer"/>
    <x v="1"/>
    <s v="56-2783503"/>
    <m/>
    <x v="3"/>
    <x v="3"/>
    <x v="0"/>
  </r>
  <r>
    <s v="Spain"/>
    <n v="61325.25"/>
    <n v="49379.09"/>
    <d v="2020-07-29T00:00:00"/>
    <s v="Beauty"/>
    <s v="Hessel-Stiedemann"/>
    <s v="Emalia Dinse"/>
    <s v="Manuel Goudie"/>
    <x v="2"/>
    <s v="95-1516475"/>
    <m/>
    <x v="5"/>
    <x v="2"/>
    <x v="0"/>
  </r>
  <r>
    <s v="France"/>
    <n v="80431.34"/>
    <n v="69774.19"/>
    <d v="2019-07-22T00:00:00"/>
    <s v="Beauty"/>
    <s v="Hessel-Stiedemann"/>
    <s v="Othello Bowes"/>
    <s v="Crysta Halls"/>
    <x v="1"/>
    <s v="32-5562588"/>
    <m/>
    <x v="2"/>
    <x v="2"/>
    <x v="1"/>
  </r>
  <r>
    <s v="Portugal"/>
    <n v="177919.14"/>
    <n v="147370.42000000001"/>
    <d v="2020-06-07T00:00:00"/>
    <s v="Beauty"/>
    <s v="Walter LLC"/>
    <s v="Celine Tumasian"/>
    <s v="Aurelie Wren"/>
    <x v="1"/>
    <s v="70-7769332"/>
    <m/>
    <x v="18"/>
    <x v="9"/>
    <x v="0"/>
  </r>
  <r>
    <s v="Ireland"/>
    <n v="37520.089999999997"/>
    <n v="32781.300000000003"/>
    <d v="2020-05-27T00:00:00"/>
    <s v="Clothing"/>
    <s v="Kihn Inc"/>
    <s v="Glenine Suttaby"/>
    <s v="Bunnie Tonbridge"/>
    <x v="0"/>
    <s v="07-6200800"/>
    <m/>
    <x v="8"/>
    <x v="6"/>
    <x v="0"/>
  </r>
  <r>
    <s v="Spain"/>
    <n v="68745.86"/>
    <n v="58014.63"/>
    <d v="2019-04-09T00:00:00"/>
    <s v="Electronics"/>
    <s v="Labadie and Sons"/>
    <s v="Emalia Dinse"/>
    <s v="Manuel Goudie"/>
    <x v="1"/>
    <s v="11-2988171"/>
    <m/>
    <x v="21"/>
    <x v="3"/>
    <x v="1"/>
  </r>
  <r>
    <s v="Denmark"/>
    <n v="69017.42"/>
    <n v="55897.21"/>
    <d v="2020-04-02T00:00:00"/>
    <s v="Electronics"/>
    <s v="Hegmann Group"/>
    <s v="Modestia Byfford"/>
    <s v="Case Desorts"/>
    <x v="1"/>
    <s v="38-3894304"/>
    <m/>
    <x v="3"/>
    <x v="3"/>
    <x v="0"/>
  </r>
  <r>
    <s v="France"/>
    <n v="48850.38"/>
    <n v="39788.629999999997"/>
    <d v="2019-03-31T00:00:00"/>
    <s v="Appliances"/>
    <s v="Spencer, Rogahn and Muller"/>
    <s v="Othello Bowes"/>
    <s v="Crysta Halls"/>
    <x v="1"/>
    <s v="33-6126082"/>
    <m/>
    <x v="16"/>
    <x v="10"/>
    <x v="1"/>
  </r>
  <r>
    <s v="Netherlands"/>
    <n v="253291.55"/>
    <n v="219502.46"/>
    <d v="2020-06-12T00:00:00"/>
    <s v="Books"/>
    <s v="Altenwerth-Konopelski"/>
    <s v="Denice Amberg"/>
    <s v="Nero Harbisher"/>
    <x v="1"/>
    <s v="25-4970452"/>
    <m/>
    <x v="18"/>
    <x v="9"/>
    <x v="0"/>
  </r>
  <r>
    <s v="Portugal"/>
    <n v="47186.74"/>
    <n v="38112.730000000003"/>
    <d v="2019-07-28T00:00:00"/>
    <s v="Electronics"/>
    <s v="Hartmann, Hane and Pfannerstill"/>
    <s v="Celine Tumasian"/>
    <s v="Aurelie Wren"/>
    <x v="1"/>
    <s v="34-8903845"/>
    <m/>
    <x v="2"/>
    <x v="2"/>
    <x v="1"/>
  </r>
  <r>
    <s v="Portugal"/>
    <n v="59670.68"/>
    <n v="51269.05"/>
    <d v="2019-09-10T00:00:00"/>
    <s v="Appliances"/>
    <s v="Shanahan, Schaden and Parker"/>
    <s v="Celine Tumasian"/>
    <s v="Aurelie Wren"/>
    <x v="1"/>
    <s v="32-2110689"/>
    <m/>
    <x v="1"/>
    <x v="1"/>
    <x v="1"/>
  </r>
  <r>
    <s v="Portugal"/>
    <n v="228961.3"/>
    <n v="183764.34"/>
    <d v="2020-06-01T00:00:00"/>
    <s v="Appliances"/>
    <s v="Johns and Sons"/>
    <s v="Celine Tumasian"/>
    <s v="Hortense Gerring"/>
    <x v="1"/>
    <s v="37-8204282"/>
    <m/>
    <x v="18"/>
    <x v="9"/>
    <x v="0"/>
  </r>
  <r>
    <s v="France"/>
    <n v="165259.57999999999"/>
    <n v="130703.8"/>
    <d v="2020-06-26T00:00:00"/>
    <s v="Outdoors"/>
    <s v="Armstrong-Little"/>
    <s v="Othello Bowes"/>
    <s v="Crysta Halls"/>
    <x v="1"/>
    <s v="46-1318487"/>
    <m/>
    <x v="18"/>
    <x v="9"/>
    <x v="0"/>
  </r>
  <r>
    <s v="France"/>
    <n v="219911.81"/>
    <n v="179426.05"/>
    <d v="2019-07-05T00:00:00"/>
    <s v="Clothing"/>
    <s v="Smith Group"/>
    <s v="Othello Bowes"/>
    <s v="Crysta Halls"/>
    <x v="1"/>
    <s v="99-3971751"/>
    <m/>
    <x v="2"/>
    <x v="2"/>
    <x v="1"/>
  </r>
  <r>
    <s v="Finland"/>
    <n v="55882.12"/>
    <n v="48561.56"/>
    <d v="2020-05-20T00:00:00"/>
    <s v="Clothing"/>
    <s v="Murray, Reichel and Nolan"/>
    <s v="Hube Corey"/>
    <s v="Mellicent Mattys"/>
    <x v="1"/>
    <s v="24-7985425"/>
    <m/>
    <x v="8"/>
    <x v="6"/>
    <x v="0"/>
  </r>
  <r>
    <s v="France"/>
    <n v="16388.900000000001"/>
    <n v="13430.7"/>
    <d v="2020-03-15T00:00:00"/>
    <s v="Electronics"/>
    <s v="West-Cummings"/>
    <s v="Othello Bowes"/>
    <s v="Crysta Halls"/>
    <x v="1"/>
    <s v="30-9690927"/>
    <m/>
    <x v="19"/>
    <x v="10"/>
    <x v="0"/>
  </r>
  <r>
    <s v="Spain"/>
    <n v="85927.37"/>
    <n v="74490.44"/>
    <d v="2019-04-15T00:00:00"/>
    <s v="Clothing"/>
    <s v="Hartmann, Hane and Pfannerstill"/>
    <s v="Emalia Dinse"/>
    <s v="Perri Aldersley"/>
    <x v="1"/>
    <s v="37-5025811"/>
    <m/>
    <x v="21"/>
    <x v="3"/>
    <x v="1"/>
  </r>
  <r>
    <s v="France"/>
    <n v="161212.39000000001"/>
    <n v="138046.17000000001"/>
    <d v="2020-07-04T00:00:00"/>
    <s v="Accessories"/>
    <s v="Hilll-Vandervort"/>
    <s v="Othello Bowes"/>
    <s v="Crysta Halls"/>
    <x v="1"/>
    <s v="21-6670877"/>
    <m/>
    <x v="5"/>
    <x v="2"/>
    <x v="0"/>
  </r>
  <r>
    <s v="France"/>
    <n v="66678.38"/>
    <n v="53009.31"/>
    <d v="2019-03-04T00:00:00"/>
    <s v="Smartphones"/>
    <s v="Walter LLC"/>
    <s v="Othello Bowes"/>
    <s v="Amelina Piscopiello"/>
    <x v="1"/>
    <s v="34-3119010"/>
    <m/>
    <x v="16"/>
    <x v="10"/>
    <x v="1"/>
  </r>
  <r>
    <s v="Sweden"/>
    <n v="148243.04999999999"/>
    <n v="120566.07"/>
    <d v="2020-12-07T00:00:00"/>
    <s v="Beauty"/>
    <s v="Johns and Sons"/>
    <s v="Maxie Marrow"/>
    <s v="Madelon Bront"/>
    <x v="1"/>
    <s v="54-7503816"/>
    <m/>
    <x v="17"/>
    <x v="4"/>
    <x v="0"/>
  </r>
  <r>
    <s v="Ireland"/>
    <n v="126523.36"/>
    <n v="106368.19"/>
    <d v="2020-05-14T00:00:00"/>
    <s v="Games"/>
    <s v="Gleichner-Green"/>
    <s v="Glenine Suttaby"/>
    <s v="Bunnie Tonbridge"/>
    <x v="1"/>
    <s v="96-1698894"/>
    <m/>
    <x v="8"/>
    <x v="6"/>
    <x v="0"/>
  </r>
  <r>
    <s v="Ireland"/>
    <n v="63373.72"/>
    <n v="55572.41"/>
    <d v="2020-03-03T00:00:00"/>
    <s v="Clothing"/>
    <s v="Dickinson, Hyatt and Berge"/>
    <s v="Glenine Suttaby"/>
    <s v="Bunnie Tonbridge"/>
    <x v="1"/>
    <s v="92-0523700"/>
    <m/>
    <x v="19"/>
    <x v="10"/>
    <x v="0"/>
  </r>
  <r>
    <s v="Ireland"/>
    <n v="76767.77"/>
    <n v="64500.28"/>
    <d v="2020-01-22T00:00:00"/>
    <s v="Games"/>
    <s v="Spencer, Rogahn and Muller"/>
    <s v="Glenine Suttaby"/>
    <s v="Bunnie Tonbridge"/>
    <x v="1"/>
    <s v="15-3657248"/>
    <m/>
    <x v="11"/>
    <x v="7"/>
    <x v="0"/>
  </r>
  <r>
    <s v="Portugal"/>
    <n v="78938.820000000007"/>
    <n v="65471.86"/>
    <d v="2019-04-24T00:00:00"/>
    <s v="Games"/>
    <s v="Fisher, Morar and Skiles"/>
    <s v="Celine Tumasian"/>
    <s v="Brynn Dempster"/>
    <x v="1"/>
    <s v="16-3423161"/>
    <m/>
    <x v="21"/>
    <x v="3"/>
    <x v="1"/>
  </r>
  <r>
    <s v="France"/>
    <n v="131864.04"/>
    <n v="110277.9"/>
    <d v="2019-04-09T00:00:00"/>
    <s v="Appliances"/>
    <s v="Murray, Reichel and Nolan"/>
    <s v="Othello Bowes"/>
    <s v="Ora Grennan"/>
    <x v="1"/>
    <s v="67-2684209"/>
    <m/>
    <x v="21"/>
    <x v="3"/>
    <x v="1"/>
  </r>
  <r>
    <s v="Portugal"/>
    <n v="116774.43"/>
    <n v="98954.65"/>
    <d v="2019-04-21T00:00:00"/>
    <s v="Accessories"/>
    <s v="Labadie and Sons"/>
    <s v="Celine Tumasian"/>
    <s v="Hortense Gerring"/>
    <x v="0"/>
    <s v="21-7344983"/>
    <m/>
    <x v="21"/>
    <x v="3"/>
    <x v="1"/>
  </r>
  <r>
    <s v="France"/>
    <n v="141112.84"/>
    <n v="120044.69"/>
    <d v="2020-08-08T00:00:00"/>
    <s v="Electronics"/>
    <s v="Gislason-Stanton"/>
    <s v="Othello Bowes"/>
    <s v="Avrit Chanders"/>
    <x v="0"/>
    <s v="47-9701762"/>
    <m/>
    <x v="7"/>
    <x v="5"/>
    <x v="0"/>
  </r>
  <r>
    <s v="Bulgaria"/>
    <n v="33210.559999999998"/>
    <n v="29109.06"/>
    <d v="2020-11-20T00:00:00"/>
    <s v="Books"/>
    <s v="Hessel-Stiedemann"/>
    <s v="Charil Alpe"/>
    <s v="Bernadine Fullagar"/>
    <x v="1"/>
    <s v="86-3876359"/>
    <m/>
    <x v="13"/>
    <x v="8"/>
    <x v="0"/>
  </r>
  <r>
    <s v="France"/>
    <n v="174392.33"/>
    <n v="141449.62"/>
    <d v="2020-08-03T00:00:00"/>
    <s v="Smartphones"/>
    <s v="Labadie and Sons"/>
    <s v="Othello Bowes"/>
    <s v="Ora Grennan"/>
    <x v="1"/>
    <s v="34-4313860"/>
    <m/>
    <x v="7"/>
    <x v="5"/>
    <x v="0"/>
  </r>
  <r>
    <s v="Sweden"/>
    <n v="204484.61"/>
    <n v="177308.61"/>
    <d v="2019-06-16T00:00:00"/>
    <s v="Games"/>
    <s v="Hermiston, Simonis and Wisoky"/>
    <s v="Maxie Marrow"/>
    <s v="Caro Morfield"/>
    <x v="2"/>
    <s v="71-4782689"/>
    <m/>
    <x v="15"/>
    <x v="9"/>
    <x v="1"/>
  </r>
  <r>
    <s v="Germany"/>
    <n v="80986.100000000006"/>
    <n v="64124.79"/>
    <d v="2019-12-02T00:00:00"/>
    <s v="Appliances"/>
    <s v="Dickinson, Hyatt and Berge"/>
    <s v="Rickard Doogood"/>
    <s v="Casie MacBain"/>
    <x v="0"/>
    <s v="85-3690127"/>
    <m/>
    <x v="4"/>
    <x v="4"/>
    <x v="1"/>
  </r>
  <r>
    <s v="Sweden"/>
    <n v="179179.73"/>
    <n v="154936.71"/>
    <d v="2019-10-22T00:00:00"/>
    <s v="Books"/>
    <s v="Zieme, Bailey and Herzog"/>
    <s v="Maxie Marrow"/>
    <s v="Anita Woakes"/>
    <x v="1"/>
    <s v="66-5810051"/>
    <m/>
    <x v="20"/>
    <x v="11"/>
    <x v="1"/>
  </r>
  <r>
    <s v="Netherlands"/>
    <n v="99731.4"/>
    <n v="84731.8"/>
    <d v="2020-01-12T00:00:00"/>
    <s v="Electronics"/>
    <s v="Smith Group"/>
    <s v="Denice Amberg"/>
    <s v="Nero Harbisher"/>
    <x v="1"/>
    <s v="81-9170157"/>
    <m/>
    <x v="11"/>
    <x v="7"/>
    <x v="0"/>
  </r>
  <r>
    <s v="France"/>
    <n v="32661.62"/>
    <n v="27922.42"/>
    <d v="2020-02-08T00:00:00"/>
    <s v="Electronics"/>
    <s v="Zieme, Bailey and Herzog"/>
    <s v="Othello Bowes"/>
    <s v="Amelina Piscopiello"/>
    <x v="1"/>
    <s v="24-7300640"/>
    <m/>
    <x v="0"/>
    <x v="0"/>
    <x v="0"/>
  </r>
  <r>
    <s v="Sweden"/>
    <n v="30166.93"/>
    <n v="24658.45"/>
    <d v="2019-11-29T00:00:00"/>
    <s v="Appliances"/>
    <s v="Corwin and Sons"/>
    <s v="Maxie Marrow"/>
    <s v="Tarrah Castelletti"/>
    <x v="1"/>
    <s v="97-1288901"/>
    <m/>
    <x v="14"/>
    <x v="8"/>
    <x v="1"/>
  </r>
  <r>
    <s v="Germany"/>
    <n v="36747.24"/>
    <n v="31900.28"/>
    <d v="2019-01-19T00:00:00"/>
    <s v="Accessories"/>
    <s v="Johns and Sons"/>
    <s v="Rickard Doogood"/>
    <s v="Casie MacBain"/>
    <x v="1"/>
    <s v="81-9757849"/>
    <m/>
    <x v="9"/>
    <x v="7"/>
    <x v="1"/>
  </r>
  <r>
    <s v="France"/>
    <n v="66884.7"/>
    <n v="58544.18"/>
    <d v="2020-01-19T00:00:00"/>
    <s v="Smartphones"/>
    <s v="Wisoky Inc"/>
    <s v="Othello Bowes"/>
    <s v="Crysta Halls"/>
    <x v="1"/>
    <s v="44-9179070"/>
    <m/>
    <x v="11"/>
    <x v="7"/>
    <x v="0"/>
  </r>
  <r>
    <s v="Portugal"/>
    <n v="165305.70000000001"/>
    <n v="134757.21"/>
    <d v="2019-07-13T00:00:00"/>
    <s v="Games"/>
    <s v="Christiansen, Donnelly and Bechtelar"/>
    <s v="Celine Tumasian"/>
    <s v="Aurelie Wren"/>
    <x v="1"/>
    <s v="55-2137809"/>
    <m/>
    <x v="2"/>
    <x v="2"/>
    <x v="1"/>
  </r>
  <r>
    <s v="Sweden"/>
    <n v="50618.21"/>
    <n v="41835.949999999997"/>
    <d v="2019-03-05T00:00:00"/>
    <s v="Beauty"/>
    <s v="Hegmann Group"/>
    <s v="Maxie Marrow"/>
    <s v="Tarrah Castelletti"/>
    <x v="1"/>
    <s v="56-1063618"/>
    <m/>
    <x v="16"/>
    <x v="10"/>
    <x v="1"/>
  </r>
  <r>
    <s v="Sweden"/>
    <n v="82116.31"/>
    <n v="70652.87"/>
    <d v="2020-05-30T00:00:00"/>
    <s v="Beauty"/>
    <s v="Zieme, Bailey and Herzog"/>
    <s v="Maxie Marrow"/>
    <s v="Caro Morfield"/>
    <x v="2"/>
    <s v="01-8080546"/>
    <m/>
    <x v="8"/>
    <x v="6"/>
    <x v="0"/>
  </r>
  <r>
    <s v="Sweden"/>
    <n v="106142.65"/>
    <n v="88151.47"/>
    <d v="2019-06-04T00:00:00"/>
    <s v="Games"/>
    <s v="Baumbach Group"/>
    <s v="Maxie Marrow"/>
    <s v="Anita Woakes"/>
    <x v="1"/>
    <s v="29-5632797"/>
    <m/>
    <x v="15"/>
    <x v="9"/>
    <x v="1"/>
  </r>
  <r>
    <s v="Portugal"/>
    <n v="149514"/>
    <n v="122646.33"/>
    <d v="2020-10-18T00:00:00"/>
    <s v="Games"/>
    <s v="Bashirian, Okuneva and Bechtelar"/>
    <s v="Celine Tumasian"/>
    <s v="Smitty Culverhouse"/>
    <x v="0"/>
    <s v="20-1191256"/>
    <m/>
    <x v="23"/>
    <x v="11"/>
    <x v="0"/>
  </r>
  <r>
    <s v="Sweden"/>
    <n v="30975.79"/>
    <n v="27072.84"/>
    <d v="2020-03-15T00:00:00"/>
    <s v="Clothing"/>
    <s v="McGlynn-Bergstrom"/>
    <s v="Maxie Marrow"/>
    <s v="Tarrah Castelletti"/>
    <x v="1"/>
    <s v="33-4022317"/>
    <m/>
    <x v="19"/>
    <x v="10"/>
    <x v="0"/>
  </r>
  <r>
    <s v="France"/>
    <n v="165118.74"/>
    <n v="137527.4"/>
    <d v="2019-11-02T00:00:00"/>
    <s v="Clothing"/>
    <s v="Smith Group"/>
    <s v="Othello Bowes"/>
    <s v="Amelina Piscopiello"/>
    <x v="1"/>
    <s v="59-5892824"/>
    <m/>
    <x v="14"/>
    <x v="8"/>
    <x v="1"/>
  </r>
  <r>
    <s v="Germany"/>
    <n v="76652.73"/>
    <n v="64311.64"/>
    <d v="2020-08-04T00:00:00"/>
    <s v="Accessories"/>
    <s v="Farrell, Swaniawski and Crist"/>
    <s v="Rickard Doogood"/>
    <s v="Casie MacBain"/>
    <x v="1"/>
    <s v="52-3394023"/>
    <m/>
    <x v="7"/>
    <x v="5"/>
    <x v="0"/>
  </r>
  <r>
    <s v="UK"/>
    <n v="151632.32999999999"/>
    <n v="120744.82"/>
    <d v="2020-07-14T00:00:00"/>
    <s v="Clothing"/>
    <s v="Armstrong-Little"/>
    <s v="Jessamine Apark"/>
    <s v="Winny Agnolo"/>
    <x v="1"/>
    <s v="89-5350599"/>
    <m/>
    <x v="5"/>
    <x v="2"/>
    <x v="0"/>
  </r>
  <r>
    <s v="France"/>
    <n v="35289.75"/>
    <n v="29424.59"/>
    <d v="2019-02-26T00:00:00"/>
    <s v="Smartphones"/>
    <s v="Armstrong-Little"/>
    <s v="Othello Bowes"/>
    <s v="Maighdiln Upcraft"/>
    <x v="1"/>
    <s v="92-6298656"/>
    <m/>
    <x v="6"/>
    <x v="0"/>
    <x v="1"/>
  </r>
  <r>
    <s v="France"/>
    <n v="77043.839999999997"/>
    <n v="63245.29"/>
    <d v="2020-02-08T00:00:00"/>
    <s v="Outdoors"/>
    <s v="Armstrong-Little"/>
    <s v="Othello Bowes"/>
    <s v="Avrit Chanders"/>
    <x v="1"/>
    <s v="91-7317758"/>
    <m/>
    <x v="0"/>
    <x v="0"/>
    <x v="0"/>
  </r>
  <r>
    <s v="Portugal"/>
    <n v="59691.71"/>
    <n v="49239.69"/>
    <d v="2019-06-17T00:00:00"/>
    <s v="Other"/>
    <s v="Walter LLC"/>
    <s v="Celine Tumasian"/>
    <s v="Hortense Gerring"/>
    <x v="1"/>
    <s v="60-6055725"/>
    <m/>
    <x v="15"/>
    <x v="9"/>
    <x v="1"/>
  </r>
  <r>
    <s v="Portugal"/>
    <n v="181882.43"/>
    <n v="149834.75"/>
    <d v="2019-07-28T00:00:00"/>
    <s v="Books"/>
    <s v="McClure Inc"/>
    <s v="Celine Tumasian"/>
    <s v="Corene Shirer"/>
    <x v="1"/>
    <s v="33-2816759"/>
    <m/>
    <x v="2"/>
    <x v="2"/>
    <x v="1"/>
  </r>
  <r>
    <s v="Portugal"/>
    <n v="50796.04"/>
    <n v="44090.96"/>
    <d v="2019-09-21T00:00:00"/>
    <s v="Books"/>
    <s v="Farrell, Swaniawski and Crist"/>
    <s v="Celine Tumasian"/>
    <s v="Hortense Gerring"/>
    <x v="1"/>
    <s v="05-2359767"/>
    <m/>
    <x v="1"/>
    <x v="1"/>
    <x v="1"/>
  </r>
  <r>
    <s v="Netherlands"/>
    <n v="73981.77"/>
    <n v="61959.73"/>
    <d v="2019-11-18T00:00:00"/>
    <s v="Clothing"/>
    <s v="Hamill, Kulas and Roob"/>
    <s v="Denice Amberg"/>
    <s v="Nero Harbisher"/>
    <x v="1"/>
    <s v="73-9492768"/>
    <m/>
    <x v="14"/>
    <x v="8"/>
    <x v="1"/>
  </r>
  <r>
    <s v="UK"/>
    <n v="105686.13"/>
    <n v="86694.33"/>
    <d v="2019-10-13T00:00:00"/>
    <s v="Outdoors"/>
    <s v="Johns and Sons"/>
    <s v="Jessamine Apark"/>
    <s v="Genevra Charrisson"/>
    <x v="1"/>
    <s v="31-6770318"/>
    <m/>
    <x v="20"/>
    <x v="11"/>
    <x v="1"/>
  </r>
  <r>
    <s v="Sweden"/>
    <n v="149376.26"/>
    <n v="123653.67"/>
    <d v="2020-01-31T00:00:00"/>
    <s v="Other"/>
    <s v="Fisher, Morar and Skiles"/>
    <s v="Maxie Marrow"/>
    <s v="Alyosha Meah"/>
    <x v="1"/>
    <s v="52-0695511"/>
    <m/>
    <x v="11"/>
    <x v="7"/>
    <x v="0"/>
  </r>
  <r>
    <s v="Netherlands"/>
    <n v="85237.91"/>
    <n v="72384.03"/>
    <d v="2020-03-18T00:00:00"/>
    <s v="Smartphones"/>
    <s v="Armstrong-Little"/>
    <s v="Denice Amberg"/>
    <s v="Nero Harbisher"/>
    <x v="1"/>
    <s v="45-8314773"/>
    <m/>
    <x v="19"/>
    <x v="10"/>
    <x v="0"/>
  </r>
  <r>
    <s v="Luxembourg"/>
    <n v="104743.22"/>
    <n v="83281.33"/>
    <d v="2019-03-24T00:00:00"/>
    <s v="Electronics"/>
    <s v="Johns and Sons"/>
    <s v="Ilsa Kob"/>
    <s v="Jocelyn Laurentino"/>
    <x v="0"/>
    <s v="53-0205940"/>
    <m/>
    <x v="16"/>
    <x v="10"/>
    <x v="1"/>
  </r>
  <r>
    <s v="Portugal"/>
    <n v="290551.74"/>
    <n v="239530.86"/>
    <d v="2020-12-14T00:00:00"/>
    <s v="Other"/>
    <s v="Hessel-Stiedemann"/>
    <s v="Celine Tumasian"/>
    <s v="Brynn Dempster"/>
    <x v="1"/>
    <s v="53-1660551"/>
    <m/>
    <x v="17"/>
    <x v="4"/>
    <x v="0"/>
  </r>
  <r>
    <s v="France"/>
    <n v="72314.73"/>
    <n v="57309.42"/>
    <d v="2019-08-27T00:00:00"/>
    <s v="Appliances"/>
    <s v="Johns and Sons"/>
    <s v="Othello Bowes"/>
    <s v="Ora Grennan"/>
    <x v="1"/>
    <s v="70-5394452"/>
    <m/>
    <x v="12"/>
    <x v="5"/>
    <x v="1"/>
  </r>
  <r>
    <s v="Netherlands"/>
    <n v="119858.15"/>
    <n v="99997.65"/>
    <d v="2020-11-19T00:00:00"/>
    <s v="Electronics"/>
    <s v="McGlynn-Prosacco"/>
    <s v="Denice Amberg"/>
    <s v="Nero Harbisher"/>
    <x v="1"/>
    <s v="10-0386535"/>
    <m/>
    <x v="13"/>
    <x v="8"/>
    <x v="0"/>
  </r>
  <r>
    <s v="Portugal"/>
    <n v="119937.47"/>
    <n v="98720.53"/>
    <d v="2019-08-13T00:00:00"/>
    <s v="Games"/>
    <s v="Hartmann, Hane and Pfannerstill"/>
    <s v="Celine Tumasian"/>
    <s v="Aurelie Wren"/>
    <x v="1"/>
    <s v="56-8476539"/>
    <m/>
    <x v="12"/>
    <x v="5"/>
    <x v="1"/>
  </r>
  <r>
    <s v="France"/>
    <n v="60592.4"/>
    <n v="52363.95"/>
    <d v="2019-02-22T00:00:00"/>
    <s v="Accessories"/>
    <s v="Rowe, Hermiston and Kessler"/>
    <s v="Othello Bowes"/>
    <s v="Crysta Halls"/>
    <x v="1"/>
    <s v="04-7976277"/>
    <m/>
    <x v="6"/>
    <x v="0"/>
    <x v="1"/>
  </r>
  <r>
    <s v="Ireland"/>
    <n v="31966.82"/>
    <n v="26593.200000000001"/>
    <d v="2020-08-24T00:00:00"/>
    <s v="Appliances"/>
    <s v="Johns and Sons"/>
    <s v="Glenine Suttaby"/>
    <s v="Palm Wetherald"/>
    <x v="1"/>
    <s v="21-2965409"/>
    <m/>
    <x v="7"/>
    <x v="5"/>
    <x v="0"/>
  </r>
  <r>
    <s v="Portugal"/>
    <n v="83226.45"/>
    <n v="71699.59"/>
    <d v="2020-11-22T00:00:00"/>
    <s v="Beauty"/>
    <s v="Swaniawski, Runolfsson and Green"/>
    <s v="Celine Tumasian"/>
    <s v="Corene Shirer"/>
    <x v="1"/>
    <s v="04-2788693"/>
    <m/>
    <x v="13"/>
    <x v="8"/>
    <x v="0"/>
  </r>
  <r>
    <s v="Germany"/>
    <n v="51407.3"/>
    <n v="44292.53"/>
    <d v="2019-05-02T00:00:00"/>
    <s v="Clothing"/>
    <s v="Altenwerth-Konopelski"/>
    <s v="Rickard Doogood"/>
    <s v="Casie MacBain"/>
    <x v="2"/>
    <s v="20-6477396"/>
    <m/>
    <x v="10"/>
    <x v="6"/>
    <x v="1"/>
  </r>
  <r>
    <s v="Germany"/>
    <n v="61968.26"/>
    <n v="50690.04"/>
    <d v="2020-12-27T00:00:00"/>
    <s v="Electronics"/>
    <s v="Romaguera-Dietrich"/>
    <s v="Rickard Doogood"/>
    <s v="Casie MacBain"/>
    <x v="1"/>
    <s v="22-7259031"/>
    <m/>
    <x v="17"/>
    <x v="4"/>
    <x v="0"/>
  </r>
  <r>
    <s v="Ireland"/>
    <n v="271465.15000000002"/>
    <n v="217959.37"/>
    <d v="2019-07-03T00:00:00"/>
    <s v="Electronics"/>
    <s v="Corwin and Sons"/>
    <s v="Glenine Suttaby"/>
    <s v="Bunnie Tonbridge"/>
    <x v="0"/>
    <s v="44-9239029"/>
    <m/>
    <x v="2"/>
    <x v="2"/>
    <x v="1"/>
  </r>
  <r>
    <s v="Sweden"/>
    <n v="86854.64"/>
    <n v="72219.63"/>
    <d v="2020-02-04T00:00:00"/>
    <s v="Books"/>
    <s v="Tillman and Sons"/>
    <s v="Maxie Marrow"/>
    <s v="Tarrah Castelletti"/>
    <x v="1"/>
    <s v="77-4566105"/>
    <m/>
    <x v="0"/>
    <x v="0"/>
    <x v="0"/>
  </r>
  <r>
    <s v="Ireland"/>
    <n v="119819.37"/>
    <n v="105441.05"/>
    <d v="2020-12-07T00:00:00"/>
    <s v="Smartphones"/>
    <s v="Dibbert Inc"/>
    <s v="Glenine Suttaby"/>
    <s v="Palm Wetherald"/>
    <x v="1"/>
    <s v="29-3662564"/>
    <m/>
    <x v="17"/>
    <x v="4"/>
    <x v="0"/>
  </r>
  <r>
    <s v="UK"/>
    <n v="160763.9"/>
    <n v="131102.96"/>
    <d v="2019-04-18T00:00:00"/>
    <s v="Appliances"/>
    <s v="McGlynn-Prosacco"/>
    <s v="Jessamine Apark"/>
    <s v="Genevra Charrisson"/>
    <x v="1"/>
    <s v="73-8057834"/>
    <m/>
    <x v="21"/>
    <x v="3"/>
    <x v="1"/>
  </r>
  <r>
    <s v="Sweden"/>
    <n v="44029.07"/>
    <n v="38344.92"/>
    <d v="2019-09-09T00:00:00"/>
    <s v="Other"/>
    <s v="McGlynn-Bergstrom"/>
    <s v="Maxie Marrow"/>
    <s v="Alyosha Meah"/>
    <x v="1"/>
    <s v="87-9980890"/>
    <m/>
    <x v="1"/>
    <x v="1"/>
    <x v="1"/>
  </r>
  <r>
    <s v="France"/>
    <n v="86628.32"/>
    <n v="72464.59"/>
    <d v="2019-11-06T00:00:00"/>
    <s v="Appliances"/>
    <s v="Kihn Inc"/>
    <s v="Othello Bowes"/>
    <s v="Crysta Halls"/>
    <x v="1"/>
    <s v="98-8250897"/>
    <m/>
    <x v="14"/>
    <x v="8"/>
    <x v="1"/>
  </r>
  <r>
    <s v="Portugal"/>
    <n v="97641.25"/>
    <n v="83414.92"/>
    <d v="2020-10-17T00:00:00"/>
    <s v="Books"/>
    <s v="Morissette Group"/>
    <s v="Celine Tumasian"/>
    <s v="Brynn Dempster"/>
    <x v="1"/>
    <s v="98-3051699"/>
    <m/>
    <x v="23"/>
    <x v="11"/>
    <x v="0"/>
  </r>
  <r>
    <s v="Portugal"/>
    <n v="98746.66"/>
    <n v="80399.53"/>
    <d v="2020-02-10T00:00:00"/>
    <s v="Appliances"/>
    <s v="Considine-Fisher"/>
    <s v="Celine Tumasian"/>
    <s v="Smitty Culverhouse"/>
    <x v="1"/>
    <s v="75-7291972"/>
    <m/>
    <x v="0"/>
    <x v="0"/>
    <x v="0"/>
  </r>
  <r>
    <s v="France"/>
    <n v="109562.5"/>
    <n v="89917.94"/>
    <d v="2020-08-05T00:00:00"/>
    <s v="Appliances"/>
    <s v="Dickinson, Hyatt and Berge"/>
    <s v="Othello Bowes"/>
    <s v="Maighdiln Upcraft"/>
    <x v="1"/>
    <s v="67-3672347"/>
    <m/>
    <x v="7"/>
    <x v="5"/>
    <x v="0"/>
  </r>
  <r>
    <s v="UK"/>
    <n v="60301.96"/>
    <n v="48820.47"/>
    <d v="2019-02-08T00:00:00"/>
    <s v="Beauty"/>
    <s v="Wiza and Sons"/>
    <s v="Jessamine Apark"/>
    <s v="Jay Morefield"/>
    <x v="1"/>
    <s v="75-1785229"/>
    <m/>
    <x v="6"/>
    <x v="0"/>
    <x v="1"/>
  </r>
  <r>
    <s v="France"/>
    <n v="80781.62"/>
    <n v="68971.350000000006"/>
    <d v="2019-01-19T00:00:00"/>
    <s v="Smartphones"/>
    <s v="McGlynn-Prosacco"/>
    <s v="Othello Bowes"/>
    <s v="Ora Grennan"/>
    <x v="0"/>
    <s v="53-1426071"/>
    <m/>
    <x v="9"/>
    <x v="7"/>
    <x v="1"/>
  </r>
  <r>
    <s v="France"/>
    <n v="238659.41"/>
    <n v="204507.25"/>
    <d v="2019-12-23T00:00:00"/>
    <s v="Appliances"/>
    <s v="Corwin and Sons"/>
    <s v="Othello Bowes"/>
    <s v="Amelina Piscopiello"/>
    <x v="2"/>
    <s v="49-7167664"/>
    <m/>
    <x v="4"/>
    <x v="4"/>
    <x v="1"/>
  </r>
  <r>
    <s v="UK"/>
    <n v="165631.75"/>
    <n v="139114.10999999999"/>
    <d v="2019-09-03T00:00:00"/>
    <s v="Appliances"/>
    <s v="Johns and Sons"/>
    <s v="Jessamine Apark"/>
    <s v="Jay Morefield"/>
    <x v="1"/>
    <s v="07-7047482"/>
    <m/>
    <x v="1"/>
    <x v="1"/>
    <x v="1"/>
  </r>
  <r>
    <s v="Sweden"/>
    <n v="126682.79"/>
    <n v="106514.89"/>
    <d v="2019-06-11T00:00:00"/>
    <s v="Smartphones"/>
    <s v="Murray, Reichel and Nolan"/>
    <s v="Maxie Marrow"/>
    <s v="Madelon Bront"/>
    <x v="1"/>
    <s v="57-1931933"/>
    <m/>
    <x v="15"/>
    <x v="9"/>
    <x v="1"/>
  </r>
  <r>
    <s v="Sweden"/>
    <n v="145558"/>
    <n v="116257.18"/>
    <d v="2019-12-20T00:00:00"/>
    <s v="Clothing"/>
    <s v="Konopelski LLC"/>
    <s v="Maxie Marrow"/>
    <s v="Tarrah Castelletti"/>
    <x v="2"/>
    <s v="15-5167065"/>
    <m/>
    <x v="4"/>
    <x v="4"/>
    <x v="1"/>
  </r>
  <r>
    <s v="Spain"/>
    <n v="59163.79"/>
    <n v="50419.38"/>
    <d v="2019-03-11T00:00:00"/>
    <s v="Smartphones"/>
    <s v="McClure Inc"/>
    <s v="Emalia Dinse"/>
    <s v="Perri Aldersley"/>
    <x v="0"/>
    <s v="98-9382686"/>
    <m/>
    <x v="16"/>
    <x v="10"/>
    <x v="1"/>
  </r>
  <r>
    <s v="Sweden"/>
    <n v="140352.81"/>
    <n v="122303.44"/>
    <d v="2019-12-01T00:00:00"/>
    <s v="Smartphones"/>
    <s v="Hilll-Vandervort"/>
    <s v="Maxie Marrow"/>
    <s v="Caro Morfield"/>
    <x v="1"/>
    <s v="47-5733147"/>
    <m/>
    <x v="4"/>
    <x v="4"/>
    <x v="1"/>
  </r>
  <r>
    <s v="France"/>
    <n v="163401.23000000001"/>
    <n v="139413.93"/>
    <d v="2019-04-22T00:00:00"/>
    <s v="Clothing"/>
    <s v="Wisoky Inc"/>
    <s v="Othello Bowes"/>
    <s v="Avrit Chanders"/>
    <x v="1"/>
    <s v="98-2104934"/>
    <m/>
    <x v="21"/>
    <x v="3"/>
    <x v="1"/>
  </r>
  <r>
    <s v="Sweden"/>
    <n v="177867.3"/>
    <n v="140675.25"/>
    <d v="2020-10-03T00:00:00"/>
    <s v="Smartphones"/>
    <s v="Walter LLC"/>
    <s v="Maxie Marrow"/>
    <s v="Anita Woakes"/>
    <x v="1"/>
    <s v="30-6005742"/>
    <m/>
    <x v="23"/>
    <x v="11"/>
    <x v="0"/>
  </r>
  <r>
    <s v="Germany"/>
    <n v="58416.81"/>
    <n v="46745.13"/>
    <d v="2019-02-07T00:00:00"/>
    <s v="Clothing"/>
    <s v="Morissette Group"/>
    <s v="Rickard Doogood"/>
    <s v="Casie MacBain"/>
    <x v="1"/>
    <s v="21-7461655"/>
    <m/>
    <x v="6"/>
    <x v="0"/>
    <x v="1"/>
  </r>
  <r>
    <s v="Germany"/>
    <n v="169544.95"/>
    <n v="137568.76999999999"/>
    <d v="2020-04-12T00:00:00"/>
    <s v="Appliances"/>
    <s v="Keeling, Monahan and Pollich"/>
    <s v="Rickard Doogood"/>
    <s v="Casie MacBain"/>
    <x v="0"/>
    <s v="96-7625873"/>
    <m/>
    <x v="3"/>
    <x v="3"/>
    <x v="0"/>
  </r>
  <r>
    <s v="Luxembourg"/>
    <n v="74732.789999999994"/>
    <n v="64098.31"/>
    <d v="2020-02-24T00:00:00"/>
    <s v="Beauty"/>
    <s v="McClure Inc"/>
    <s v="Ilsa Kob"/>
    <s v="Jocelyn Laurentino"/>
    <x v="1"/>
    <s v="53-2132479"/>
    <m/>
    <x v="0"/>
    <x v="0"/>
    <x v="0"/>
  </r>
  <r>
    <s v="Portugal"/>
    <n v="55166.78"/>
    <n v="47443.43"/>
    <d v="2020-04-13T00:00:00"/>
    <s v="Books"/>
    <s v="Gislason-Stanton"/>
    <s v="Celine Tumasian"/>
    <s v="Hortense Gerring"/>
    <x v="1"/>
    <s v="70-4650708"/>
    <m/>
    <x v="3"/>
    <x v="3"/>
    <x v="0"/>
  </r>
  <r>
    <s v="France"/>
    <n v="99319.33"/>
    <n v="79127.710000000006"/>
    <d v="2020-05-26T00:00:00"/>
    <s v="Games"/>
    <s v="Hessel-Stiedemann"/>
    <s v="Othello Bowes"/>
    <s v="Amelina Piscopiello"/>
    <x v="1"/>
    <s v="53-3037652"/>
    <m/>
    <x v="8"/>
    <x v="6"/>
    <x v="0"/>
  </r>
  <r>
    <s v="Sweden"/>
    <n v="118982.14"/>
    <n v="95506.96"/>
    <d v="2020-01-15T00:00:00"/>
    <s v="Clothing"/>
    <s v="Stehr-Bogan"/>
    <s v="Maxie Marrow"/>
    <s v="Caro Morfield"/>
    <x v="0"/>
    <s v="76-0774122"/>
    <m/>
    <x v="11"/>
    <x v="7"/>
    <x v="0"/>
  </r>
  <r>
    <s v="Ireland"/>
    <n v="157007.51999999999"/>
    <n v="126940.58"/>
    <d v="2019-08-31T00:00:00"/>
    <s v="Beauty"/>
    <s v="Friesen-Rath"/>
    <s v="Glenine Suttaby"/>
    <s v="Bunnie Tonbridge"/>
    <x v="1"/>
    <s v="72-3928347"/>
    <m/>
    <x v="12"/>
    <x v="5"/>
    <x v="1"/>
  </r>
  <r>
    <s v="France"/>
    <n v="49374.25"/>
    <n v="39208.089999999997"/>
    <d v="2019-05-21T00:00:00"/>
    <s v="Books"/>
    <s v="Stehr LLC"/>
    <s v="Othello Bowes"/>
    <s v="Ora Grennan"/>
    <x v="1"/>
    <s v="87-1399932"/>
    <m/>
    <x v="10"/>
    <x v="6"/>
    <x v="1"/>
  </r>
  <r>
    <s v="Portugal"/>
    <n v="123891.6"/>
    <n v="104118.5"/>
    <d v="2019-07-23T00:00:00"/>
    <s v="Games"/>
    <s v="Hegmann Group"/>
    <s v="Celine Tumasian"/>
    <s v="Smitty Culverhouse"/>
    <x v="1"/>
    <s v="25-1045028"/>
    <m/>
    <x v="2"/>
    <x v="2"/>
    <x v="1"/>
  </r>
  <r>
    <s v="France"/>
    <n v="234340.31"/>
    <n v="204438.49"/>
    <d v="2020-12-13T00:00:00"/>
    <s v="Clothing"/>
    <s v="Hessel-Stiedemann"/>
    <s v="Othello Bowes"/>
    <s v="Avrit Chanders"/>
    <x v="1"/>
    <s v="70-0364033"/>
    <m/>
    <x v="17"/>
    <x v="4"/>
    <x v="0"/>
  </r>
  <r>
    <s v="Netherlands"/>
    <n v="95575.75"/>
    <n v="75504.84"/>
    <d v="2020-12-23T00:00:00"/>
    <s v="Books"/>
    <s v="Hessel-Stiedemann"/>
    <s v="Denice Amberg"/>
    <s v="Nero Harbisher"/>
    <x v="1"/>
    <s v="35-9372764"/>
    <m/>
    <x v="17"/>
    <x v="4"/>
    <x v="0"/>
  </r>
  <r>
    <s v="Finland"/>
    <n v="125280.28"/>
    <n v="99372.32"/>
    <d v="2019-10-18T00:00:00"/>
    <s v="Beauty"/>
    <s v="Romaguera-Dietrich"/>
    <s v="Hube Corey"/>
    <s v="Wat Bowkley"/>
    <x v="1"/>
    <s v="36-1142710"/>
    <m/>
    <x v="20"/>
    <x v="11"/>
    <x v="1"/>
  </r>
  <r>
    <s v="Portugal"/>
    <n v="127482.28"/>
    <n v="108614.9"/>
    <d v="2020-08-26T00:00:00"/>
    <s v="Beauty"/>
    <s v="Hilll-Vandervort"/>
    <s v="Celine Tumasian"/>
    <s v="Aurelie Wren"/>
    <x v="1"/>
    <s v="75-6291395"/>
    <m/>
    <x v="7"/>
    <x v="5"/>
    <x v="0"/>
  </r>
  <r>
    <s v="Portugal"/>
    <n v="120453.52"/>
    <n v="97218.04"/>
    <d v="2019-02-11T00:00:00"/>
    <s v="Beauty"/>
    <s v="Schowalter, Lesch and Beahan"/>
    <s v="Celine Tumasian"/>
    <s v="Brynn Dempster"/>
    <x v="1"/>
    <s v="00-3338378"/>
    <m/>
    <x v="6"/>
    <x v="0"/>
    <x v="1"/>
  </r>
  <r>
    <s v="Portugal"/>
    <n v="120152.33"/>
    <n v="97527.65"/>
    <d v="2019-09-29T00:00:00"/>
    <s v="Outdoors"/>
    <s v="Romaguera-Dietrich"/>
    <s v="Celine Tumasian"/>
    <s v="Smitty Culverhouse"/>
    <x v="1"/>
    <s v="55-1904761"/>
    <m/>
    <x v="1"/>
    <x v="1"/>
    <x v="1"/>
  </r>
  <r>
    <s v="Portugal"/>
    <n v="95410.97"/>
    <n v="80593.649999999994"/>
    <d v="2020-09-22T00:00:00"/>
    <s v="Books"/>
    <s v="Murray, Reichel and Nolan"/>
    <s v="Celine Tumasian"/>
    <s v="Hortense Gerring"/>
    <x v="0"/>
    <s v="70-9736399"/>
    <m/>
    <x v="22"/>
    <x v="1"/>
    <x v="0"/>
  </r>
  <r>
    <s v="France"/>
    <n v="128804.51"/>
    <n v="105709.86"/>
    <d v="2019-09-13T00:00:00"/>
    <s v="Appliances"/>
    <s v="Connelly-Mohr"/>
    <s v="Othello Bowes"/>
    <s v="Amelina Piscopiello"/>
    <x v="2"/>
    <s v="20-3125420"/>
    <m/>
    <x v="1"/>
    <x v="1"/>
    <x v="1"/>
  </r>
  <r>
    <s v="Italy"/>
    <n v="26899.97"/>
    <n v="23198.53"/>
    <d v="2019-03-19T00:00:00"/>
    <s v="Games"/>
    <s v="Hessel-Stiedemann"/>
    <s v="Piggy Roscrigg"/>
    <s v="Joshua Prevost"/>
    <x v="1"/>
    <s v="57-2968987"/>
    <m/>
    <x v="16"/>
    <x v="10"/>
    <x v="1"/>
  </r>
  <r>
    <s v="UK"/>
    <n v="123751.91"/>
    <n v="102590.33"/>
    <d v="2019-11-18T00:00:00"/>
    <s v="Smartphones"/>
    <s v="Johns and Sons"/>
    <s v="Jessamine Apark"/>
    <s v="Jay Morefield"/>
    <x v="1"/>
    <s v="76-2146784"/>
    <m/>
    <x v="14"/>
    <x v="8"/>
    <x v="1"/>
  </r>
  <r>
    <s v="Sweden"/>
    <n v="37081.31"/>
    <n v="31304.04"/>
    <d v="2019-03-11T00:00:00"/>
    <s v="Beauty"/>
    <s v="McGlynn-Prosacco"/>
    <s v="Maxie Marrow"/>
    <s v="Anita Woakes"/>
    <x v="1"/>
    <s v="19-3129154"/>
    <m/>
    <x v="16"/>
    <x v="10"/>
    <x v="1"/>
  </r>
  <r>
    <s v="France"/>
    <n v="133905.54999999999"/>
    <n v="116886.15"/>
    <d v="2020-08-01T00:00:00"/>
    <s v="Books"/>
    <s v="Keeling, Monahan and Pollich"/>
    <s v="Othello Bowes"/>
    <s v="Avrit Chanders"/>
    <x v="0"/>
    <s v="79-0973971"/>
    <m/>
    <x v="7"/>
    <x v="5"/>
    <x v="0"/>
  </r>
  <r>
    <s v="France"/>
    <n v="63298.61"/>
    <n v="53645.57"/>
    <d v="2020-04-10T00:00:00"/>
    <s v="Appliances"/>
    <s v="Schowalter, Lesch and Beahan"/>
    <s v="Othello Bowes"/>
    <s v="Avrit Chanders"/>
    <x v="0"/>
    <s v="65-5376517"/>
    <m/>
    <x v="3"/>
    <x v="3"/>
    <x v="0"/>
  </r>
  <r>
    <s v="France"/>
    <n v="274242.36"/>
    <n v="227950.25"/>
    <d v="2020-12-09T00:00:00"/>
    <s v="Outdoors"/>
    <s v="Hessel-Stiedemann"/>
    <s v="Othello Bowes"/>
    <s v="Amelina Piscopiello"/>
    <x v="0"/>
    <s v="80-5258827"/>
    <m/>
    <x v="17"/>
    <x v="4"/>
    <x v="0"/>
  </r>
  <r>
    <s v="Luxembourg"/>
    <n v="312928.71999999997"/>
    <n v="270401.71000000002"/>
    <d v="2019-12-12T00:00:00"/>
    <s v="Beauty"/>
    <s v="Altenwerth-Konopelski"/>
    <s v="Ilsa Kob"/>
    <s v="Jocelyn Laurentino"/>
    <x v="2"/>
    <s v="98-5257166"/>
    <m/>
    <x v="4"/>
    <x v="4"/>
    <x v="1"/>
  </r>
  <r>
    <s v="France"/>
    <n v="119156.18"/>
    <n v="100710.8"/>
    <d v="2019-08-20T00:00:00"/>
    <s v="Beauty"/>
    <s v="Johns and Sons"/>
    <s v="Othello Bowes"/>
    <s v="Ora Grennan"/>
    <x v="1"/>
    <s v="19-5610175"/>
    <m/>
    <x v="12"/>
    <x v="5"/>
    <x v="1"/>
  </r>
  <r>
    <s v="France"/>
    <n v="162123.74"/>
    <n v="133979.06"/>
    <d v="2020-04-14T00:00:00"/>
    <s v="Beauty"/>
    <s v="Johns and Sons"/>
    <s v="Othello Bowes"/>
    <s v="Maighdiln Upcraft"/>
    <x v="1"/>
    <s v="94-3509391"/>
    <m/>
    <x v="3"/>
    <x v="3"/>
    <x v="0"/>
  </r>
  <r>
    <s v="Ireland"/>
    <n v="65831.42"/>
    <n v="52487.39"/>
    <d v="2019-01-12T00:00:00"/>
    <s v="Electronics"/>
    <s v="Christiansen, Donnelly and Bechtelar"/>
    <s v="Glenine Suttaby"/>
    <s v="Palm Wetherald"/>
    <x v="1"/>
    <s v="43-5417299"/>
    <m/>
    <x v="9"/>
    <x v="7"/>
    <x v="1"/>
  </r>
  <r>
    <s v="France"/>
    <n v="180515.09"/>
    <n v="148852.74"/>
    <d v="2019-12-26T00:00:00"/>
    <s v="Books"/>
    <s v="Franecki-White"/>
    <s v="Othello Bowes"/>
    <s v="Amelina Piscopiello"/>
    <x v="1"/>
    <s v="68-6141868"/>
    <m/>
    <x v="4"/>
    <x v="4"/>
    <x v="1"/>
  </r>
  <r>
    <s v="UK"/>
    <n v="99114.91"/>
    <n v="84217.94"/>
    <d v="2020-04-04T00:00:00"/>
    <s v="Clothing"/>
    <s v="Johns and Sons"/>
    <s v="Jessamine Apark"/>
    <s v="Winny Agnolo"/>
    <x v="1"/>
    <s v="29-8979189"/>
    <m/>
    <x v="3"/>
    <x v="3"/>
    <x v="0"/>
  </r>
  <r>
    <s v="Portugal"/>
    <n v="171884"/>
    <n v="146702.99"/>
    <d v="2019-10-13T00:00:00"/>
    <s v="Games"/>
    <s v="Johns and Sons"/>
    <s v="Celine Tumasian"/>
    <s v="Smitty Culverhouse"/>
    <x v="1"/>
    <s v="58-9821508"/>
    <m/>
    <x v="20"/>
    <x v="11"/>
    <x v="1"/>
  </r>
  <r>
    <s v="Denmark"/>
    <n v="26745.94"/>
    <n v="22600.32"/>
    <d v="2019-11-10T00:00:00"/>
    <s v="Appliances"/>
    <s v="Larkin-Collier"/>
    <s v="Modestia Byfford"/>
    <s v="Case Desorts"/>
    <x v="1"/>
    <s v="49-1493117"/>
    <m/>
    <x v="14"/>
    <x v="8"/>
    <x v="1"/>
  </r>
  <r>
    <s v="Portugal"/>
    <n v="77087.839999999997"/>
    <n v="65894.69"/>
    <d v="2020-05-17T00:00:00"/>
    <s v="Other"/>
    <s v="Rowe, Hermiston and Kessler"/>
    <s v="Celine Tumasian"/>
    <s v="Aurelie Wren"/>
    <x v="1"/>
    <s v="51-5334556"/>
    <m/>
    <x v="8"/>
    <x v="6"/>
    <x v="0"/>
  </r>
  <r>
    <s v="France"/>
    <n v="87404"/>
    <n v="69363.81"/>
    <d v="2019-12-26T00:00:00"/>
    <s v="Electronics"/>
    <s v="Johns and Sons"/>
    <s v="Othello Bowes"/>
    <s v="Maighdiln Upcraft"/>
    <x v="1"/>
    <s v="79-3154360"/>
    <m/>
    <x v="4"/>
    <x v="4"/>
    <x v="1"/>
  </r>
  <r>
    <s v="France"/>
    <n v="47680.2"/>
    <n v="40575.85"/>
    <d v="2019-07-08T00:00:00"/>
    <s v="Clothing"/>
    <s v="Dibbert Inc"/>
    <s v="Othello Bowes"/>
    <s v="Crysta Halls"/>
    <x v="1"/>
    <s v="11-6024248"/>
    <m/>
    <x v="2"/>
    <x v="2"/>
    <x v="1"/>
  </r>
  <r>
    <s v="Finland"/>
    <n v="27824.83"/>
    <n v="23517.55"/>
    <d v="2019-09-06T00:00:00"/>
    <s v="Games"/>
    <s v="McClure Inc"/>
    <s v="Hube Corey"/>
    <s v="Wat Bowkley"/>
    <x v="1"/>
    <s v="61-4610981"/>
    <m/>
    <x v="1"/>
    <x v="1"/>
    <x v="1"/>
  </r>
  <r>
    <s v="Portugal"/>
    <n v="106516.4"/>
    <n v="86928.03"/>
    <d v="2019-03-21T00:00:00"/>
    <s v="Clothing"/>
    <s v="Hartmann, Hane and Pfannerstill"/>
    <s v="Celine Tumasian"/>
    <s v="Smitty Culverhouse"/>
    <x v="1"/>
    <s v="12-4509008"/>
    <m/>
    <x v="16"/>
    <x v="10"/>
    <x v="1"/>
  </r>
  <r>
    <s v="France"/>
    <n v="141948.10999999999"/>
    <n v="112948.11"/>
    <d v="2020-04-25T00:00:00"/>
    <s v="Books"/>
    <s v="Stehr LLC"/>
    <s v="Othello Bowes"/>
    <s v="Maighdiln Upcraft"/>
    <x v="1"/>
    <s v="46-5576111"/>
    <m/>
    <x v="3"/>
    <x v="3"/>
    <x v="0"/>
  </r>
  <r>
    <s v="Ireland"/>
    <n v="226021.18"/>
    <n v="180455.31"/>
    <d v="2019-07-18T00:00:00"/>
    <s v="Accessories"/>
    <s v="Schowalter, Lesch and Beahan"/>
    <s v="Glenine Suttaby"/>
    <s v="Palm Wetherald"/>
    <x v="1"/>
    <s v="44-6718687"/>
    <m/>
    <x v="2"/>
    <x v="2"/>
    <x v="1"/>
  </r>
  <r>
    <s v="Italy"/>
    <n v="44232.84"/>
    <n v="38880.67"/>
    <d v="2020-02-20T00:00:00"/>
    <s v="Books"/>
    <s v="Johns and Sons"/>
    <s v="Piggy Roscrigg"/>
    <s v="Joshua Prevost"/>
    <x v="2"/>
    <s v="67-7432229"/>
    <m/>
    <x v="0"/>
    <x v="0"/>
    <x v="0"/>
  </r>
  <r>
    <s v="Ireland"/>
    <n v="135344.51999999999"/>
    <n v="117492.58"/>
    <d v="2019-01-17T00:00:00"/>
    <s v="Games"/>
    <s v="Tillman and Sons"/>
    <s v="Glenine Suttaby"/>
    <s v="Palm Wetherald"/>
    <x v="1"/>
    <s v="17-4401585"/>
    <m/>
    <x v="9"/>
    <x v="7"/>
    <x v="1"/>
  </r>
  <r>
    <s v="France"/>
    <n v="271411.92"/>
    <n v="231514.37"/>
    <d v="2019-12-09T00:00:00"/>
    <s v="Clothing"/>
    <s v="Hessel-Stiedemann"/>
    <s v="Othello Bowes"/>
    <s v="Amelina Piscopiello"/>
    <x v="2"/>
    <s v="56-9241023"/>
    <m/>
    <x v="4"/>
    <x v="4"/>
    <x v="1"/>
  </r>
  <r>
    <s v="Portugal"/>
    <n v="125253.59"/>
    <n v="108269.2"/>
    <d v="2020-02-17T00:00:00"/>
    <s v="Smartphones"/>
    <s v="Murray, Reichel and Nolan"/>
    <s v="Celine Tumasian"/>
    <s v="Corene Shirer"/>
    <x v="1"/>
    <s v="90-2194359"/>
    <m/>
    <x v="0"/>
    <x v="0"/>
    <x v="0"/>
  </r>
  <r>
    <s v="Sweden"/>
    <n v="15100.57"/>
    <n v="12113.68"/>
    <d v="2019-02-20T00:00:00"/>
    <s v="Games"/>
    <s v="Murray, Reichel and Nolan"/>
    <s v="Maxie Marrow"/>
    <s v="Tarrah Castelletti"/>
    <x v="1"/>
    <s v="89-2424262"/>
    <m/>
    <x v="6"/>
    <x v="0"/>
    <x v="1"/>
  </r>
  <r>
    <s v="France"/>
    <n v="157932.84"/>
    <n v="134148.15"/>
    <d v="2020-01-31T00:00:00"/>
    <s v="Games"/>
    <s v="Schowalter, Lesch and Beahan"/>
    <s v="Othello Bowes"/>
    <s v="Amelina Piscopiello"/>
    <x v="1"/>
    <s v="30-2982340"/>
    <m/>
    <x v="11"/>
    <x v="7"/>
    <x v="0"/>
  </r>
  <r>
    <s v="Portugal"/>
    <n v="64192.86"/>
    <n v="52837.14"/>
    <d v="2020-04-12T00:00:00"/>
    <s v="Appliances"/>
    <s v="Johns and Sons"/>
    <s v="Celine Tumasian"/>
    <s v="Brynn Dempster"/>
    <x v="1"/>
    <s v="10-4704941"/>
    <m/>
    <x v="3"/>
    <x v="3"/>
    <x v="0"/>
  </r>
  <r>
    <s v="Sweden"/>
    <n v="156453.01"/>
    <n v="128494.86"/>
    <d v="2020-10-04T00:00:00"/>
    <s v="Clothing"/>
    <s v="Johns and Sons"/>
    <s v="Maxie Marrow"/>
    <s v="Madelon Bront"/>
    <x v="1"/>
    <s v="48-3484986"/>
    <m/>
    <x v="23"/>
    <x v="11"/>
    <x v="0"/>
  </r>
  <r>
    <s v="Finland"/>
    <n v="53616.06"/>
    <n v="45589.74"/>
    <d v="2020-01-03T00:00:00"/>
    <s v="Appliances"/>
    <s v="Kihn Inc"/>
    <s v="Hube Corey"/>
    <s v="Wat Bowkley"/>
    <x v="1"/>
    <s v="84-4478396"/>
    <m/>
    <x v="11"/>
    <x v="7"/>
    <x v="0"/>
  </r>
  <r>
    <s v="Finland"/>
    <n v="163967.89000000001"/>
    <n v="138208.53"/>
    <d v="2019-05-30T00:00:00"/>
    <s v="Appliances"/>
    <s v="Friesen-Rath"/>
    <s v="Hube Corey"/>
    <s v="Wat Bowkley"/>
    <x v="2"/>
    <s v="28-0849652"/>
    <m/>
    <x v="10"/>
    <x v="6"/>
    <x v="1"/>
  </r>
  <r>
    <s v="Sweden"/>
    <n v="171748.56"/>
    <n v="136574.45000000001"/>
    <d v="2020-11-20T00:00:00"/>
    <s v="Games"/>
    <s v="Walter LLC"/>
    <s v="Maxie Marrow"/>
    <s v="Madelon Bront"/>
    <x v="1"/>
    <s v="74-0214938"/>
    <m/>
    <x v="13"/>
    <x v="8"/>
    <x v="0"/>
  </r>
  <r>
    <s v="France"/>
    <n v="26103.94"/>
    <n v="22339.75"/>
    <d v="2020-08-31T00:00:00"/>
    <s v="Appliances"/>
    <s v="Fisher, Morar and Skiles"/>
    <s v="Othello Bowes"/>
    <s v="Ora Grennan"/>
    <x v="2"/>
    <s v="89-0187996"/>
    <m/>
    <x v="7"/>
    <x v="5"/>
    <x v="0"/>
  </r>
  <r>
    <s v="Portugal"/>
    <n v="140337.34"/>
    <n v="115708.14"/>
    <d v="2020-09-04T00:00:00"/>
    <s v="Appliances"/>
    <s v="Hegmann Group"/>
    <s v="Celine Tumasian"/>
    <s v="Corene Shirer"/>
    <x v="1"/>
    <s v="65-8218141"/>
    <m/>
    <x v="22"/>
    <x v="1"/>
    <x v="0"/>
  </r>
  <r>
    <s v="Sweden"/>
    <n v="33617.03"/>
    <n v="26614.6"/>
    <d v="2020-04-07T00:00:00"/>
    <s v="Appliances"/>
    <s v="Altenwerth-Konopelski"/>
    <s v="Maxie Marrow"/>
    <s v="Madelon Bront"/>
    <x v="1"/>
    <s v="49-8489293"/>
    <m/>
    <x v="3"/>
    <x v="3"/>
    <x v="0"/>
  </r>
  <r>
    <s v="Portugal"/>
    <n v="187874.45"/>
    <n v="160031.46"/>
    <d v="2019-06-26T00:00:00"/>
    <s v="Accessories"/>
    <s v="Johns and Sons"/>
    <s v="Celine Tumasian"/>
    <s v="Hortense Gerring"/>
    <x v="1"/>
    <s v="91-8142232"/>
    <m/>
    <x v="15"/>
    <x v="9"/>
    <x v="1"/>
  </r>
  <r>
    <s v="Finland"/>
    <n v="41675.01"/>
    <n v="33765.089999999997"/>
    <d v="2019-06-25T00:00:00"/>
    <s v="Beauty"/>
    <s v="Hamill, Kulas and Roob"/>
    <s v="Hube Corey"/>
    <s v="Wat Bowkley"/>
    <x v="1"/>
    <s v="75-5380350"/>
    <m/>
    <x v="15"/>
    <x v="9"/>
    <x v="1"/>
  </r>
  <r>
    <s v="Portugal"/>
    <n v="34930.080000000002"/>
    <n v="28017.42"/>
    <d v="2019-11-01T00:00:00"/>
    <s v="Appliances"/>
    <s v="Kihn Inc"/>
    <s v="Celine Tumasian"/>
    <s v="Smitty Culverhouse"/>
    <x v="1"/>
    <s v="35-4551515"/>
    <m/>
    <x v="14"/>
    <x v="8"/>
    <x v="1"/>
  </r>
  <r>
    <s v="Finland"/>
    <n v="127994.87"/>
    <n v="105800.56"/>
    <d v="2020-09-01T00:00:00"/>
    <s v="Books"/>
    <s v="Hegmann Group"/>
    <s v="Hube Corey"/>
    <s v="Mellicent Mattys"/>
    <x v="1"/>
    <s v="73-2763209"/>
    <m/>
    <x v="22"/>
    <x v="1"/>
    <x v="0"/>
  </r>
  <r>
    <s v="Portugal"/>
    <n v="162637.68"/>
    <n v="130402.89"/>
    <d v="2019-09-27T00:00:00"/>
    <s v="Clothing"/>
    <s v="Larkin-Collier"/>
    <s v="Celine Tumasian"/>
    <s v="Corene Shirer"/>
    <x v="1"/>
    <s v="56-0800364"/>
    <m/>
    <x v="1"/>
    <x v="1"/>
    <x v="1"/>
  </r>
  <r>
    <s v="Portugal"/>
    <n v="40728.28"/>
    <n v="35669.83"/>
    <d v="2019-09-22T00:00:00"/>
    <s v="Beauty"/>
    <s v="Romaguera-Haley"/>
    <s v="Celine Tumasian"/>
    <s v="Hortense Gerring"/>
    <x v="0"/>
    <s v="42-7027181"/>
    <m/>
    <x v="1"/>
    <x v="1"/>
    <x v="1"/>
  </r>
  <r>
    <s v="Finland"/>
    <n v="293767.28000000003"/>
    <n v="254079.32"/>
    <d v="2020-06-05T00:00:00"/>
    <s v="Games"/>
    <s v="West-Cummings"/>
    <s v="Hube Corey"/>
    <s v="Wat Bowkley"/>
    <x v="1"/>
    <s v="29-0601002"/>
    <m/>
    <x v="18"/>
    <x v="9"/>
    <x v="0"/>
  </r>
  <r>
    <s v="Sweden"/>
    <n v="57913.36"/>
    <n v="48693.55"/>
    <d v="2019-09-11T00:00:00"/>
    <s v="Games"/>
    <s v="Murray, Reichel and Nolan"/>
    <s v="Maxie Marrow"/>
    <s v="Alyosha Meah"/>
    <x v="1"/>
    <s v="90-2797129"/>
    <m/>
    <x v="1"/>
    <x v="1"/>
    <x v="1"/>
  </r>
  <r>
    <s v="UK"/>
    <n v="63979.040000000001"/>
    <n v="56032.84"/>
    <d v="2019-10-22T00:00:00"/>
    <s v="Games"/>
    <s v="Schoen-Keeling"/>
    <s v="Jessamine Apark"/>
    <s v="Genevra Charrisson"/>
    <x v="1"/>
    <s v="27-3437546"/>
    <m/>
    <x v="20"/>
    <x v="11"/>
    <x v="1"/>
  </r>
  <r>
    <s v="France"/>
    <n v="102255.86"/>
    <n v="83379.429999999993"/>
    <d v="2020-11-12T00:00:00"/>
    <s v="Smartphones"/>
    <s v="Rath-Schroeder"/>
    <s v="Othello Bowes"/>
    <s v="Avrit Chanders"/>
    <x v="1"/>
    <s v="78-3726363"/>
    <m/>
    <x v="13"/>
    <x v="8"/>
    <x v="0"/>
  </r>
  <r>
    <s v="Finland"/>
    <n v="107271.94"/>
    <n v="86665"/>
    <d v="2020-08-23T00:00:00"/>
    <s v="Games"/>
    <s v="Johns and Sons"/>
    <s v="Hube Corey"/>
    <s v="Wat Bowkley"/>
    <x v="1"/>
    <s v="78-8990131"/>
    <m/>
    <x v="7"/>
    <x v="5"/>
    <x v="0"/>
  </r>
  <r>
    <s v="Austria"/>
    <n v="51090.76"/>
    <n v="40739.769999999997"/>
    <d v="2020-03-12T00:00:00"/>
    <s v="Electronics"/>
    <s v="Smith Group"/>
    <s v="Orsa Geekin"/>
    <s v="Bank Coumbe"/>
    <x v="1"/>
    <s v="85-2223377"/>
    <m/>
    <x v="19"/>
    <x v="10"/>
    <x v="0"/>
  </r>
  <r>
    <s v="Sweden"/>
    <n v="102299.92"/>
    <n v="81706.95"/>
    <d v="2019-08-22T00:00:00"/>
    <s v="Beauty"/>
    <s v="Rowe, Hermiston and Kessler"/>
    <s v="Maxie Marrow"/>
    <s v="Alyosha Meah"/>
    <x v="1"/>
    <s v="73-9246627"/>
    <m/>
    <x v="12"/>
    <x v="5"/>
    <x v="1"/>
  </r>
  <r>
    <s v="France"/>
    <n v="144204.85999999999"/>
    <n v="115262.94"/>
    <d v="2020-11-08T00:00:00"/>
    <s v="Books"/>
    <s v="McClure Inc"/>
    <s v="Othello Bowes"/>
    <s v="Amelina Piscopiello"/>
    <x v="1"/>
    <s v="56-7910696"/>
    <m/>
    <x v="13"/>
    <x v="8"/>
    <x v="0"/>
  </r>
  <r>
    <s v="France"/>
    <n v="36183.97"/>
    <n v="30579.07"/>
    <d v="2020-08-09T00:00:00"/>
    <s v="Books"/>
    <s v="Bashirian, Okuneva and Bechtelar"/>
    <s v="Othello Bowes"/>
    <s v="Avrit Chanders"/>
    <x v="0"/>
    <s v="91-4296427"/>
    <m/>
    <x v="7"/>
    <x v="5"/>
    <x v="0"/>
  </r>
  <r>
    <s v="UK"/>
    <n v="47771.76"/>
    <n v="39234.949999999997"/>
    <d v="2019-05-29T00:00:00"/>
    <s v="Beauty"/>
    <s v="Dibbert Inc"/>
    <s v="Jessamine Apark"/>
    <s v="Genevra Charrisson"/>
    <x v="1"/>
    <s v="70-8181545"/>
    <m/>
    <x v="10"/>
    <x v="6"/>
    <x v="1"/>
  </r>
  <r>
    <s v="Spain"/>
    <n v="44038.31"/>
    <n v="36252.339999999997"/>
    <d v="2020-01-24T00:00:00"/>
    <s v="Electronics"/>
    <s v="Corwin and Sons"/>
    <s v="Emalia Dinse"/>
    <s v="Manuel Goudie"/>
    <x v="1"/>
    <s v="94-0775004"/>
    <m/>
    <x v="11"/>
    <x v="7"/>
    <x v="0"/>
  </r>
  <r>
    <s v="Sweden"/>
    <n v="116469.33"/>
    <n v="95190.38"/>
    <d v="2020-01-31T00:00:00"/>
    <s v="Outdoors"/>
    <s v="Hermiston, Simonis and Wisoky"/>
    <s v="Maxie Marrow"/>
    <s v="Caro Morfield"/>
    <x v="1"/>
    <s v="89-3466746"/>
    <m/>
    <x v="11"/>
    <x v="7"/>
    <x v="0"/>
  </r>
  <r>
    <s v="UK"/>
    <n v="227856.66"/>
    <n v="199010.01"/>
    <d v="2020-07-20T00:00:00"/>
    <s v="Electronics"/>
    <s v="Keeling, Monahan and Pollich"/>
    <s v="Jessamine Apark"/>
    <s v="Jay Morefield"/>
    <x v="1"/>
    <s v="11-5257937"/>
    <m/>
    <x v="5"/>
    <x v="2"/>
    <x v="0"/>
  </r>
  <r>
    <s v="Sweden"/>
    <n v="67161.990000000005"/>
    <n v="55764.6"/>
    <d v="2019-09-20T00:00:00"/>
    <s v="Electronics"/>
    <s v="Lubowitz, McLaughlin and Erdman"/>
    <s v="Maxie Marrow"/>
    <s v="Tarrah Castelletti"/>
    <x v="1"/>
    <s v="22-7587128"/>
    <m/>
    <x v="1"/>
    <x v="1"/>
    <x v="1"/>
  </r>
  <r>
    <s v="Ireland"/>
    <n v="168178.03"/>
    <n v="142665.42000000001"/>
    <d v="2020-04-29T00:00:00"/>
    <s v="Clothing"/>
    <s v="Walter LLC"/>
    <s v="Glenine Suttaby"/>
    <s v="Bunnie Tonbridge"/>
    <x v="1"/>
    <s v="36-7597839"/>
    <m/>
    <x v="3"/>
    <x v="3"/>
    <x v="0"/>
  </r>
  <r>
    <s v="Sweden"/>
    <n v="42611.78"/>
    <n v="35755.54"/>
    <d v="2020-03-12T00:00:00"/>
    <s v="Clothing"/>
    <s v="Walter LLC"/>
    <s v="Maxie Marrow"/>
    <s v="Tarrah Castelletti"/>
    <x v="0"/>
    <s v="16-2824654"/>
    <m/>
    <x v="19"/>
    <x v="10"/>
    <x v="0"/>
  </r>
  <r>
    <s v="Sweden"/>
    <n v="166507.76"/>
    <n v="143896.01"/>
    <d v="2020-08-27T00:00:00"/>
    <s v="Accessories"/>
    <s v="Labadie and Sons"/>
    <s v="Maxie Marrow"/>
    <s v="Madelon Bront"/>
    <x v="1"/>
    <s v="49-1743669"/>
    <m/>
    <x v="7"/>
    <x v="5"/>
    <x v="0"/>
  </r>
  <r>
    <s v="Spain"/>
    <n v="131409.9"/>
    <n v="115325.33"/>
    <d v="2020-11-15T00:00:00"/>
    <s v="Electronics"/>
    <s v="McClure Inc"/>
    <s v="Emalia Dinse"/>
    <s v="Bertha Walbrook"/>
    <x v="1"/>
    <s v="48-7252604"/>
    <m/>
    <x v="13"/>
    <x v="8"/>
    <x v="0"/>
  </r>
  <r>
    <s v="Portugal"/>
    <n v="133072"/>
    <n v="108600.06"/>
    <d v="2020-10-28T00:00:00"/>
    <s v="Outdoors"/>
    <s v="O'Connell-Mitchell"/>
    <s v="Celine Tumasian"/>
    <s v="Corene Shirer"/>
    <x v="1"/>
    <s v="07-1769568"/>
    <m/>
    <x v="23"/>
    <x v="11"/>
    <x v="0"/>
  </r>
  <r>
    <s v="Finland"/>
    <n v="180250.02"/>
    <n v="147354.39000000001"/>
    <d v="2019-06-03T00:00:00"/>
    <s v="Electronics"/>
    <s v="Hartmann, Hane and Pfannerstill"/>
    <s v="Hube Corey"/>
    <s v="Mellicent Mattys"/>
    <x v="1"/>
    <s v="57-5645459"/>
    <m/>
    <x v="15"/>
    <x v="9"/>
    <x v="1"/>
  </r>
  <r>
    <s v="Portugal"/>
    <n v="48090.78"/>
    <n v="42040.959999999999"/>
    <d v="2020-03-19T00:00:00"/>
    <s v="Books"/>
    <s v="Kihn Inc"/>
    <s v="Celine Tumasian"/>
    <s v="Corene Shirer"/>
    <x v="1"/>
    <s v="13-0740797"/>
    <m/>
    <x v="19"/>
    <x v="10"/>
    <x v="0"/>
  </r>
  <r>
    <s v="Sweden"/>
    <n v="168530.22"/>
    <n v="136981.35999999999"/>
    <d v="2020-05-16T00:00:00"/>
    <s v="Appliances"/>
    <s v="West-Cummings"/>
    <s v="Maxie Marrow"/>
    <s v="Tarrah Castelletti"/>
    <x v="1"/>
    <s v="34-9966345"/>
    <m/>
    <x v="8"/>
    <x v="6"/>
    <x v="0"/>
  </r>
  <r>
    <s v="Sweden"/>
    <n v="36785.279999999999"/>
    <n v="30546.5"/>
    <d v="2019-08-31T00:00:00"/>
    <s v="Appliances"/>
    <s v="Johns and Sons"/>
    <s v="Maxie Marrow"/>
    <s v="Anita Woakes"/>
    <x v="1"/>
    <s v="91-6738094"/>
    <m/>
    <x v="12"/>
    <x v="5"/>
    <x v="1"/>
  </r>
  <r>
    <s v="Ireland"/>
    <n v="126409.18"/>
    <n v="104692.08"/>
    <d v="2020-10-04T00:00:00"/>
    <s v="Smartphones"/>
    <s v="Dibbert Inc"/>
    <s v="Glenine Suttaby"/>
    <s v="Bunnie Tonbridge"/>
    <x v="1"/>
    <s v="32-9007470"/>
    <m/>
    <x v="23"/>
    <x v="11"/>
    <x v="0"/>
  </r>
  <r>
    <s v="Portugal"/>
    <n v="49990.720000000001"/>
    <n v="42927.03"/>
    <d v="2020-01-04T00:00:00"/>
    <s v="Electronics"/>
    <s v="Rowe, Hermiston and Kessler"/>
    <s v="Celine Tumasian"/>
    <s v="Smitty Culverhouse"/>
    <x v="1"/>
    <s v="68-6382353"/>
    <m/>
    <x v="11"/>
    <x v="7"/>
    <x v="0"/>
  </r>
  <r>
    <s v="Sweden"/>
    <n v="36644.050000000003"/>
    <n v="30491.51"/>
    <d v="2020-11-20T00:00:00"/>
    <s v="Clothing"/>
    <s v="Larkin-Collier"/>
    <s v="Maxie Marrow"/>
    <s v="Caro Morfield"/>
    <x v="1"/>
    <s v="88-5406813"/>
    <m/>
    <x v="13"/>
    <x v="8"/>
    <x v="0"/>
  </r>
  <r>
    <s v="Sweden"/>
    <n v="115226.8"/>
    <n v="94336.18"/>
    <d v="2019-05-15T00:00:00"/>
    <s v="Beauty"/>
    <s v="Wisoky Inc"/>
    <s v="Maxie Marrow"/>
    <s v="Tarrah Castelletti"/>
    <x v="1"/>
    <s v="42-2765593"/>
    <m/>
    <x v="10"/>
    <x v="6"/>
    <x v="1"/>
  </r>
  <r>
    <s v="Finland"/>
    <n v="154078.75"/>
    <n v="131336.73000000001"/>
    <d v="2020-09-05T00:00:00"/>
    <s v="Books"/>
    <s v="Lueilwitz, Kerluke and Lesch"/>
    <s v="Hube Corey"/>
    <s v="Wat Bowkley"/>
    <x v="1"/>
    <s v="76-0724533"/>
    <m/>
    <x v="22"/>
    <x v="1"/>
    <x v="0"/>
  </r>
  <r>
    <s v="Bulgaria"/>
    <n v="80328.160000000003"/>
    <n v="65836.960000000006"/>
    <d v="2020-09-23T00:00:00"/>
    <s v="Games"/>
    <s v="Hermiston, Simonis and Wisoky"/>
    <s v="Charil Alpe"/>
    <s v="Bernadine Fullagar"/>
    <x v="1"/>
    <s v="45-3965395"/>
    <m/>
    <x v="22"/>
    <x v="1"/>
    <x v="0"/>
  </r>
  <r>
    <s v="Portugal"/>
    <n v="99832.12"/>
    <n v="84128.53"/>
    <d v="2019-05-15T00:00:00"/>
    <s v="Appliances"/>
    <s v="Romaguera-Haley"/>
    <s v="Celine Tumasian"/>
    <s v="Aurelie Wren"/>
    <x v="1"/>
    <s v="46-6126203"/>
    <m/>
    <x v="10"/>
    <x v="6"/>
    <x v="1"/>
  </r>
  <r>
    <s v="Finland"/>
    <n v="133057.07"/>
    <n v="113351.32"/>
    <d v="2020-05-03T00:00:00"/>
    <s v="Other"/>
    <s v="Romaguera-Dietrich"/>
    <s v="Hube Corey"/>
    <s v="Wat Bowkley"/>
    <x v="1"/>
    <s v="27-7554919"/>
    <m/>
    <x v="8"/>
    <x v="6"/>
    <x v="0"/>
  </r>
  <r>
    <s v="Ireland"/>
    <n v="80719.44"/>
    <n v="64422.19"/>
    <d v="2019-02-09T00:00:00"/>
    <s v="Appliances"/>
    <s v="Johns and Sons"/>
    <s v="Glenine Suttaby"/>
    <s v="Bunnie Tonbridge"/>
    <x v="1"/>
    <s v="59-1230573"/>
    <m/>
    <x v="6"/>
    <x v="0"/>
    <x v="1"/>
  </r>
  <r>
    <s v="France"/>
    <n v="124534.96"/>
    <n v="107012.89"/>
    <d v="2020-07-18T00:00:00"/>
    <s v="Books"/>
    <s v="Dickinson, Hyatt and Berge"/>
    <s v="Othello Bowes"/>
    <s v="Maighdiln Upcraft"/>
    <x v="1"/>
    <s v="45-2229786"/>
    <m/>
    <x v="5"/>
    <x v="2"/>
    <x v="0"/>
  </r>
  <r>
    <s v="Sweden"/>
    <n v="67611.539999999994"/>
    <n v="56191.95"/>
    <d v="2019-10-30T00:00:00"/>
    <s v="Clothing"/>
    <s v="Kihn Inc"/>
    <s v="Maxie Marrow"/>
    <s v="Caro Morfield"/>
    <x v="1"/>
    <s v="62-7218897"/>
    <m/>
    <x v="20"/>
    <x v="11"/>
    <x v="1"/>
  </r>
  <r>
    <s v="France"/>
    <n v="132760.25"/>
    <n v="105039.91"/>
    <d v="2020-01-07T00:00:00"/>
    <s v="Beauty"/>
    <s v="Swaniawski, Runolfsson and Green"/>
    <s v="Othello Bowes"/>
    <s v="Crysta Halls"/>
    <x v="1"/>
    <s v="55-4161787"/>
    <m/>
    <x v="11"/>
    <x v="7"/>
    <x v="0"/>
  </r>
  <r>
    <s v="France"/>
    <n v="177802.7"/>
    <n v="155079.51"/>
    <d v="2019-07-18T00:00:00"/>
    <s v="Other"/>
    <s v="Larkin-Collier"/>
    <s v="Othello Bowes"/>
    <s v="Amelina Piscopiello"/>
    <x v="1"/>
    <s v="56-2537757"/>
    <m/>
    <x v="2"/>
    <x v="2"/>
    <x v="1"/>
  </r>
  <r>
    <s v="Bulgaria"/>
    <n v="98963.03"/>
    <n v="80367.88"/>
    <d v="2020-10-12T00:00:00"/>
    <s v="Accessories"/>
    <s v="Wyman Group"/>
    <s v="Charil Alpe"/>
    <s v="Bernadine Fullagar"/>
    <x v="1"/>
    <s v="20-0021649"/>
    <m/>
    <x v="23"/>
    <x v="11"/>
    <x v="0"/>
  </r>
  <r>
    <s v="Bulgaria"/>
    <n v="126582.5"/>
    <n v="103683.73"/>
    <d v="2020-02-17T00:00:00"/>
    <s v="Beauty"/>
    <s v="Rowe, Hermiston and Kessler"/>
    <s v="Charil Alpe"/>
    <s v="Bernadine Fullagar"/>
    <x v="1"/>
    <s v="93-2627296"/>
    <m/>
    <x v="0"/>
    <x v="0"/>
    <x v="0"/>
  </r>
  <r>
    <s v="Portugal"/>
    <n v="141965.10999999999"/>
    <n v="119193.91"/>
    <d v="2019-09-18T00:00:00"/>
    <s v="Beauty"/>
    <s v="Friesen and Sons"/>
    <s v="Celine Tumasian"/>
    <s v="Hortense Gerring"/>
    <x v="1"/>
    <s v="56-2408571"/>
    <m/>
    <x v="1"/>
    <x v="1"/>
    <x v="1"/>
  </r>
  <r>
    <s v="Ireland"/>
    <n v="167301.51999999999"/>
    <n v="147074.76999999999"/>
    <d v="2019-05-06T00:00:00"/>
    <s v="Outdoors"/>
    <s v="Christiansen, Donnelly and Bechtelar"/>
    <s v="Glenine Suttaby"/>
    <s v="Bunnie Tonbridge"/>
    <x v="1"/>
    <s v="80-3206606"/>
    <m/>
    <x v="10"/>
    <x v="6"/>
    <x v="1"/>
  </r>
  <r>
    <s v="France"/>
    <n v="133985.91"/>
    <n v="116741.92"/>
    <d v="2019-01-15T00:00:00"/>
    <s v="Clothing"/>
    <s v="Kihn Inc"/>
    <s v="Othello Bowes"/>
    <s v="Amelina Piscopiello"/>
    <x v="1"/>
    <s v="48-3190394"/>
    <m/>
    <x v="9"/>
    <x v="7"/>
    <x v="1"/>
  </r>
  <r>
    <s v="France"/>
    <n v="91540.03"/>
    <n v="74916.36"/>
    <d v="2019-09-09T00:00:00"/>
    <s v="Clothing"/>
    <s v="Kihn Inc"/>
    <s v="Othello Bowes"/>
    <s v="Ora Grennan"/>
    <x v="1"/>
    <s v="38-6130023"/>
    <m/>
    <x v="1"/>
    <x v="1"/>
    <x v="1"/>
  </r>
  <r>
    <s v="UK"/>
    <n v="146055.04999999999"/>
    <n v="117822.61"/>
    <d v="2019-10-07T00:00:00"/>
    <s v="Clothing"/>
    <s v="Hartmann, Hane and Pfannerstill"/>
    <s v="Jessamine Apark"/>
    <s v="Winny Agnolo"/>
    <x v="2"/>
    <s v="38-2969743"/>
    <m/>
    <x v="20"/>
    <x v="11"/>
    <x v="1"/>
  </r>
  <r>
    <s v="Sweden"/>
    <n v="113586.11"/>
    <n v="91641.27"/>
    <d v="2019-02-19T00:00:00"/>
    <s v="Outdoors"/>
    <s v="Labadie and Sons"/>
    <s v="Maxie Marrow"/>
    <s v="Tarrah Castelletti"/>
    <x v="0"/>
    <s v="48-8166416"/>
    <m/>
    <x v="6"/>
    <x v="0"/>
    <x v="1"/>
  </r>
  <r>
    <s v="Ireland"/>
    <n v="135662.46"/>
    <n v="116764.68"/>
    <d v="2020-05-02T00:00:00"/>
    <s v="Beauty"/>
    <s v="Corwin and Sons"/>
    <s v="Glenine Suttaby"/>
    <s v="Palm Wetherald"/>
    <x v="1"/>
    <s v="33-4102367"/>
    <m/>
    <x v="8"/>
    <x v="6"/>
    <x v="0"/>
  </r>
  <r>
    <s v="Portugal"/>
    <n v="113781.45"/>
    <n v="91104.81"/>
    <d v="2019-10-08T00:00:00"/>
    <s v="Books"/>
    <s v="Bashirian, Okuneva and Bechtelar"/>
    <s v="Celine Tumasian"/>
    <s v="Aurelie Wren"/>
    <x v="1"/>
    <s v="44-5240815"/>
    <m/>
    <x v="20"/>
    <x v="11"/>
    <x v="1"/>
  </r>
  <r>
    <s v="France"/>
    <n v="111462.88"/>
    <n v="94130.4"/>
    <d v="2020-09-03T00:00:00"/>
    <s v="Outdoors"/>
    <s v="Romaguera-Dietrich"/>
    <s v="Othello Bowes"/>
    <s v="Avrit Chanders"/>
    <x v="2"/>
    <s v="70-9378988"/>
    <m/>
    <x v="22"/>
    <x v="1"/>
    <x v="0"/>
  </r>
  <r>
    <s v="UK"/>
    <n v="34748.75"/>
    <n v="27475.84"/>
    <d v="2020-09-27T00:00:00"/>
    <s v="Smartphones"/>
    <s v="Wiza and Sons"/>
    <s v="Jessamine Apark"/>
    <s v="Genevra Charrisson"/>
    <x v="2"/>
    <s v="84-9385946"/>
    <m/>
    <x v="22"/>
    <x v="1"/>
    <x v="0"/>
  </r>
  <r>
    <s v="UK"/>
    <n v="137306.45000000001"/>
    <n v="108732.98"/>
    <d v="2020-09-04T00:00:00"/>
    <s v="Books"/>
    <s v="Gislason-Stanton"/>
    <s v="Jessamine Apark"/>
    <s v="Winny Agnolo"/>
    <x v="1"/>
    <s v="00-1210718"/>
    <m/>
    <x v="22"/>
    <x v="1"/>
    <x v="0"/>
  </r>
  <r>
    <s v="Portugal"/>
    <n v="148212.23000000001"/>
    <n v="123030.97"/>
    <d v="2019-09-10T00:00:00"/>
    <s v="Clothing"/>
    <s v="Corwin and Sons"/>
    <s v="Celine Tumasian"/>
    <s v="Brynn Dempster"/>
    <x v="1"/>
    <s v="92-7917751"/>
    <m/>
    <x v="1"/>
    <x v="1"/>
    <x v="1"/>
  </r>
  <r>
    <s v="Portugal"/>
    <n v="159057.92000000001"/>
    <n v="139923.25"/>
    <d v="2020-10-24T00:00:00"/>
    <s v="Smartphones"/>
    <s v="Johns and Sons"/>
    <s v="Celine Tumasian"/>
    <s v="Brynn Dempster"/>
    <x v="1"/>
    <s v="91-3344544"/>
    <m/>
    <x v="23"/>
    <x v="11"/>
    <x v="0"/>
  </r>
  <r>
    <s v="Sweden"/>
    <n v="146226.35999999999"/>
    <n v="117916.94"/>
    <d v="2020-10-18T00:00:00"/>
    <s v="Smartphones"/>
    <s v="Farrell, Swaniawski and Crist"/>
    <s v="Maxie Marrow"/>
    <s v="Alyosha Meah"/>
    <x v="1"/>
    <s v="28-1840061"/>
    <m/>
    <x v="23"/>
    <x v="11"/>
    <x v="0"/>
  </r>
  <r>
    <s v="Portugal"/>
    <n v="201537.12"/>
    <n v="166127.04999999999"/>
    <d v="2020-06-10T00:00:00"/>
    <s v="Outdoors"/>
    <s v="Connelly-Mohr"/>
    <s v="Celine Tumasian"/>
    <s v="Brynn Dempster"/>
    <x v="1"/>
    <s v="20-7532198"/>
    <m/>
    <x v="18"/>
    <x v="9"/>
    <x v="0"/>
  </r>
  <r>
    <s v="Portugal"/>
    <n v="242192.19"/>
    <n v="213104.91"/>
    <d v="2019-07-02T00:00:00"/>
    <s v="Accessories"/>
    <s v="Schowalter, Lesch and Beahan"/>
    <s v="Celine Tumasian"/>
    <s v="Smitty Culverhouse"/>
    <x v="1"/>
    <s v="96-7618409"/>
    <m/>
    <x v="2"/>
    <x v="2"/>
    <x v="1"/>
  </r>
  <r>
    <s v="Luxembourg"/>
    <n v="172397.66"/>
    <n v="139986.9"/>
    <d v="2019-01-27T00:00:00"/>
    <s v="Clothing"/>
    <s v="Johns and Sons"/>
    <s v="Ilsa Kob"/>
    <s v="Jocelyn Laurentino"/>
    <x v="1"/>
    <s v="47-8186791"/>
    <m/>
    <x v="9"/>
    <x v="7"/>
    <x v="1"/>
  </r>
  <r>
    <s v="Belgium"/>
    <n v="152370.57"/>
    <n v="128478.86"/>
    <d v="2019-11-20T00:00:00"/>
    <s v="Games"/>
    <s v="Swaniawski, Runolfsson and Green"/>
    <s v="Lambert Norheny"/>
    <s v="Collin Mackness"/>
    <x v="1"/>
    <s v="61-8262308"/>
    <m/>
    <x v="14"/>
    <x v="8"/>
    <x v="1"/>
  </r>
  <r>
    <s v="Portugal"/>
    <n v="137419.29999999999"/>
    <n v="117658.4"/>
    <d v="2020-05-15T00:00:00"/>
    <s v="Games"/>
    <s v="Hane Inc"/>
    <s v="Celine Tumasian"/>
    <s v="Smitty Culverhouse"/>
    <x v="0"/>
    <s v="39-1945268"/>
    <m/>
    <x v="8"/>
    <x v="6"/>
    <x v="0"/>
  </r>
  <r>
    <s v="France"/>
    <n v="67594.100000000006"/>
    <n v="54920.21"/>
    <d v="2019-09-26T00:00:00"/>
    <s v="Other"/>
    <s v="Rowe, Hermiston and Kessler"/>
    <s v="Othello Bowes"/>
    <s v="Amelina Piscopiello"/>
    <x v="1"/>
    <s v="70-1769929"/>
    <m/>
    <x v="1"/>
    <x v="1"/>
    <x v="1"/>
  </r>
  <r>
    <s v="Luxembourg"/>
    <n v="72002.259999999995"/>
    <n v="56996.99"/>
    <d v="2019-01-17T00:00:00"/>
    <s v="Appliances"/>
    <s v="McGlynn-Prosacco"/>
    <s v="Ilsa Kob"/>
    <s v="Jocelyn Laurentino"/>
    <x v="1"/>
    <s v="65-0414599"/>
    <m/>
    <x v="9"/>
    <x v="7"/>
    <x v="1"/>
  </r>
  <r>
    <s v="France"/>
    <n v="159926.16"/>
    <n v="126453.61"/>
    <d v="2020-09-12T00:00:00"/>
    <s v="Beauty"/>
    <s v="McGlynn-Prosacco"/>
    <s v="Othello Bowes"/>
    <s v="Ora Grennan"/>
    <x v="0"/>
    <s v="44-0517932"/>
    <m/>
    <x v="22"/>
    <x v="1"/>
    <x v="0"/>
  </r>
  <r>
    <s v="France"/>
    <n v="65193.88"/>
    <n v="53113.45"/>
    <d v="2019-10-04T00:00:00"/>
    <s v="Beauty"/>
    <s v="Friesen and Sons"/>
    <s v="Othello Bowes"/>
    <s v="Maighdiln Upcraft"/>
    <x v="1"/>
    <s v="74-1131921"/>
    <m/>
    <x v="20"/>
    <x v="11"/>
    <x v="1"/>
  </r>
  <r>
    <s v="Portugal"/>
    <n v="105374.44"/>
    <n v="89779.02"/>
    <d v="2020-02-18T00:00:00"/>
    <s v="Electronics"/>
    <s v="Stehr LLC"/>
    <s v="Celine Tumasian"/>
    <s v="Brynn Dempster"/>
    <x v="1"/>
    <s v="74-8625042"/>
    <m/>
    <x v="0"/>
    <x v="0"/>
    <x v="0"/>
  </r>
  <r>
    <s v="UK"/>
    <n v="83097.399999999994"/>
    <n v="68148.179999999993"/>
    <d v="2019-03-22T00:00:00"/>
    <s v="Clothing"/>
    <s v="Corwin and Sons"/>
    <s v="Jessamine Apark"/>
    <s v="Jay Morefield"/>
    <x v="2"/>
    <s v="36-0185776"/>
    <m/>
    <x v="16"/>
    <x v="10"/>
    <x v="1"/>
  </r>
  <r>
    <s v="Sweden"/>
    <n v="139682.07"/>
    <n v="113212.32"/>
    <d v="2020-01-18T00:00:00"/>
    <s v="Games"/>
    <s v="Tromp LLC"/>
    <s v="Maxie Marrow"/>
    <s v="Anita Woakes"/>
    <x v="1"/>
    <s v="98-4157323"/>
    <m/>
    <x v="11"/>
    <x v="7"/>
    <x v="0"/>
  </r>
  <r>
    <s v="France"/>
    <n v="81095.39"/>
    <n v="64316.75"/>
    <d v="2020-09-08T00:00:00"/>
    <s v="Games"/>
    <s v="Murray, Reichel and Nolan"/>
    <s v="Othello Bowes"/>
    <s v="Avrit Chanders"/>
    <x v="1"/>
    <s v="36-8783637"/>
    <m/>
    <x v="22"/>
    <x v="1"/>
    <x v="0"/>
  </r>
  <r>
    <s v="Bulgaria"/>
    <n v="91108.56"/>
    <n v="74089.48"/>
    <d v="2020-06-24T00:00:00"/>
    <s v="Appliances"/>
    <s v="Stehr LLC"/>
    <s v="Charil Alpe"/>
    <s v="Shermy McGready"/>
    <x v="1"/>
    <s v="34-0286364"/>
    <m/>
    <x v="18"/>
    <x v="9"/>
    <x v="0"/>
  </r>
  <r>
    <s v="Luxembourg"/>
    <n v="47182.43"/>
    <n v="40576.89"/>
    <d v="2020-02-21T00:00:00"/>
    <s v="Smartphones"/>
    <s v="Kirlin and Sons"/>
    <s v="Ilsa Kob"/>
    <s v="Jocelyn Laurentino"/>
    <x v="1"/>
    <s v="82-0533747"/>
    <m/>
    <x v="0"/>
    <x v="0"/>
    <x v="0"/>
  </r>
  <r>
    <s v="Finland"/>
    <n v="161984.91"/>
    <n v="138237.92000000001"/>
    <d v="2020-06-08T00:00:00"/>
    <s v="Appliances"/>
    <s v="Romaguera-Dietrich"/>
    <s v="Hube Corey"/>
    <s v="Mellicent Mattys"/>
    <x v="1"/>
    <s v="59-9184649"/>
    <m/>
    <x v="18"/>
    <x v="9"/>
    <x v="0"/>
  </r>
  <r>
    <s v="Sweden"/>
    <n v="116548.17"/>
    <n v="92119.67"/>
    <d v="2020-05-05T00:00:00"/>
    <s v="Clothing"/>
    <s v="Johns and Sons"/>
    <s v="Maxie Marrow"/>
    <s v="Anita Woakes"/>
    <x v="1"/>
    <s v="03-3136289"/>
    <m/>
    <x v="8"/>
    <x v="6"/>
    <x v="0"/>
  </r>
  <r>
    <s v="Portugal"/>
    <n v="138764.6"/>
    <n v="111414.1"/>
    <d v="2020-05-10T00:00:00"/>
    <s v="Appliances"/>
    <s v="Johns and Sons"/>
    <s v="Celine Tumasian"/>
    <s v="Brynn Dempster"/>
    <x v="1"/>
    <s v="79-6676714"/>
    <m/>
    <x v="8"/>
    <x v="6"/>
    <x v="0"/>
  </r>
  <r>
    <s v="France"/>
    <n v="148405.47"/>
    <n v="128845.63"/>
    <d v="2019-10-27T00:00:00"/>
    <s v="Electronics"/>
    <s v="Johns and Sons"/>
    <s v="Othello Bowes"/>
    <s v="Amelina Piscopiello"/>
    <x v="1"/>
    <s v="82-1082124"/>
    <m/>
    <x v="20"/>
    <x v="11"/>
    <x v="1"/>
  </r>
  <r>
    <s v="Netherlands"/>
    <n v="138249.76999999999"/>
    <n v="120277.3"/>
    <d v="2019-08-09T00:00:00"/>
    <s v="Games"/>
    <s v="Hessel-Stiedemann"/>
    <s v="Denice Amberg"/>
    <s v="Nero Harbisher"/>
    <x v="1"/>
    <s v="79-1331359"/>
    <m/>
    <x v="12"/>
    <x v="5"/>
    <x v="1"/>
  </r>
  <r>
    <s v="Portugal"/>
    <n v="115718.87"/>
    <n v="100640.7"/>
    <d v="2019-04-24T00:00:00"/>
    <s v="Electronics"/>
    <s v="Hilll-Vandervort"/>
    <s v="Celine Tumasian"/>
    <s v="Aurelie Wren"/>
    <x v="1"/>
    <s v="84-7042200"/>
    <m/>
    <x v="21"/>
    <x v="3"/>
    <x v="1"/>
  </r>
  <r>
    <s v="Portugal"/>
    <n v="194326.7"/>
    <n v="169005.93"/>
    <d v="2019-07-07T00:00:00"/>
    <s v="Books"/>
    <s v="Johns and Sons"/>
    <s v="Celine Tumasian"/>
    <s v="Hortense Gerring"/>
    <x v="0"/>
    <s v="42-5303223"/>
    <m/>
    <x v="2"/>
    <x v="2"/>
    <x v="1"/>
  </r>
  <r>
    <s v="France"/>
    <n v="38648.720000000001"/>
    <n v="32368.3"/>
    <d v="2020-12-04T00:00:00"/>
    <s v="Beauty"/>
    <s v="Leffler, Prohaska and Streich"/>
    <s v="Othello Bowes"/>
    <s v="Crysta Halls"/>
    <x v="2"/>
    <s v="04-6732680"/>
    <m/>
    <x v="17"/>
    <x v="4"/>
    <x v="0"/>
  </r>
  <r>
    <s v="Sweden"/>
    <n v="58010.14"/>
    <n v="46089.06"/>
    <d v="2019-09-11T00:00:00"/>
    <s v="Appliances"/>
    <s v="Bashirian, Okuneva and Bechtelar"/>
    <s v="Maxie Marrow"/>
    <s v="Tarrah Castelletti"/>
    <x v="1"/>
    <s v="84-9167618"/>
    <m/>
    <x v="1"/>
    <x v="1"/>
    <x v="1"/>
  </r>
  <r>
    <s v="France"/>
    <n v="82697.53"/>
    <n v="69548.62"/>
    <d v="2020-08-12T00:00:00"/>
    <s v="Games"/>
    <s v="Kihn Inc"/>
    <s v="Othello Bowes"/>
    <s v="Avrit Chanders"/>
    <x v="1"/>
    <s v="47-5319780"/>
    <m/>
    <x v="7"/>
    <x v="5"/>
    <x v="0"/>
  </r>
  <r>
    <s v="Sweden"/>
    <n v="68086.960000000006"/>
    <n v="58759.05"/>
    <d v="2019-11-26T00:00:00"/>
    <s v="Electronics"/>
    <s v="Stamm-Zulauf"/>
    <s v="Maxie Marrow"/>
    <s v="Tarrah Castelletti"/>
    <x v="1"/>
    <s v="20-1013432"/>
    <m/>
    <x v="14"/>
    <x v="8"/>
    <x v="1"/>
  </r>
  <r>
    <s v="Bulgaria"/>
    <n v="111106.06"/>
    <n v="93195.76"/>
    <d v="2020-11-11T00:00:00"/>
    <s v="Games"/>
    <s v="Hermiston, Simonis and Wisoky"/>
    <s v="Charil Alpe"/>
    <s v="Bernadine Fullagar"/>
    <x v="1"/>
    <s v="87-5540520"/>
    <m/>
    <x v="13"/>
    <x v="8"/>
    <x v="0"/>
  </r>
  <r>
    <s v="Portugal"/>
    <n v="227830.33"/>
    <n v="182173.13"/>
    <d v="2020-06-10T00:00:00"/>
    <s v="Books"/>
    <s v="O'Connell-Mitchell"/>
    <s v="Celine Tumasian"/>
    <s v="Aurelie Wren"/>
    <x v="1"/>
    <s v="59-3526945"/>
    <m/>
    <x v="18"/>
    <x v="9"/>
    <x v="0"/>
  </r>
  <r>
    <s v="France"/>
    <n v="87355.7"/>
    <n v="74584.3"/>
    <d v="2019-02-03T00:00:00"/>
    <s v="Smartphones"/>
    <s v="Smith Group"/>
    <s v="Othello Bowes"/>
    <s v="Crysta Halls"/>
    <x v="1"/>
    <s v="33-4706706"/>
    <m/>
    <x v="6"/>
    <x v="0"/>
    <x v="1"/>
  </r>
  <r>
    <s v="France"/>
    <n v="164267.72"/>
    <n v="139069.04999999999"/>
    <d v="2020-10-08T00:00:00"/>
    <s v="Appliances"/>
    <s v="Hilll-Vandervort"/>
    <s v="Othello Bowes"/>
    <s v="Crysta Halls"/>
    <x v="1"/>
    <s v="51-9052860"/>
    <m/>
    <x v="23"/>
    <x v="11"/>
    <x v="0"/>
  </r>
  <r>
    <s v="UK"/>
    <n v="92179.76"/>
    <n v="74794.66"/>
    <d v="2020-07-25T00:00:00"/>
    <s v="Beauty"/>
    <s v="Dickinson, Hyatt and Berge"/>
    <s v="Jessamine Apark"/>
    <s v="Jay Morefield"/>
    <x v="2"/>
    <s v="99-9021526"/>
    <m/>
    <x v="5"/>
    <x v="2"/>
    <x v="0"/>
  </r>
  <r>
    <s v="Sweden"/>
    <n v="124093.75999999999"/>
    <n v="105231.51"/>
    <d v="2019-10-15T00:00:00"/>
    <s v="Electronics"/>
    <s v="Armstrong-Little"/>
    <s v="Maxie Marrow"/>
    <s v="Anita Woakes"/>
    <x v="1"/>
    <s v="87-0122224"/>
    <m/>
    <x v="20"/>
    <x v="11"/>
    <x v="1"/>
  </r>
  <r>
    <s v="UK"/>
    <n v="66391.58"/>
    <n v="52635.24"/>
    <d v="2019-12-04T00:00:00"/>
    <s v="Clothing"/>
    <s v="Friesen and Sons"/>
    <s v="Jessamine Apark"/>
    <s v="Winny Agnolo"/>
    <x v="0"/>
    <s v="88-1711226"/>
    <m/>
    <x v="4"/>
    <x v="4"/>
    <x v="1"/>
  </r>
  <r>
    <s v="France"/>
    <n v="197471.1"/>
    <n v="162577.96"/>
    <d v="2019-06-28T00:00:00"/>
    <s v="Appliances"/>
    <s v="Johns and Sons"/>
    <s v="Othello Bowes"/>
    <s v="Crysta Halls"/>
    <x v="1"/>
    <s v="59-5711012"/>
    <m/>
    <x v="15"/>
    <x v="9"/>
    <x v="1"/>
  </r>
  <r>
    <s v="UK"/>
    <n v="122627.2"/>
    <n v="100284.52"/>
    <d v="2019-05-12T00:00:00"/>
    <s v="Clothing"/>
    <s v="Wiza and Sons"/>
    <s v="Jessamine Apark"/>
    <s v="Winny Agnolo"/>
    <x v="1"/>
    <s v="65-0792739"/>
    <m/>
    <x v="10"/>
    <x v="6"/>
    <x v="1"/>
  </r>
  <r>
    <s v="UK"/>
    <n v="159052.70000000001"/>
    <n v="127926.09"/>
    <d v="2019-06-01T00:00:00"/>
    <s v="Games"/>
    <s v="Stamm Inc"/>
    <s v="Jessamine Apark"/>
    <s v="Genevra Charrisson"/>
    <x v="1"/>
    <s v="75-7245546"/>
    <m/>
    <x v="15"/>
    <x v="9"/>
    <x v="1"/>
  </r>
  <r>
    <s v="Portugal"/>
    <n v="85515.6"/>
    <n v="67959.25"/>
    <d v="2019-10-13T00:00:00"/>
    <s v="Games"/>
    <s v="Larkin-Collier"/>
    <s v="Celine Tumasian"/>
    <s v="Brynn Dempster"/>
    <x v="1"/>
    <s v="05-0243828"/>
    <m/>
    <x v="20"/>
    <x v="11"/>
    <x v="1"/>
  </r>
  <r>
    <s v="Portugal"/>
    <n v="42847.46"/>
    <n v="34757.86"/>
    <d v="2020-10-22T00:00:00"/>
    <s v="Accessories"/>
    <s v="Morissette Group"/>
    <s v="Celine Tumasian"/>
    <s v="Aurelie Wren"/>
    <x v="1"/>
    <s v="14-9919657"/>
    <m/>
    <x v="23"/>
    <x v="11"/>
    <x v="0"/>
  </r>
  <r>
    <s v="France"/>
    <n v="125499.82"/>
    <n v="100977.16"/>
    <d v="2019-04-08T00:00:00"/>
    <s v="Beauty"/>
    <s v="Spencer, Rogahn and Muller"/>
    <s v="Othello Bowes"/>
    <s v="Ora Grennan"/>
    <x v="1"/>
    <s v="47-9191500"/>
    <m/>
    <x v="21"/>
    <x v="3"/>
    <x v="1"/>
  </r>
  <r>
    <s v="Finland"/>
    <n v="222379.49"/>
    <n v="192869.73"/>
    <d v="2019-07-10T00:00:00"/>
    <s v="Beauty"/>
    <s v="Labadie and Sons"/>
    <s v="Hube Corey"/>
    <s v="Mellicent Mattys"/>
    <x v="0"/>
    <s v="51-3543971"/>
    <m/>
    <x v="2"/>
    <x v="2"/>
    <x v="1"/>
  </r>
  <r>
    <s v="Portugal"/>
    <n v="85390.17"/>
    <n v="74400.460000000006"/>
    <d v="2019-01-25T00:00:00"/>
    <s v="Electronics"/>
    <s v="Stamm-Zulauf"/>
    <s v="Celine Tumasian"/>
    <s v="Brynn Dempster"/>
    <x v="1"/>
    <s v="14-4225824"/>
    <m/>
    <x v="9"/>
    <x v="7"/>
    <x v="1"/>
  </r>
  <r>
    <s v="Portugal"/>
    <n v="97514.7"/>
    <n v="80790.929999999993"/>
    <d v="2020-02-12T00:00:00"/>
    <s v="Appliances"/>
    <s v="Tillman and Sons"/>
    <s v="Celine Tumasian"/>
    <s v="Hortense Gerring"/>
    <x v="1"/>
    <s v="88-1349718"/>
    <m/>
    <x v="0"/>
    <x v="0"/>
    <x v="0"/>
  </r>
  <r>
    <s v="UK"/>
    <n v="87321.89"/>
    <n v="69254.990000000005"/>
    <d v="2019-01-17T00:00:00"/>
    <s v="Electronics"/>
    <s v="Tillman and Sons"/>
    <s v="Jessamine Apark"/>
    <s v="Winny Agnolo"/>
    <x v="0"/>
    <s v="62-5120016"/>
    <m/>
    <x v="9"/>
    <x v="7"/>
    <x v="1"/>
  </r>
  <r>
    <s v="Sweden"/>
    <n v="205059.8"/>
    <n v="173029.46"/>
    <d v="2020-06-23T00:00:00"/>
    <s v="Electronics"/>
    <s v="Stehr-Bogan"/>
    <s v="Maxie Marrow"/>
    <s v="Caro Morfield"/>
    <x v="1"/>
    <s v="19-4538571"/>
    <m/>
    <x v="18"/>
    <x v="9"/>
    <x v="0"/>
  </r>
  <r>
    <s v="Portugal"/>
    <n v="105833.52"/>
    <n v="85312.4"/>
    <d v="2019-03-20T00:00:00"/>
    <s v="Smartphones"/>
    <s v="McGlynn-Prosacco"/>
    <s v="Celine Tumasian"/>
    <s v="Corene Shirer"/>
    <x v="1"/>
    <s v="01-1212783"/>
    <m/>
    <x v="16"/>
    <x v="10"/>
    <x v="1"/>
  </r>
  <r>
    <s v="France"/>
    <n v="40043.11"/>
    <n v="35109.800000000003"/>
    <d v="2020-09-07T00:00:00"/>
    <s v="Appliances"/>
    <s v="Romaguera-Haley"/>
    <s v="Othello Bowes"/>
    <s v="Ora Grennan"/>
    <x v="1"/>
    <s v="58-8728288"/>
    <m/>
    <x v="22"/>
    <x v="1"/>
    <x v="0"/>
  </r>
  <r>
    <s v="Portugal"/>
    <n v="57859.08"/>
    <n v="47756.88"/>
    <d v="2019-12-08T00:00:00"/>
    <s v="Books"/>
    <s v="Hessel-Stiedemann"/>
    <s v="Celine Tumasian"/>
    <s v="Aurelie Wren"/>
    <x v="0"/>
    <s v="95-2190016"/>
    <m/>
    <x v="4"/>
    <x v="4"/>
    <x v="1"/>
  </r>
  <r>
    <s v="France"/>
    <n v="132235.46"/>
    <n v="114132.43"/>
    <d v="2020-06-01T00:00:00"/>
    <s v="Books"/>
    <s v="Zieme, Bailey and Herzog"/>
    <s v="Othello Bowes"/>
    <s v="Ora Grennan"/>
    <x v="1"/>
    <s v="95-4388709"/>
    <m/>
    <x v="18"/>
    <x v="9"/>
    <x v="0"/>
  </r>
  <r>
    <s v="UK"/>
    <n v="33724.53"/>
    <n v="26770.53"/>
    <d v="2020-01-30T00:00:00"/>
    <s v="Beauty"/>
    <s v="Gorczany-Lehner"/>
    <s v="Jessamine Apark"/>
    <s v="Winny Agnolo"/>
    <x v="0"/>
    <s v="57-8678621"/>
    <m/>
    <x v="11"/>
    <x v="7"/>
    <x v="0"/>
  </r>
  <r>
    <s v="Ireland"/>
    <n v="36070.76"/>
    <n v="29339.96"/>
    <d v="2019-05-17T00:00:00"/>
    <s v="Other"/>
    <s v="Friesen-Rath"/>
    <s v="Glenine Suttaby"/>
    <s v="Bunnie Tonbridge"/>
    <x v="0"/>
    <s v="22-4278602"/>
    <m/>
    <x v="10"/>
    <x v="6"/>
    <x v="1"/>
  </r>
  <r>
    <s v="Sweden"/>
    <n v="39457.339999999997"/>
    <n v="32793"/>
    <d v="2020-10-20T00:00:00"/>
    <s v="Beauty"/>
    <s v="Morissette Group"/>
    <s v="Maxie Marrow"/>
    <s v="Anita Woakes"/>
    <x v="1"/>
    <s v="98-3280428"/>
    <m/>
    <x v="23"/>
    <x v="11"/>
    <x v="0"/>
  </r>
  <r>
    <s v="Italy"/>
    <n v="38536.92"/>
    <n v="32001.06"/>
    <d v="2020-05-28T00:00:00"/>
    <s v="Books"/>
    <s v="Spencer, Rogahn and Muller"/>
    <s v="Piggy Roscrigg"/>
    <s v="Joshua Prevost"/>
    <x v="0"/>
    <s v="61-4366487"/>
    <m/>
    <x v="8"/>
    <x v="6"/>
    <x v="0"/>
  </r>
  <r>
    <s v="France"/>
    <n v="173829.96"/>
    <n v="149824.04"/>
    <d v="2019-09-23T00:00:00"/>
    <s v="Beauty"/>
    <s v="Dibbert Inc"/>
    <s v="Othello Bowes"/>
    <s v="Amelina Piscopiello"/>
    <x v="1"/>
    <s v="55-2128150"/>
    <m/>
    <x v="1"/>
    <x v="1"/>
    <x v="1"/>
  </r>
  <r>
    <s v="Portugal"/>
    <n v="37521.39"/>
    <n v="29701.93"/>
    <d v="2020-01-18T00:00:00"/>
    <s v="Beauty"/>
    <s v="Friesen-Rath"/>
    <s v="Celine Tumasian"/>
    <s v="Hortense Gerring"/>
    <x v="1"/>
    <s v="60-0610487"/>
    <m/>
    <x v="11"/>
    <x v="7"/>
    <x v="0"/>
  </r>
  <r>
    <s v="Portugal"/>
    <n v="119409.43"/>
    <n v="102656.29"/>
    <d v="2019-06-25T00:00:00"/>
    <s v="Electronics"/>
    <s v="Spencer, Rogahn and Muller"/>
    <s v="Celine Tumasian"/>
    <s v="Hortense Gerring"/>
    <x v="1"/>
    <s v="02-9253490"/>
    <m/>
    <x v="15"/>
    <x v="9"/>
    <x v="1"/>
  </r>
  <r>
    <s v="Denmark"/>
    <n v="248261.86"/>
    <n v="206727.65"/>
    <d v="2019-12-22T00:00:00"/>
    <s v="Smartphones"/>
    <s v="Gleichner-Green"/>
    <s v="Modestia Byfford"/>
    <s v="Case Desorts"/>
    <x v="1"/>
    <s v="65-2343846"/>
    <m/>
    <x v="4"/>
    <x v="4"/>
    <x v="1"/>
  </r>
  <r>
    <s v="UK"/>
    <n v="96669.92"/>
    <n v="76475.570000000007"/>
    <d v="2020-12-27T00:00:00"/>
    <s v="Appliances"/>
    <s v="Johns and Sons"/>
    <s v="Jessamine Apark"/>
    <s v="Winny Agnolo"/>
    <x v="0"/>
    <s v="20-0499139"/>
    <m/>
    <x v="17"/>
    <x v="4"/>
    <x v="0"/>
  </r>
  <r>
    <s v="France"/>
    <n v="264149.90999999997"/>
    <n v="208757.67"/>
    <d v="2020-12-20T00:00:00"/>
    <s v="Smartphones"/>
    <s v="Schmitt, Purdy and Johnson"/>
    <s v="Othello Bowes"/>
    <s v="Avrit Chanders"/>
    <x v="1"/>
    <s v="32-3994860"/>
    <m/>
    <x v="17"/>
    <x v="4"/>
    <x v="0"/>
  </r>
  <r>
    <s v="Portugal"/>
    <n v="216863.04"/>
    <n v="175355.45"/>
    <d v="2019-07-24T00:00:00"/>
    <s v="Beauty"/>
    <s v="Dickinson, Hyatt and Berge"/>
    <s v="Celine Tumasian"/>
    <s v="Corene Shirer"/>
    <x v="2"/>
    <s v="72-7973717"/>
    <m/>
    <x v="2"/>
    <x v="2"/>
    <x v="1"/>
  </r>
  <r>
    <s v="France"/>
    <n v="140943.88"/>
    <n v="120633.87"/>
    <d v="2020-05-28T00:00:00"/>
    <s v="Appliances"/>
    <s v="Armstrong-Little"/>
    <s v="Othello Bowes"/>
    <s v="Avrit Chanders"/>
    <x v="2"/>
    <s v="77-0650807"/>
    <m/>
    <x v="8"/>
    <x v="6"/>
    <x v="0"/>
  </r>
  <r>
    <s v="Luxembourg"/>
    <n v="82525.61"/>
    <n v="68446.740000000005"/>
    <d v="2019-03-01T00:00:00"/>
    <s v="Clothing"/>
    <s v="Johns and Sons"/>
    <s v="Ilsa Kob"/>
    <s v="Jocelyn Laurentino"/>
    <x v="1"/>
    <s v="34-5150360"/>
    <m/>
    <x v="16"/>
    <x v="10"/>
    <x v="1"/>
  </r>
  <r>
    <s v="Portugal"/>
    <n v="19622.59"/>
    <n v="17148.18"/>
    <d v="2020-03-06T00:00:00"/>
    <s v="Clothing"/>
    <s v="Fisher, Morar and Skiles"/>
    <s v="Celine Tumasian"/>
    <s v="Aurelie Wren"/>
    <x v="1"/>
    <s v="73-4726386"/>
    <m/>
    <x v="19"/>
    <x v="10"/>
    <x v="0"/>
  </r>
  <r>
    <s v="Sweden"/>
    <n v="263713.12"/>
    <n v="216165.64"/>
    <d v="2020-06-30T00:00:00"/>
    <s v="Electronics"/>
    <s v="Schmitt, Purdy and Johnson"/>
    <s v="Maxie Marrow"/>
    <s v="Tarrah Castelletti"/>
    <x v="1"/>
    <s v="78-6165949"/>
    <m/>
    <x v="18"/>
    <x v="9"/>
    <x v="0"/>
  </r>
  <r>
    <s v="Portugal"/>
    <n v="284298.56"/>
    <n v="229656.38"/>
    <d v="2020-07-03T00:00:00"/>
    <s v="Clothing"/>
    <s v="Stehr LLC"/>
    <s v="Celine Tumasian"/>
    <s v="Corene Shirer"/>
    <x v="1"/>
    <s v="74-0191565"/>
    <m/>
    <x v="5"/>
    <x v="2"/>
    <x v="0"/>
  </r>
  <r>
    <s v="Sweden"/>
    <n v="98320.37"/>
    <n v="77722.25"/>
    <d v="2020-08-23T00:00:00"/>
    <s v="Games"/>
    <s v="Konopelski LLC"/>
    <s v="Maxie Marrow"/>
    <s v="Tarrah Castelletti"/>
    <x v="2"/>
    <s v="02-3364199"/>
    <m/>
    <x v="7"/>
    <x v="5"/>
    <x v="0"/>
  </r>
  <r>
    <s v="UK"/>
    <n v="128112.26"/>
    <n v="104975.19"/>
    <d v="2020-12-09T00:00:00"/>
    <s v="Books"/>
    <s v="Hessel-Stiedemann"/>
    <s v="Jessamine Apark"/>
    <s v="Jay Morefield"/>
    <x v="1"/>
    <s v="39-8642490"/>
    <m/>
    <x v="17"/>
    <x v="4"/>
    <x v="0"/>
  </r>
  <r>
    <s v="France"/>
    <n v="110878.97"/>
    <n v="90588.12"/>
    <d v="2020-02-06T00:00:00"/>
    <s v="Appliances"/>
    <s v="Konopelski LLC"/>
    <s v="Othello Bowes"/>
    <s v="Amelina Piscopiello"/>
    <x v="1"/>
    <s v="50-8357453"/>
    <m/>
    <x v="0"/>
    <x v="0"/>
    <x v="0"/>
  </r>
  <r>
    <s v="Sweden"/>
    <n v="66225.710000000006"/>
    <n v="52437.52"/>
    <d v="2020-09-05T00:00:00"/>
    <s v="Books"/>
    <s v="Larkin-Collier"/>
    <s v="Maxie Marrow"/>
    <s v="Alyosha Meah"/>
    <x v="1"/>
    <s v="68-6900528"/>
    <m/>
    <x v="22"/>
    <x v="1"/>
    <x v="0"/>
  </r>
  <r>
    <s v="UK"/>
    <n v="73727.91"/>
    <n v="64047.44"/>
    <d v="2020-10-11T00:00:00"/>
    <s v="Books"/>
    <s v="Romaguera-Haley"/>
    <s v="Jessamine Apark"/>
    <s v="Winny Agnolo"/>
    <x v="1"/>
    <s v="92-5154775"/>
    <m/>
    <x v="23"/>
    <x v="11"/>
    <x v="0"/>
  </r>
  <r>
    <s v="Denmark"/>
    <n v="22164.959999999999"/>
    <n v="17938.099999999999"/>
    <d v="2019-03-14T00:00:00"/>
    <s v="Books"/>
    <s v="Wyman Group"/>
    <s v="Modestia Byfford"/>
    <s v="Case Desorts"/>
    <x v="1"/>
    <s v="60-7777080"/>
    <m/>
    <x v="16"/>
    <x v="10"/>
    <x v="1"/>
  </r>
  <r>
    <s v="France"/>
    <n v="151855.04000000001"/>
    <n v="129486.79"/>
    <d v="2019-01-16T00:00:00"/>
    <s v="Electronics"/>
    <s v="Considine-Fisher"/>
    <s v="Othello Bowes"/>
    <s v="Amelina Piscopiello"/>
    <x v="1"/>
    <s v="54-1473475"/>
    <m/>
    <x v="9"/>
    <x v="7"/>
    <x v="1"/>
  </r>
  <r>
    <s v="Finland"/>
    <n v="106115.85"/>
    <n v="93063.6"/>
    <d v="2020-02-15T00:00:00"/>
    <s v="Electronics"/>
    <s v="Johns and Sons"/>
    <s v="Hube Corey"/>
    <s v="Mellicent Mattys"/>
    <x v="2"/>
    <s v="51-4531731"/>
    <m/>
    <x v="0"/>
    <x v="0"/>
    <x v="0"/>
  </r>
  <r>
    <s v="France"/>
    <n v="89369"/>
    <n v="72889.36"/>
    <d v="2020-01-02T00:00:00"/>
    <s v="Smartphones"/>
    <s v="Swaniawski, Runolfsson and Green"/>
    <s v="Othello Bowes"/>
    <s v="Ora Grennan"/>
    <x v="1"/>
    <s v="20-6735303"/>
    <m/>
    <x v="11"/>
    <x v="7"/>
    <x v="0"/>
  </r>
  <r>
    <s v="Sweden"/>
    <n v="106076.67"/>
    <n v="84765.87"/>
    <d v="2019-10-10T00:00:00"/>
    <s v="Electronics"/>
    <s v="Romaguera-Haley"/>
    <s v="Maxie Marrow"/>
    <s v="Madelon Bront"/>
    <x v="0"/>
    <s v="97-5858605"/>
    <m/>
    <x v="20"/>
    <x v="11"/>
    <x v="1"/>
  </r>
  <r>
    <s v="Netherlands"/>
    <n v="23290.84"/>
    <n v="19147.400000000001"/>
    <d v="2019-02-25T00:00:00"/>
    <s v="Electronics"/>
    <s v="Konopelski LLC"/>
    <s v="Denice Amberg"/>
    <s v="Nero Harbisher"/>
    <x v="1"/>
    <s v="02-2183787"/>
    <m/>
    <x v="6"/>
    <x v="0"/>
    <x v="1"/>
  </r>
  <r>
    <s v="France"/>
    <n v="83340.039999999994"/>
    <n v="73264.23"/>
    <d v="2020-05-18T00:00:00"/>
    <s v="Clothing"/>
    <s v="Johns and Sons"/>
    <s v="Othello Bowes"/>
    <s v="Amelina Piscopiello"/>
    <x v="1"/>
    <s v="65-5818172"/>
    <m/>
    <x v="8"/>
    <x v="6"/>
    <x v="0"/>
  </r>
  <r>
    <s v="Denmark"/>
    <n v="39287.29"/>
    <n v="31708.77"/>
    <d v="2019-03-15T00:00:00"/>
    <s v="Games"/>
    <s v="Tillman and Sons"/>
    <s v="Modestia Byfford"/>
    <s v="Cobby Andersen"/>
    <x v="1"/>
    <s v="03-8586261"/>
    <m/>
    <x v="16"/>
    <x v="10"/>
    <x v="1"/>
  </r>
  <r>
    <s v="Bulgaria"/>
    <n v="124611.61"/>
    <n v="107776.58"/>
    <d v="2020-09-19T00:00:00"/>
    <s v="Electronics"/>
    <s v="Wiza and Sons"/>
    <s v="Charil Alpe"/>
    <s v="Shermy McGready"/>
    <x v="1"/>
    <s v="86-0928074"/>
    <m/>
    <x v="22"/>
    <x v="1"/>
    <x v="0"/>
  </r>
  <r>
    <s v="France"/>
    <n v="147055.1"/>
    <n v="126114.45"/>
    <d v="2019-04-15T00:00:00"/>
    <s v="Games"/>
    <s v="Friesen-Rath"/>
    <s v="Othello Bowes"/>
    <s v="Crysta Halls"/>
    <x v="1"/>
    <s v="77-1100434"/>
    <m/>
    <x v="21"/>
    <x v="3"/>
    <x v="1"/>
  </r>
  <r>
    <s v="Ireland"/>
    <n v="130242.41"/>
    <n v="113050.41"/>
    <d v="2020-12-30T00:00:00"/>
    <s v="Smartphones"/>
    <s v="Johns and Sons"/>
    <s v="Glenine Suttaby"/>
    <s v="Palm Wetherald"/>
    <x v="1"/>
    <s v="70-7426559"/>
    <m/>
    <x v="17"/>
    <x v="4"/>
    <x v="0"/>
  </r>
  <r>
    <s v="France"/>
    <n v="34771.79"/>
    <n v="28509.39"/>
    <d v="2020-03-19T00:00:00"/>
    <s v="Smartphones"/>
    <s v="Rowe, Hermiston and Kessler"/>
    <s v="Othello Bowes"/>
    <s v="Maighdiln Upcraft"/>
    <x v="1"/>
    <s v="45-5963143"/>
    <m/>
    <x v="19"/>
    <x v="10"/>
    <x v="0"/>
  </r>
  <r>
    <s v="Portugal"/>
    <n v="201573.23"/>
    <n v="166116.5"/>
    <d v="2019-12-05T00:00:00"/>
    <s v="Games"/>
    <s v="Schuster Inc"/>
    <s v="Celine Tumasian"/>
    <s v="Corene Shirer"/>
    <x v="0"/>
    <s v="94-3590580"/>
    <m/>
    <x v="4"/>
    <x v="4"/>
    <x v="1"/>
  </r>
  <r>
    <s v="Sweden"/>
    <n v="71119.23"/>
    <n v="59220.98"/>
    <d v="2019-03-09T00:00:00"/>
    <s v="Books"/>
    <s v="Johns and Sons"/>
    <s v="Maxie Marrow"/>
    <s v="Alyosha Meah"/>
    <x v="1"/>
    <s v="52-5981325"/>
    <m/>
    <x v="16"/>
    <x v="10"/>
    <x v="1"/>
  </r>
  <r>
    <s v="Portugal"/>
    <n v="115538.34"/>
    <n v="99686.48"/>
    <d v="2020-01-28T00:00:00"/>
    <s v="Games"/>
    <s v="Larkin-Collier"/>
    <s v="Celine Tumasian"/>
    <s v="Smitty Culverhouse"/>
    <x v="1"/>
    <s v="74-7472724"/>
    <m/>
    <x v="11"/>
    <x v="7"/>
    <x v="0"/>
  </r>
  <r>
    <s v="Portugal"/>
    <n v="144237.38"/>
    <n v="116111.09"/>
    <d v="2020-11-05T00:00:00"/>
    <s v="Books"/>
    <s v="Johns and Sons"/>
    <s v="Celine Tumasian"/>
    <s v="Hortense Gerring"/>
    <x v="1"/>
    <s v="03-3965480"/>
    <m/>
    <x v="13"/>
    <x v="8"/>
    <x v="0"/>
  </r>
  <r>
    <s v="UK"/>
    <n v="91561.49"/>
    <n v="78266.759999999995"/>
    <d v="2019-03-25T00:00:00"/>
    <s v="Books"/>
    <s v="Armstrong-Little"/>
    <s v="Jessamine Apark"/>
    <s v="Winny Agnolo"/>
    <x v="1"/>
    <s v="64-4188827"/>
    <m/>
    <x v="16"/>
    <x v="10"/>
    <x v="1"/>
  </r>
  <r>
    <s v="Sweden"/>
    <n v="233858.47"/>
    <n v="185543.31"/>
    <d v="2020-06-02T00:00:00"/>
    <s v="Beauty"/>
    <s v="Romaguera-Dietrich"/>
    <s v="Maxie Marrow"/>
    <s v="Alyosha Meah"/>
    <x v="1"/>
    <s v="66-5572109"/>
    <m/>
    <x v="18"/>
    <x v="9"/>
    <x v="0"/>
  </r>
  <r>
    <s v="UK"/>
    <n v="256388.08"/>
    <n v="212058.58"/>
    <d v="2019-12-05T00:00:00"/>
    <s v="Appliances"/>
    <s v="Tromp LLC"/>
    <s v="Jessamine Apark"/>
    <s v="Jay Morefield"/>
    <x v="0"/>
    <s v="44-2994974"/>
    <m/>
    <x v="4"/>
    <x v="4"/>
    <x v="1"/>
  </r>
  <r>
    <s v="UK"/>
    <n v="125099.05"/>
    <n v="108473.39"/>
    <d v="2020-03-05T00:00:00"/>
    <s v="Books"/>
    <s v="Dibbert Inc"/>
    <s v="Jessamine Apark"/>
    <s v="Genevra Charrisson"/>
    <x v="1"/>
    <s v="30-7981953"/>
    <m/>
    <x v="19"/>
    <x v="10"/>
    <x v="0"/>
  </r>
  <r>
    <s v="UK"/>
    <n v="121246.32"/>
    <n v="104005.09"/>
    <d v="2020-05-30T00:00:00"/>
    <s v="Books"/>
    <s v="Altenwerth-Konopelski"/>
    <s v="Jessamine Apark"/>
    <s v="Winny Agnolo"/>
    <x v="1"/>
    <s v="82-9740062"/>
    <m/>
    <x v="8"/>
    <x v="6"/>
    <x v="0"/>
  </r>
  <r>
    <s v="Finland"/>
    <n v="28538.19"/>
    <n v="24970.92"/>
    <d v="2019-05-27T00:00:00"/>
    <s v="Games"/>
    <s v="Hilll-Vandervort"/>
    <s v="Hube Corey"/>
    <s v="Wat Bowkley"/>
    <x v="1"/>
    <s v="28-7069317"/>
    <m/>
    <x v="10"/>
    <x v="6"/>
    <x v="1"/>
  </r>
  <r>
    <s v="France"/>
    <n v="89930.18"/>
    <n v="78005.440000000002"/>
    <d v="2020-03-26T00:00:00"/>
    <s v="Other"/>
    <s v="Hessel-Stiedemann"/>
    <s v="Othello Bowes"/>
    <s v="Maighdiln Upcraft"/>
    <x v="1"/>
    <s v="65-0441590"/>
    <m/>
    <x v="19"/>
    <x v="10"/>
    <x v="0"/>
  </r>
  <r>
    <s v="Sweden"/>
    <n v="170457.8"/>
    <n v="142809.54"/>
    <d v="2020-08-14T00:00:00"/>
    <s v="Accessories"/>
    <s v="Shanahan, Schaden and Parker"/>
    <s v="Maxie Marrow"/>
    <s v="Anita Woakes"/>
    <x v="1"/>
    <s v="60-1991659"/>
    <m/>
    <x v="7"/>
    <x v="5"/>
    <x v="0"/>
  </r>
  <r>
    <s v="UK"/>
    <n v="166380.74"/>
    <n v="146049.01"/>
    <d v="2020-06-23T00:00:00"/>
    <s v="Smartphones"/>
    <s v="Labadie and Sons"/>
    <s v="Jessamine Apark"/>
    <s v="Genevra Charrisson"/>
    <x v="1"/>
    <s v="15-2948501"/>
    <m/>
    <x v="18"/>
    <x v="9"/>
    <x v="0"/>
  </r>
  <r>
    <s v="France"/>
    <n v="116328.75"/>
    <n v="93365.45"/>
    <d v="2019-09-27T00:00:00"/>
    <s v="Appliances"/>
    <s v="Schowalter, Lesch and Beahan"/>
    <s v="Othello Bowes"/>
    <s v="Crysta Halls"/>
    <x v="1"/>
    <s v="02-6830973"/>
    <m/>
    <x v="1"/>
    <x v="1"/>
    <x v="1"/>
  </r>
  <r>
    <s v="Germany"/>
    <n v="230765.62"/>
    <n v="195435.4"/>
    <d v="2019-07-18T00:00:00"/>
    <s v="Beauty"/>
    <s v="Johns and Sons"/>
    <s v="Rickard Doogood"/>
    <s v="Casie MacBain"/>
    <x v="1"/>
    <s v="70-0112393"/>
    <m/>
    <x v="2"/>
    <x v="2"/>
    <x v="1"/>
  </r>
  <r>
    <s v="Portugal"/>
    <n v="152442.32"/>
    <n v="122258.74"/>
    <d v="2020-10-06T00:00:00"/>
    <s v="Electronics"/>
    <s v="Johns and Sons"/>
    <s v="Celine Tumasian"/>
    <s v="Aurelie Wren"/>
    <x v="1"/>
    <s v="04-6161825"/>
    <m/>
    <x v="23"/>
    <x v="11"/>
    <x v="0"/>
  </r>
  <r>
    <s v="Sweden"/>
    <n v="325331.99"/>
    <n v="264592.51"/>
    <d v="2019-12-23T00:00:00"/>
    <s v="Games"/>
    <s v="Altenwerth-Konopelski"/>
    <s v="Maxie Marrow"/>
    <s v="Caro Morfield"/>
    <x v="0"/>
    <s v="57-4142025"/>
    <m/>
    <x v="4"/>
    <x v="4"/>
    <x v="1"/>
  </r>
  <r>
    <s v="UK"/>
    <n v="56768.43"/>
    <n v="47384.61"/>
    <d v="2019-04-22T00:00:00"/>
    <s v="Games"/>
    <s v="Kihn Inc"/>
    <s v="Jessamine Apark"/>
    <s v="Winny Agnolo"/>
    <x v="1"/>
    <s v="84-9254695"/>
    <m/>
    <x v="21"/>
    <x v="3"/>
    <x v="1"/>
  </r>
  <r>
    <s v="Portugal"/>
    <n v="147895.45000000001"/>
    <n v="120416.48"/>
    <d v="2019-07-01T00:00:00"/>
    <s v="Clothing"/>
    <s v="Wisoky Inc"/>
    <s v="Celine Tumasian"/>
    <s v="Hortense Gerring"/>
    <x v="0"/>
    <s v="17-1884075"/>
    <m/>
    <x v="2"/>
    <x v="2"/>
    <x v="1"/>
  </r>
  <r>
    <s v="Ireland"/>
    <n v="57107.26"/>
    <n v="48232.79"/>
    <d v="2020-02-13T00:00:00"/>
    <s v="Outdoors"/>
    <s v="Altenwerth-Konopelski"/>
    <s v="Glenine Suttaby"/>
    <s v="Bunnie Tonbridge"/>
    <x v="0"/>
    <s v="49-6263811"/>
    <m/>
    <x v="0"/>
    <x v="0"/>
    <x v="0"/>
  </r>
  <r>
    <s v="France"/>
    <n v="85337.78"/>
    <n v="72306.7"/>
    <d v="2020-02-04T00:00:00"/>
    <s v="Appliances"/>
    <s v="Lubowitz, McLaughlin and Erdman"/>
    <s v="Othello Bowes"/>
    <s v="Crysta Halls"/>
    <x v="0"/>
    <s v="78-6287811"/>
    <m/>
    <x v="0"/>
    <x v="0"/>
    <x v="0"/>
  </r>
  <r>
    <s v="France"/>
    <n v="162199.24"/>
    <n v="130878.57"/>
    <d v="2020-06-22T00:00:00"/>
    <s v="Appliances"/>
    <s v="West-Cummings"/>
    <s v="Othello Bowes"/>
    <s v="Avrit Chanders"/>
    <x v="1"/>
    <s v="75-1807214"/>
    <m/>
    <x v="18"/>
    <x v="9"/>
    <x v="0"/>
  </r>
  <r>
    <s v="Sweden"/>
    <n v="128208.95"/>
    <n v="111746.92"/>
    <d v="2020-07-31T00:00:00"/>
    <s v="Appliances"/>
    <s v="Dibbert Inc"/>
    <s v="Maxie Marrow"/>
    <s v="Alyosha Meah"/>
    <x v="1"/>
    <s v="72-1300449"/>
    <m/>
    <x v="5"/>
    <x v="2"/>
    <x v="0"/>
  </r>
  <r>
    <s v="Germany"/>
    <n v="86669.23"/>
    <n v="71580.12"/>
    <d v="2020-03-18T00:00:00"/>
    <s v="Appliances"/>
    <s v="Hessel-Stiedemann"/>
    <s v="Rickard Doogood"/>
    <s v="Casie MacBain"/>
    <x v="1"/>
    <s v="22-4332301"/>
    <m/>
    <x v="19"/>
    <x v="10"/>
    <x v="0"/>
  </r>
  <r>
    <s v="Ireland"/>
    <n v="117288.29"/>
    <n v="94546.09"/>
    <d v="2019-07-04T00:00:00"/>
    <s v="Clothing"/>
    <s v="Johns and Sons"/>
    <s v="Glenine Suttaby"/>
    <s v="Palm Wetherald"/>
    <x v="1"/>
    <s v="42-2477150"/>
    <m/>
    <x v="2"/>
    <x v="2"/>
    <x v="1"/>
  </r>
  <r>
    <s v="France"/>
    <n v="57292.84"/>
    <n v="45908.75"/>
    <d v="2019-10-03T00:00:00"/>
    <s v="Electronics"/>
    <s v="Zieme, Bailey and Herzog"/>
    <s v="Othello Bowes"/>
    <s v="Ora Grennan"/>
    <x v="1"/>
    <s v="18-5234470"/>
    <m/>
    <x v="20"/>
    <x v="11"/>
    <x v="1"/>
  </r>
  <r>
    <s v="Portugal"/>
    <n v="110441.89"/>
    <n v="90970.98"/>
    <d v="2020-01-04T00:00:00"/>
    <s v="Beauty"/>
    <s v="Heaney, Gulgowski and Kshlerin"/>
    <s v="Celine Tumasian"/>
    <s v="Hortense Gerring"/>
    <x v="2"/>
    <s v="74-4541594"/>
    <m/>
    <x v="11"/>
    <x v="7"/>
    <x v="0"/>
  </r>
  <r>
    <s v="UK"/>
    <n v="53801.73"/>
    <n v="46785.98"/>
    <d v="2019-09-28T00:00:00"/>
    <s v="Games"/>
    <s v="Johns and Sons"/>
    <s v="Jessamine Apark"/>
    <s v="Jay Morefield"/>
    <x v="1"/>
    <s v="16-6855831"/>
    <m/>
    <x v="1"/>
    <x v="1"/>
    <x v="1"/>
  </r>
  <r>
    <s v="UK"/>
    <n v="308763.51"/>
    <n v="245714"/>
    <d v="2020-12-04T00:00:00"/>
    <s v="Outdoors"/>
    <s v="Kihn Inc"/>
    <s v="Jessamine Apark"/>
    <s v="Winny Agnolo"/>
    <x v="1"/>
    <s v="46-5327740"/>
    <m/>
    <x v="17"/>
    <x v="4"/>
    <x v="0"/>
  </r>
  <r>
    <s v="Portugal"/>
    <n v="87409.49"/>
    <n v="70548.2"/>
    <d v="2020-11-29T00:00:00"/>
    <s v="Games"/>
    <s v="Hessel-Stiedemann"/>
    <s v="Celine Tumasian"/>
    <s v="Brynn Dempster"/>
    <x v="1"/>
    <s v="06-4416964"/>
    <m/>
    <x v="13"/>
    <x v="8"/>
    <x v="0"/>
  </r>
  <r>
    <s v="Denmark"/>
    <n v="31936.44"/>
    <n v="27708.06"/>
    <d v="2020-09-17T00:00:00"/>
    <s v="Books"/>
    <s v="Hartmann, Hane and Pfannerstill"/>
    <s v="Modestia Byfford"/>
    <s v="Cobby Andersen"/>
    <x v="1"/>
    <s v="46-6076582"/>
    <m/>
    <x v="22"/>
    <x v="1"/>
    <x v="0"/>
  </r>
  <r>
    <s v="Sweden"/>
    <n v="45463.65"/>
    <n v="36907.39"/>
    <d v="2020-08-29T00:00:00"/>
    <s v="Clothing"/>
    <s v="Schuster Inc"/>
    <s v="Maxie Marrow"/>
    <s v="Alyosha Meah"/>
    <x v="1"/>
    <s v="38-1449694"/>
    <m/>
    <x v="7"/>
    <x v="5"/>
    <x v="0"/>
  </r>
  <r>
    <s v="Sweden"/>
    <n v="112909.4"/>
    <n v="93940.62"/>
    <d v="2019-04-25T00:00:00"/>
    <s v="Clothing"/>
    <s v="Johns and Sons"/>
    <s v="Maxie Marrow"/>
    <s v="Madelon Bront"/>
    <x v="1"/>
    <s v="39-3557596"/>
    <m/>
    <x v="21"/>
    <x v="3"/>
    <x v="1"/>
  </r>
  <r>
    <s v="Portugal"/>
    <n v="126346.44"/>
    <n v="103970.49"/>
    <d v="2019-04-08T00:00:00"/>
    <s v="Smartphones"/>
    <s v="Johns and Sons"/>
    <s v="Celine Tumasian"/>
    <s v="Corene Shirer"/>
    <x v="1"/>
    <s v="26-9990483"/>
    <m/>
    <x v="21"/>
    <x v="3"/>
    <x v="1"/>
  </r>
  <r>
    <s v="Portugal"/>
    <n v="109713.84"/>
    <n v="95769.21"/>
    <d v="2020-05-07T00:00:00"/>
    <s v="Smartphones"/>
    <s v="Bashirian, Okuneva and Bechtelar"/>
    <s v="Celine Tumasian"/>
    <s v="Aurelie Wren"/>
    <x v="1"/>
    <s v="31-7075495"/>
    <m/>
    <x v="8"/>
    <x v="6"/>
    <x v="0"/>
  </r>
  <r>
    <s v="Netherlands"/>
    <n v="200472.46"/>
    <n v="170181.07"/>
    <d v="2020-06-19T00:00:00"/>
    <s v="Electronics"/>
    <s v="Wiza and Sons"/>
    <s v="Denice Amberg"/>
    <s v="Nero Harbisher"/>
    <x v="1"/>
    <s v="98-5774102"/>
    <m/>
    <x v="18"/>
    <x v="9"/>
    <x v="0"/>
  </r>
  <r>
    <s v="France"/>
    <n v="35214.85"/>
    <n v="27985.24"/>
    <d v="2019-03-13T00:00:00"/>
    <s v="Electronics"/>
    <s v="Lueilwitz, Kerluke and Lesch"/>
    <s v="Othello Bowes"/>
    <s v="Ora Grennan"/>
    <x v="1"/>
    <s v="46-5580805"/>
    <m/>
    <x v="16"/>
    <x v="10"/>
    <x v="1"/>
  </r>
  <r>
    <s v="Ireland"/>
    <n v="161630.62"/>
    <n v="133991.78"/>
    <d v="2019-04-04T00:00:00"/>
    <s v="Appliances"/>
    <s v="Friesen-Rath"/>
    <s v="Glenine Suttaby"/>
    <s v="Palm Wetherald"/>
    <x v="1"/>
    <s v="39-6568658"/>
    <m/>
    <x v="21"/>
    <x v="3"/>
    <x v="1"/>
  </r>
  <r>
    <s v="Portugal"/>
    <n v="179184.12"/>
    <n v="142433.46"/>
    <d v="2020-05-08T00:00:00"/>
    <s v="Appliances"/>
    <s v="Hamill, Kulas and Roob"/>
    <s v="Celine Tumasian"/>
    <s v="Brynn Dempster"/>
    <x v="1"/>
    <s v="85-1464621"/>
    <m/>
    <x v="8"/>
    <x v="6"/>
    <x v="0"/>
  </r>
  <r>
    <s v="Sweden"/>
    <n v="80867.179999999993"/>
    <n v="63982.11"/>
    <d v="2019-02-12T00:00:00"/>
    <s v="Books"/>
    <s v="Dibbert Inc"/>
    <s v="Maxie Marrow"/>
    <s v="Anita Woakes"/>
    <x v="1"/>
    <s v="86-6763776"/>
    <m/>
    <x v="6"/>
    <x v="0"/>
    <x v="1"/>
  </r>
  <r>
    <s v="France"/>
    <n v="96613.06"/>
    <n v="79242.03"/>
    <d v="2019-04-24T00:00:00"/>
    <s v="Books"/>
    <s v="Johns and Sons"/>
    <s v="Othello Bowes"/>
    <s v="Ora Grennan"/>
    <x v="1"/>
    <s v="03-7559332"/>
    <m/>
    <x v="21"/>
    <x v="3"/>
    <x v="1"/>
  </r>
  <r>
    <s v="Portugal"/>
    <n v="89600.45"/>
    <n v="70811.240000000005"/>
    <d v="2020-01-21T00:00:00"/>
    <s v="Games"/>
    <s v="Wisoky Inc"/>
    <s v="Celine Tumasian"/>
    <s v="Smitty Culverhouse"/>
    <x v="1"/>
    <s v="36-7939842"/>
    <m/>
    <x v="11"/>
    <x v="7"/>
    <x v="0"/>
  </r>
  <r>
    <s v="Portugal"/>
    <n v="41921.61"/>
    <n v="34773.980000000003"/>
    <d v="2020-11-28T00:00:00"/>
    <s v="Games"/>
    <s v="Gislason-Stanton"/>
    <s v="Celine Tumasian"/>
    <s v="Hortense Gerring"/>
    <x v="2"/>
    <s v="38-7603760"/>
    <m/>
    <x v="13"/>
    <x v="8"/>
    <x v="0"/>
  </r>
  <r>
    <s v="UK"/>
    <n v="151012.12"/>
    <n v="126080.02"/>
    <d v="2020-08-25T00:00:00"/>
    <s v="Accessories"/>
    <s v="Johns and Sons"/>
    <s v="Jessamine Apark"/>
    <s v="Jay Morefield"/>
    <x v="1"/>
    <s v="11-5630090"/>
    <m/>
    <x v="7"/>
    <x v="5"/>
    <x v="0"/>
  </r>
  <r>
    <s v="Portugal"/>
    <n v="112481.44"/>
    <n v="96700.29"/>
    <d v="2020-04-11T00:00:00"/>
    <s v="Electronics"/>
    <s v="Dickinson, Hyatt and Berge"/>
    <s v="Celine Tumasian"/>
    <s v="Hortense Gerring"/>
    <x v="0"/>
    <s v="97-6414953"/>
    <m/>
    <x v="3"/>
    <x v="3"/>
    <x v="0"/>
  </r>
  <r>
    <s v="France"/>
    <n v="90228.68"/>
    <n v="77966.600000000006"/>
    <d v="2019-01-27T00:00:00"/>
    <s v="Electronics"/>
    <s v="Wiza and Sons"/>
    <s v="Othello Bowes"/>
    <s v="Avrit Chanders"/>
    <x v="1"/>
    <s v="64-9816105"/>
    <m/>
    <x v="9"/>
    <x v="7"/>
    <x v="1"/>
  </r>
  <r>
    <s v="UK"/>
    <n v="141552.4"/>
    <n v="122994.88"/>
    <d v="2019-09-17T00:00:00"/>
    <s v="Beauty"/>
    <s v="Dickinson, Hyatt and Berge"/>
    <s v="Jessamine Apark"/>
    <s v="Winny Agnolo"/>
    <x v="1"/>
    <s v="59-0893568"/>
    <m/>
    <x v="1"/>
    <x v="1"/>
    <x v="1"/>
  </r>
  <r>
    <s v="UK"/>
    <n v="29783.39"/>
    <n v="23719.49"/>
    <d v="2019-11-27T00:00:00"/>
    <s v="Books"/>
    <s v="Schmitt, Purdy and Johnson"/>
    <s v="Jessamine Apark"/>
    <s v="Winny Agnolo"/>
    <x v="1"/>
    <s v="18-0945763"/>
    <m/>
    <x v="14"/>
    <x v="8"/>
    <x v="1"/>
  </r>
  <r>
    <s v="Sweden"/>
    <n v="149938.71"/>
    <n v="131541.23000000001"/>
    <d v="2020-12-24T00:00:00"/>
    <s v="Books"/>
    <s v="Walter LLC"/>
    <s v="Maxie Marrow"/>
    <s v="Madelon Bront"/>
    <x v="1"/>
    <s v="26-1771681"/>
    <m/>
    <x v="17"/>
    <x v="4"/>
    <x v="0"/>
  </r>
  <r>
    <s v="Sweden"/>
    <n v="103839.74"/>
    <n v="90683.24"/>
    <d v="2020-08-23T00:00:00"/>
    <s v="Books"/>
    <s v="Schoen-Keeling"/>
    <s v="Maxie Marrow"/>
    <s v="Tarrah Castelletti"/>
    <x v="1"/>
    <s v="57-6427586"/>
    <m/>
    <x v="7"/>
    <x v="5"/>
    <x v="0"/>
  </r>
  <r>
    <s v="Portugal"/>
    <n v="30550.32"/>
    <n v="25457.58"/>
    <d v="2019-05-31T00:00:00"/>
    <s v="Beauty"/>
    <s v="Farrell, Swaniawski and Crist"/>
    <s v="Celine Tumasian"/>
    <s v="Smitty Culverhouse"/>
    <x v="0"/>
    <s v="73-3910940"/>
    <m/>
    <x v="10"/>
    <x v="6"/>
    <x v="1"/>
  </r>
  <r>
    <s v="Sweden"/>
    <n v="24787.65"/>
    <n v="20454.77"/>
    <d v="2019-02-12T00:00:00"/>
    <s v="Other"/>
    <s v="Lueilwitz, Kerluke and Lesch"/>
    <s v="Maxie Marrow"/>
    <s v="Caro Morfield"/>
    <x v="1"/>
    <s v="34-8728117"/>
    <m/>
    <x v="6"/>
    <x v="0"/>
    <x v="1"/>
  </r>
  <r>
    <s v="France"/>
    <n v="122468.33"/>
    <n v="103032.61"/>
    <d v="2020-09-08T00:00:00"/>
    <s v="Electronics"/>
    <s v="Johns and Sons"/>
    <s v="Othello Bowes"/>
    <s v="Avrit Chanders"/>
    <x v="0"/>
    <s v="53-7680732"/>
    <m/>
    <x v="22"/>
    <x v="1"/>
    <x v="0"/>
  </r>
  <r>
    <s v="Sweden"/>
    <n v="137026.71"/>
    <n v="120117.61"/>
    <d v="2020-08-26T00:00:00"/>
    <s v="Smartphones"/>
    <s v="McGlynn-Bergstrom"/>
    <s v="Maxie Marrow"/>
    <s v="Anita Woakes"/>
    <x v="1"/>
    <s v="86-6380587"/>
    <m/>
    <x v="7"/>
    <x v="5"/>
    <x v="0"/>
  </r>
  <r>
    <s v="Finland"/>
    <n v="132246.48000000001"/>
    <n v="106841.93"/>
    <d v="2019-01-02T00:00:00"/>
    <s v="Games"/>
    <s v="Friesen-Rath"/>
    <s v="Hube Corey"/>
    <s v="Mellicent Mattys"/>
    <x v="1"/>
    <s v="95-1862126"/>
    <m/>
    <x v="9"/>
    <x v="7"/>
    <x v="1"/>
  </r>
  <r>
    <s v="Portugal"/>
    <n v="111551.96"/>
    <n v="89420.05"/>
    <d v="2020-01-06T00:00:00"/>
    <s v="Clothing"/>
    <s v="Wunsch LLC"/>
    <s v="Celine Tumasian"/>
    <s v="Aurelie Wren"/>
    <x v="1"/>
    <s v="41-6241712"/>
    <m/>
    <x v="11"/>
    <x v="7"/>
    <x v="0"/>
  </r>
  <r>
    <s v="France"/>
    <n v="127946.33"/>
    <n v="111850.68"/>
    <d v="2019-09-09T00:00:00"/>
    <s v="Beauty"/>
    <s v="Hamill, Kulas and Roob"/>
    <s v="Othello Bowes"/>
    <s v="Crysta Halls"/>
    <x v="1"/>
    <s v="32-3418936"/>
    <m/>
    <x v="1"/>
    <x v="1"/>
    <x v="1"/>
  </r>
  <r>
    <s v="Sweden"/>
    <n v="78679.600000000006"/>
    <n v="62416.53"/>
    <d v="2019-10-12T00:00:00"/>
    <s v="Games"/>
    <s v="Stehr LLC"/>
    <s v="Maxie Marrow"/>
    <s v="Tarrah Castelletti"/>
    <x v="1"/>
    <s v="10-1511807"/>
    <m/>
    <x v="20"/>
    <x v="11"/>
    <x v="1"/>
  </r>
  <r>
    <s v="UK"/>
    <n v="86071.63"/>
    <n v="71198.45"/>
    <d v="2019-11-13T00:00:00"/>
    <s v="Electronics"/>
    <s v="Gislason-Stanton"/>
    <s v="Jessamine Apark"/>
    <s v="Genevra Charrisson"/>
    <x v="2"/>
    <s v="66-6360568"/>
    <m/>
    <x v="14"/>
    <x v="8"/>
    <x v="1"/>
  </r>
  <r>
    <s v="Portugal"/>
    <n v="134120.38"/>
    <n v="105981.92"/>
    <d v="2020-04-30T00:00:00"/>
    <s v="Games"/>
    <s v="McGlynn-Bergstrom"/>
    <s v="Celine Tumasian"/>
    <s v="Brynn Dempster"/>
    <x v="1"/>
    <s v="63-4386955"/>
    <m/>
    <x v="3"/>
    <x v="3"/>
    <x v="0"/>
  </r>
  <r>
    <s v="Spain"/>
    <n v="77855.47"/>
    <n v="63545.63"/>
    <d v="2019-08-13T00:00:00"/>
    <s v="Outdoors"/>
    <s v="Goldner-Dibbert"/>
    <s v="Emalia Dinse"/>
    <s v="Bertha Walbrook"/>
    <x v="1"/>
    <s v="77-3226391"/>
    <m/>
    <x v="12"/>
    <x v="5"/>
    <x v="1"/>
  </r>
  <r>
    <s v="UK"/>
    <n v="176080.36"/>
    <n v="153401.21"/>
    <d v="2019-11-13T00:00:00"/>
    <s v="Beauty"/>
    <s v="Tillman and Sons"/>
    <s v="Jessamine Apark"/>
    <s v="Jay Morefield"/>
    <x v="1"/>
    <s v="74-9554997"/>
    <m/>
    <x v="14"/>
    <x v="8"/>
    <x v="1"/>
  </r>
  <r>
    <s v="Portugal"/>
    <n v="159514.03"/>
    <n v="138872.91"/>
    <d v="2020-09-23T00:00:00"/>
    <s v="Clothing"/>
    <s v="Hessel-Stiedemann"/>
    <s v="Celine Tumasian"/>
    <s v="Aurelie Wren"/>
    <x v="1"/>
    <s v="37-0756560"/>
    <m/>
    <x v="22"/>
    <x v="1"/>
    <x v="0"/>
  </r>
  <r>
    <s v="France"/>
    <n v="238850.25"/>
    <n v="199607.15"/>
    <d v="2019-06-30T00:00:00"/>
    <s v="Appliances"/>
    <s v="Rowe, Hermiston and Kessler"/>
    <s v="Othello Bowes"/>
    <s v="Ora Grennan"/>
    <x v="1"/>
    <s v="19-9649739"/>
    <m/>
    <x v="15"/>
    <x v="9"/>
    <x v="1"/>
  </r>
  <r>
    <s v="Sweden"/>
    <n v="240940.97"/>
    <n v="195138.09"/>
    <d v="2019-12-27T00:00:00"/>
    <s v="Accessories"/>
    <s v="Wunsch LLC"/>
    <s v="Maxie Marrow"/>
    <s v="Tarrah Castelletti"/>
    <x v="1"/>
    <s v="91-4735064"/>
    <m/>
    <x v="4"/>
    <x v="4"/>
    <x v="1"/>
  </r>
  <r>
    <s v="Denmark"/>
    <n v="109892.92"/>
    <n v="89441.85"/>
    <d v="2020-05-06T00:00:00"/>
    <s v="Books"/>
    <s v="Lubowitz, McLaughlin and Erdman"/>
    <s v="Modestia Byfford"/>
    <s v="Cobby Andersen"/>
    <x v="1"/>
    <s v="82-1337530"/>
    <m/>
    <x v="8"/>
    <x v="6"/>
    <x v="0"/>
  </r>
  <r>
    <s v="Germany"/>
    <n v="86704.08"/>
    <n v="75380.53"/>
    <d v="2020-10-05T00:00:00"/>
    <s v="Books"/>
    <s v="Tillman and Sons"/>
    <s v="Rickard Doogood"/>
    <s v="Casie MacBain"/>
    <x v="1"/>
    <s v="39-3209780"/>
    <m/>
    <x v="23"/>
    <x v="11"/>
    <x v="0"/>
  </r>
  <r>
    <s v="Ireland"/>
    <n v="292124.64"/>
    <n v="245822.88"/>
    <d v="2019-12-09T00:00:00"/>
    <s v="Beauty"/>
    <s v="Christiansen, Donnelly and Bechtelar"/>
    <s v="Glenine Suttaby"/>
    <s v="Palm Wetherald"/>
    <x v="1"/>
    <s v="18-0483044"/>
    <m/>
    <x v="4"/>
    <x v="4"/>
    <x v="1"/>
  </r>
  <r>
    <s v="Bulgaria"/>
    <n v="122998.65"/>
    <n v="97476.43"/>
    <d v="2020-01-28T00:00:00"/>
    <s v="Games"/>
    <s v="Armstrong-Little"/>
    <s v="Charil Alpe"/>
    <s v="Bernadine Fullagar"/>
    <x v="1"/>
    <s v="70-0044622"/>
    <m/>
    <x v="11"/>
    <x v="7"/>
    <x v="0"/>
  </r>
  <r>
    <s v="Sweden"/>
    <n v="50646.66"/>
    <n v="43039.53"/>
    <d v="2020-04-01T00:00:00"/>
    <s v="Clothing"/>
    <s v="Johns and Sons"/>
    <s v="Maxie Marrow"/>
    <s v="Madelon Bront"/>
    <x v="1"/>
    <s v="43-1236055"/>
    <m/>
    <x v="3"/>
    <x v="3"/>
    <x v="0"/>
  </r>
  <r>
    <s v="Sweden"/>
    <n v="89639.28"/>
    <n v="77788.97"/>
    <d v="2019-01-25T00:00:00"/>
    <s v="Clothing"/>
    <s v="Altenwerth-Konopelski"/>
    <s v="Maxie Marrow"/>
    <s v="Madelon Bront"/>
    <x v="1"/>
    <s v="25-6133000"/>
    <m/>
    <x v="9"/>
    <x v="7"/>
    <x v="1"/>
  </r>
  <r>
    <s v="Spain"/>
    <n v="107359.01"/>
    <n v="90868.67"/>
    <d v="2019-10-29T00:00:00"/>
    <s v="Electronics"/>
    <s v="Kirlin and Sons"/>
    <s v="Emalia Dinse"/>
    <s v="Perri Aldersley"/>
    <x v="1"/>
    <s v="78-7666796"/>
    <m/>
    <x v="20"/>
    <x v="11"/>
    <x v="1"/>
  </r>
  <r>
    <s v="Luxembourg"/>
    <n v="148359.67999999999"/>
    <n v="118480.04"/>
    <d v="2020-07-23T00:00:00"/>
    <s v="Games"/>
    <s v="Dickinson, Hyatt and Berge"/>
    <s v="Ilsa Kob"/>
    <s v="Jocelyn Laurentino"/>
    <x v="1"/>
    <s v="45-1867999"/>
    <m/>
    <x v="5"/>
    <x v="2"/>
    <x v="0"/>
  </r>
  <r>
    <s v="Finland"/>
    <n v="177464.83"/>
    <n v="142717.22"/>
    <d v="2020-01-25T00:00:00"/>
    <s v="Outdoors"/>
    <s v="Gislason-Stanton"/>
    <s v="Hube Corey"/>
    <s v="Mellicent Mattys"/>
    <x v="1"/>
    <s v="97-5797169"/>
    <m/>
    <x v="11"/>
    <x v="7"/>
    <x v="0"/>
  </r>
  <r>
    <s v="Portugal"/>
    <n v="168757.23"/>
    <n v="136895.85999999999"/>
    <d v="2020-08-24T00:00:00"/>
    <s v="Appliances"/>
    <s v="Labadie and Sons"/>
    <s v="Celine Tumasian"/>
    <s v="Aurelie Wren"/>
    <x v="1"/>
    <s v="31-6585710"/>
    <m/>
    <x v="7"/>
    <x v="5"/>
    <x v="0"/>
  </r>
  <r>
    <s v="France"/>
    <n v="19814.86"/>
    <n v="16787.150000000001"/>
    <d v="2020-03-20T00:00:00"/>
    <s v="Appliances"/>
    <s v="Murray, Reichel and Nolan"/>
    <s v="Othello Bowes"/>
    <s v="Avrit Chanders"/>
    <x v="1"/>
    <s v="84-0460695"/>
    <m/>
    <x v="19"/>
    <x v="10"/>
    <x v="0"/>
  </r>
  <r>
    <s v="Belgium"/>
    <n v="46311.34"/>
    <n v="40564.1"/>
    <d v="2020-03-01T00:00:00"/>
    <s v="Accessories"/>
    <s v="Heaney, Gulgowski and Kshlerin"/>
    <s v="Lambert Norheny"/>
    <s v="Collin Mackness"/>
    <x v="1"/>
    <s v="20-4568650"/>
    <m/>
    <x v="19"/>
    <x v="10"/>
    <x v="0"/>
  </r>
  <r>
    <s v="France"/>
    <n v="144927.17000000001"/>
    <n v="122260.56"/>
    <d v="2020-09-07T00:00:00"/>
    <s v="Appliances"/>
    <s v="Romaguera-Dietrich"/>
    <s v="Othello Bowes"/>
    <s v="Crysta Halls"/>
    <x v="1"/>
    <s v="29-9208067"/>
    <m/>
    <x v="22"/>
    <x v="1"/>
    <x v="0"/>
  </r>
  <r>
    <s v="Netherlands"/>
    <n v="203231.73"/>
    <n v="163052.82"/>
    <d v="2019-12-23T00:00:00"/>
    <s v="Books"/>
    <s v="Schuster Inc"/>
    <s v="Denice Amberg"/>
    <s v="Nero Harbisher"/>
    <x v="1"/>
    <s v="21-2357660"/>
    <m/>
    <x v="4"/>
    <x v="4"/>
    <x v="1"/>
  </r>
  <r>
    <s v="Portugal"/>
    <n v="40467.85"/>
    <n v="34656.67"/>
    <d v="2020-02-28T00:00:00"/>
    <s v="Smartphones"/>
    <s v="Swaniawski, Runolfsson and Green"/>
    <s v="Celine Tumasian"/>
    <s v="Corene Shirer"/>
    <x v="2"/>
    <s v="16-3842379"/>
    <m/>
    <x v="0"/>
    <x v="0"/>
    <x v="0"/>
  </r>
  <r>
    <s v="Sweden"/>
    <n v="85156.7"/>
    <n v="69479.350000000006"/>
    <d v="2020-05-19T00:00:00"/>
    <s v="Beauty"/>
    <s v="Lubowitz, McLaughlin and Erdman"/>
    <s v="Maxie Marrow"/>
    <s v="Caro Morfield"/>
    <x v="1"/>
    <s v="58-5376153"/>
    <m/>
    <x v="8"/>
    <x v="6"/>
    <x v="0"/>
  </r>
  <r>
    <s v="Portugal"/>
    <n v="66146.570000000007"/>
    <n v="56145.21"/>
    <d v="2020-04-07T00:00:00"/>
    <s v="Electronics"/>
    <s v="Hessel-Stiedemann"/>
    <s v="Celine Tumasian"/>
    <s v="Brynn Dempster"/>
    <x v="1"/>
    <s v="04-1808253"/>
    <m/>
    <x v="3"/>
    <x v="3"/>
    <x v="0"/>
  </r>
  <r>
    <s v="Bulgaria"/>
    <n v="230669.37"/>
    <n v="182321.07"/>
    <d v="2019-06-05T00:00:00"/>
    <s v="Books"/>
    <s v="Altenwerth-Konopelski"/>
    <s v="Charil Alpe"/>
    <s v="Bernadine Fullagar"/>
    <x v="1"/>
    <s v="44-9036885"/>
    <m/>
    <x v="15"/>
    <x v="9"/>
    <x v="1"/>
  </r>
  <r>
    <s v="UK"/>
    <n v="59043.39"/>
    <n v="48876.12"/>
    <d v="2020-10-27T00:00:00"/>
    <s v="Smartphones"/>
    <s v="Murray, Reichel and Nolan"/>
    <s v="Jessamine Apark"/>
    <s v="Genevra Charrisson"/>
    <x v="1"/>
    <s v="35-0548738"/>
    <m/>
    <x v="23"/>
    <x v="11"/>
    <x v="0"/>
  </r>
  <r>
    <s v="Ireland"/>
    <n v="99887.86"/>
    <n v="84045.65"/>
    <d v="2020-03-10T00:00:00"/>
    <s v="Electronics"/>
    <s v="Friesen-Rath"/>
    <s v="Glenine Suttaby"/>
    <s v="Bunnie Tonbridge"/>
    <x v="1"/>
    <s v="64-0103144"/>
    <m/>
    <x v="19"/>
    <x v="10"/>
    <x v="0"/>
  </r>
  <r>
    <s v="Netherlands"/>
    <n v="214983.15"/>
    <n v="180413.86"/>
    <d v="2019-06-11T00:00:00"/>
    <s v="Beauty"/>
    <s v="McClure Inc"/>
    <s v="Denice Amberg"/>
    <s v="Nero Harbisher"/>
    <x v="2"/>
    <s v="48-7080069"/>
    <m/>
    <x v="15"/>
    <x v="9"/>
    <x v="1"/>
  </r>
  <r>
    <s v="Portugal"/>
    <n v="52209.31"/>
    <n v="41480.300000000003"/>
    <d v="2019-03-26T00:00:00"/>
    <s v="Beauty"/>
    <s v="McClure Inc"/>
    <s v="Celine Tumasian"/>
    <s v="Corene Shirer"/>
    <x v="1"/>
    <s v="05-2772504"/>
    <m/>
    <x v="16"/>
    <x v="10"/>
    <x v="1"/>
  </r>
  <r>
    <s v="Sweden"/>
    <n v="83782.11"/>
    <n v="67310.55"/>
    <d v="2019-02-10T00:00:00"/>
    <s v="Electronics"/>
    <s v="Christiansen, Donnelly and Bechtelar"/>
    <s v="Maxie Marrow"/>
    <s v="Madelon Bront"/>
    <x v="1"/>
    <s v="42-2439801"/>
    <m/>
    <x v="6"/>
    <x v="0"/>
    <x v="1"/>
  </r>
  <r>
    <s v="Portugal"/>
    <n v="166367.16"/>
    <n v="135788.88"/>
    <d v="2020-11-02T00:00:00"/>
    <s v="Beauty"/>
    <s v="Wisoky Inc"/>
    <s v="Celine Tumasian"/>
    <s v="Smitty Culverhouse"/>
    <x v="1"/>
    <s v="82-8353642"/>
    <m/>
    <x v="13"/>
    <x v="8"/>
    <x v="0"/>
  </r>
  <r>
    <s v="UK"/>
    <n v="167615.14000000001"/>
    <n v="135567.12"/>
    <d v="2020-12-30T00:00:00"/>
    <s v="Smartphones"/>
    <s v="Johns and Sons"/>
    <s v="Jessamine Apark"/>
    <s v="Winny Agnolo"/>
    <x v="1"/>
    <s v="16-5450021"/>
    <m/>
    <x v="17"/>
    <x v="4"/>
    <x v="0"/>
  </r>
  <r>
    <s v="Sweden"/>
    <n v="118030.7"/>
    <n v="97304.51"/>
    <d v="2019-09-04T00:00:00"/>
    <s v="Electronics"/>
    <s v="Dickinson, Hyatt and Berge"/>
    <s v="Maxie Marrow"/>
    <s v="Madelon Bront"/>
    <x v="1"/>
    <s v="80-1021367"/>
    <m/>
    <x v="1"/>
    <x v="1"/>
    <x v="1"/>
  </r>
  <r>
    <s v="Netherlands"/>
    <n v="102073.04"/>
    <n v="81770.710000000006"/>
    <d v="2020-03-02T00:00:00"/>
    <s v="Outdoors"/>
    <s v="Farrell, Swaniawski and Crist"/>
    <s v="Denice Amberg"/>
    <s v="Nero Harbisher"/>
    <x v="0"/>
    <s v="03-3076058"/>
    <m/>
    <x v="19"/>
    <x v="10"/>
    <x v="0"/>
  </r>
  <r>
    <s v="Finland"/>
    <n v="99989.89"/>
    <n v="81191.789999999994"/>
    <d v="2019-11-15T00:00:00"/>
    <s v="Appliances"/>
    <s v="Corwin and Sons"/>
    <s v="Hube Corey"/>
    <s v="Wat Bowkley"/>
    <x v="1"/>
    <s v="92-4440351"/>
    <m/>
    <x v="14"/>
    <x v="8"/>
    <x v="1"/>
  </r>
  <r>
    <s v="Sweden"/>
    <n v="79407.28"/>
    <n v="64383.42"/>
    <d v="2020-07-21T00:00:00"/>
    <s v="Accessories"/>
    <s v="Jacobson, Marvin and Brown"/>
    <s v="Maxie Marrow"/>
    <s v="Alyosha Meah"/>
    <x v="1"/>
    <s v="15-3268783"/>
    <m/>
    <x v="5"/>
    <x v="2"/>
    <x v="0"/>
  </r>
  <r>
    <s v="France"/>
    <n v="184431.48"/>
    <n v="153059.69"/>
    <d v="2019-12-07T00:00:00"/>
    <s v="Books"/>
    <s v="Johns and Sons"/>
    <s v="Othello Bowes"/>
    <s v="Ora Grennan"/>
    <x v="0"/>
    <s v="44-7664180"/>
    <m/>
    <x v="4"/>
    <x v="4"/>
    <x v="1"/>
  </r>
  <r>
    <s v="Portugal"/>
    <n v="144725.34"/>
    <n v="115056.65"/>
    <d v="2019-01-15T00:00:00"/>
    <s v="Smartphones"/>
    <s v="Wisoky Inc"/>
    <s v="Celine Tumasian"/>
    <s v="Aurelie Wren"/>
    <x v="1"/>
    <s v="92-7042708"/>
    <m/>
    <x v="9"/>
    <x v="7"/>
    <x v="1"/>
  </r>
  <r>
    <s v="UK"/>
    <n v="21921.66"/>
    <n v="18802.21"/>
    <d v="2020-03-05T00:00:00"/>
    <s v="Smartphones"/>
    <s v="Swaniawski, Runolfsson and Green"/>
    <s v="Jessamine Apark"/>
    <s v="Jay Morefield"/>
    <x v="2"/>
    <s v="21-8595718"/>
    <m/>
    <x v="19"/>
    <x v="10"/>
    <x v="0"/>
  </r>
  <r>
    <s v="Portugal"/>
    <n v="21341.66"/>
    <n v="16930.34"/>
    <d v="2019-03-28T00:00:00"/>
    <s v="Games"/>
    <s v="Romaguera-Haley"/>
    <s v="Celine Tumasian"/>
    <s v="Smitty Culverhouse"/>
    <x v="1"/>
    <s v="06-4611284"/>
    <m/>
    <x v="16"/>
    <x v="10"/>
    <x v="1"/>
  </r>
  <r>
    <s v="Sweden"/>
    <n v="84537.2"/>
    <n v="69405.039999999994"/>
    <d v="2020-01-19T00:00:00"/>
    <s v="Games"/>
    <s v="Keeling, Monahan and Pollich"/>
    <s v="Maxie Marrow"/>
    <s v="Tarrah Castelletti"/>
    <x v="0"/>
    <s v="04-4730440"/>
    <m/>
    <x v="11"/>
    <x v="7"/>
    <x v="0"/>
  </r>
  <r>
    <s v="France"/>
    <n v="40544.43"/>
    <n v="32666.65"/>
    <d v="2020-08-01T00:00:00"/>
    <s v="Books"/>
    <s v="Johns and Sons"/>
    <s v="Othello Bowes"/>
    <s v="Ora Grennan"/>
    <x v="1"/>
    <s v="89-7467187"/>
    <m/>
    <x v="7"/>
    <x v="5"/>
    <x v="0"/>
  </r>
  <r>
    <s v="Finland"/>
    <n v="178189.57"/>
    <n v="153421.22"/>
    <d v="2019-08-09T00:00:00"/>
    <s v="Games"/>
    <s v="Johns and Sons"/>
    <s v="Hube Corey"/>
    <s v="Mellicent Mattys"/>
    <x v="1"/>
    <s v="37-7100862"/>
    <m/>
    <x v="12"/>
    <x v="5"/>
    <x v="1"/>
  </r>
  <r>
    <s v="France"/>
    <n v="36276.11"/>
    <n v="28748.82"/>
    <d v="2019-03-23T00:00:00"/>
    <s v="Games"/>
    <s v="Johns and Sons"/>
    <s v="Othello Bowes"/>
    <s v="Ora Grennan"/>
    <x v="1"/>
    <s v="20-9472915"/>
    <m/>
    <x v="16"/>
    <x v="10"/>
    <x v="1"/>
  </r>
  <r>
    <s v="Sweden"/>
    <n v="36181.81"/>
    <n v="29698.03"/>
    <d v="2020-10-27T00:00:00"/>
    <s v="Appliances"/>
    <s v="Altenwerth-Konopelski"/>
    <s v="Maxie Marrow"/>
    <s v="Madelon Bront"/>
    <x v="2"/>
    <s v="82-8836162"/>
    <m/>
    <x v="23"/>
    <x v="11"/>
    <x v="0"/>
  </r>
  <r>
    <s v="UK"/>
    <n v="66613.31"/>
    <n v="55462.239999999998"/>
    <d v="2019-09-25T00:00:00"/>
    <s v="Electronics"/>
    <s v="Labadie and Sons"/>
    <s v="Jessamine Apark"/>
    <s v="Genevra Charrisson"/>
    <x v="1"/>
    <s v="38-8230515"/>
    <m/>
    <x v="1"/>
    <x v="1"/>
    <x v="1"/>
  </r>
  <r>
    <s v="Ireland"/>
    <n v="77278.679999999993"/>
    <n v="62951.21"/>
    <d v="2020-10-02T00:00:00"/>
    <s v="Smartphones"/>
    <s v="Dibbert Inc"/>
    <s v="Glenine Suttaby"/>
    <s v="Palm Wetherald"/>
    <x v="1"/>
    <s v="46-8792953"/>
    <m/>
    <x v="23"/>
    <x v="11"/>
    <x v="0"/>
  </r>
  <r>
    <s v="UK"/>
    <n v="149938.35999999999"/>
    <n v="123579.2"/>
    <d v="2020-11-14T00:00:00"/>
    <s v="Appliances"/>
    <s v="Johns and Sons"/>
    <s v="Jessamine Apark"/>
    <s v="Jay Morefield"/>
    <x v="1"/>
    <s v="93-0380487"/>
    <m/>
    <x v="13"/>
    <x v="8"/>
    <x v="0"/>
  </r>
  <r>
    <s v="Spain"/>
    <n v="123953.65"/>
    <n v="101939.48"/>
    <d v="2019-05-08T00:00:00"/>
    <s v="Beauty"/>
    <s v="Wiza and Sons"/>
    <s v="Emalia Dinse"/>
    <s v="Perri Aldersley"/>
    <x v="1"/>
    <s v="44-2650716"/>
    <m/>
    <x v="10"/>
    <x v="6"/>
    <x v="1"/>
  </r>
  <r>
    <s v="Sweden"/>
    <n v="73773.600000000006"/>
    <n v="58421.31"/>
    <d v="2020-01-21T00:00:00"/>
    <s v="Books"/>
    <s v="Tromp LLC"/>
    <s v="Maxie Marrow"/>
    <s v="Caro Morfield"/>
    <x v="0"/>
    <s v="78-7812852"/>
    <m/>
    <x v="11"/>
    <x v="7"/>
    <x v="0"/>
  </r>
  <r>
    <s v="Portugal"/>
    <n v="206869.73"/>
    <n v="180928.27"/>
    <d v="2020-07-20T00:00:00"/>
    <s v="Electronics"/>
    <s v="Spencer, Rogahn and Muller"/>
    <s v="Celine Tumasian"/>
    <s v="Corene Shirer"/>
    <x v="1"/>
    <s v="11-2653878"/>
    <m/>
    <x v="5"/>
    <x v="2"/>
    <x v="0"/>
  </r>
  <r>
    <s v="France"/>
    <n v="63690.720000000001"/>
    <n v="53455.62"/>
    <d v="2020-08-27T00:00:00"/>
    <s v="Electronics"/>
    <s v="Hegmann Group"/>
    <s v="Othello Bowes"/>
    <s v="Crysta Halls"/>
    <x v="0"/>
    <s v="74-9856135"/>
    <m/>
    <x v="7"/>
    <x v="5"/>
    <x v="0"/>
  </r>
  <r>
    <s v="UK"/>
    <n v="18897.97"/>
    <n v="16469.580000000002"/>
    <d v="2020-02-16T00:00:00"/>
    <s v="Other"/>
    <s v="Hessel-Stiedemann"/>
    <s v="Jessamine Apark"/>
    <s v="Winny Agnolo"/>
    <x v="0"/>
    <s v="22-8551804"/>
    <m/>
    <x v="0"/>
    <x v="0"/>
    <x v="0"/>
  </r>
  <r>
    <s v="Portugal"/>
    <n v="134807.18"/>
    <n v="108047.95"/>
    <d v="2020-12-29T00:00:00"/>
    <s v="Beauty"/>
    <s v="Zieme, Bailey and Herzog"/>
    <s v="Celine Tumasian"/>
    <s v="Corene Shirer"/>
    <x v="1"/>
    <s v="76-2368068"/>
    <m/>
    <x v="17"/>
    <x v="4"/>
    <x v="0"/>
  </r>
  <r>
    <s v="UK"/>
    <n v="47082.67"/>
    <n v="37882.720000000001"/>
    <d v="2020-06-30T00:00:00"/>
    <s v="Games"/>
    <s v="Schowalter, Lesch and Beahan"/>
    <s v="Jessamine Apark"/>
    <s v="Winny Agnolo"/>
    <x v="1"/>
    <s v="83-0606533"/>
    <m/>
    <x v="18"/>
    <x v="9"/>
    <x v="0"/>
  </r>
  <r>
    <s v="Portugal"/>
    <n v="41016.31"/>
    <n v="32985.32"/>
    <d v="2019-05-09T00:00:00"/>
    <s v="Beauty"/>
    <s v="Homenick-Marvin"/>
    <s v="Celine Tumasian"/>
    <s v="Corene Shirer"/>
    <x v="2"/>
    <s v="84-1745028"/>
    <m/>
    <x v="10"/>
    <x v="6"/>
    <x v="1"/>
  </r>
  <r>
    <s v="Sweden"/>
    <n v="43243.45"/>
    <n v="37764.5"/>
    <d v="2019-05-16T00:00:00"/>
    <s v="Clothing"/>
    <s v="Johns and Sons"/>
    <s v="Maxie Marrow"/>
    <s v="Alyosha Meah"/>
    <x v="1"/>
    <s v="63-2957047"/>
    <m/>
    <x v="10"/>
    <x v="6"/>
    <x v="1"/>
  </r>
  <r>
    <s v="Sweden"/>
    <n v="88832.28"/>
    <n v="71501.100000000006"/>
    <d v="2019-12-23T00:00:00"/>
    <s v="Electronics"/>
    <s v="Murray, Reichel and Nolan"/>
    <s v="Maxie Marrow"/>
    <s v="Tarrah Castelletti"/>
    <x v="1"/>
    <s v="90-3993986"/>
    <m/>
    <x v="4"/>
    <x v="4"/>
    <x v="1"/>
  </r>
  <r>
    <s v="France"/>
    <n v="173456.4"/>
    <n v="149866.32999999999"/>
    <d v="2019-09-25T00:00:00"/>
    <s v="Books"/>
    <s v="Johns and Sons"/>
    <s v="Othello Bowes"/>
    <s v="Avrit Chanders"/>
    <x v="0"/>
    <s v="00-1398218"/>
    <m/>
    <x v="1"/>
    <x v="1"/>
    <x v="1"/>
  </r>
  <r>
    <s v="Spain"/>
    <n v="90926.92"/>
    <n v="73050.69"/>
    <d v="2020-03-24T00:00:00"/>
    <s v="Smartphones"/>
    <s v="Leffler, Prohaska and Streich"/>
    <s v="Emalia Dinse"/>
    <s v="Perri Aldersley"/>
    <x v="1"/>
    <s v="09-9618844"/>
    <m/>
    <x v="19"/>
    <x v="10"/>
    <x v="0"/>
  </r>
  <r>
    <s v="Sweden"/>
    <n v="72757.009999999995"/>
    <n v="63378.63"/>
    <d v="2020-03-05T00:00:00"/>
    <s v="Other"/>
    <s v="Hessel-Stiedemann"/>
    <s v="Maxie Marrow"/>
    <s v="Alyosha Meah"/>
    <x v="1"/>
    <s v="96-5143420"/>
    <m/>
    <x v="19"/>
    <x v="10"/>
    <x v="0"/>
  </r>
  <r>
    <s v="France"/>
    <n v="60068.71"/>
    <n v="47688.55"/>
    <d v="2020-05-09T00:00:00"/>
    <s v="Other"/>
    <s v="Friesen-Rath"/>
    <s v="Othello Bowes"/>
    <s v="Crysta Halls"/>
    <x v="1"/>
    <s v="99-0862667"/>
    <m/>
    <x v="8"/>
    <x v="6"/>
    <x v="0"/>
  </r>
  <r>
    <s v="France"/>
    <n v="105522.72"/>
    <n v="86581.39"/>
    <d v="2019-02-16T00:00:00"/>
    <s v="Clothing"/>
    <s v="Gislason-Stanton"/>
    <s v="Othello Bowes"/>
    <s v="Amelina Piscopiello"/>
    <x v="1"/>
    <s v="79-6118087"/>
    <m/>
    <x v="6"/>
    <x v="0"/>
    <x v="1"/>
  </r>
  <r>
    <s v="Luxembourg"/>
    <n v="61374.06"/>
    <n v="49099.25"/>
    <d v="2020-02-20T00:00:00"/>
    <s v="Games"/>
    <s v="Murray, Reichel and Nolan"/>
    <s v="Ilsa Kob"/>
    <s v="Jocelyn Laurentino"/>
    <x v="1"/>
    <s v="07-5296371"/>
    <m/>
    <x v="0"/>
    <x v="0"/>
    <x v="0"/>
  </r>
  <r>
    <s v="Portugal"/>
    <n v="76856.570000000007"/>
    <n v="65535.6"/>
    <d v="2019-05-31T00:00:00"/>
    <s v="Clothing"/>
    <s v="Schowalter, Lesch and Beahan"/>
    <s v="Celine Tumasian"/>
    <s v="Hortense Gerring"/>
    <x v="1"/>
    <s v="93-9111830"/>
    <m/>
    <x v="10"/>
    <x v="6"/>
    <x v="1"/>
  </r>
  <r>
    <s v="Spain"/>
    <n v="174262.11"/>
    <n v="143278.31"/>
    <d v="2019-04-05T00:00:00"/>
    <s v="Games"/>
    <s v="Hessel-Stiedemann"/>
    <s v="Emalia Dinse"/>
    <s v="Perri Aldersley"/>
    <x v="1"/>
    <s v="47-0713476"/>
    <m/>
    <x v="21"/>
    <x v="3"/>
    <x v="1"/>
  </r>
  <r>
    <s v="Sweden"/>
    <n v="151315.26"/>
    <n v="121173.26"/>
    <d v="2019-05-23T00:00:00"/>
    <s v="Beauty"/>
    <s v="Wiza and Sons"/>
    <s v="Maxie Marrow"/>
    <s v="Caro Morfield"/>
    <x v="1"/>
    <s v="92-2645259"/>
    <m/>
    <x v="10"/>
    <x v="6"/>
    <x v="1"/>
  </r>
  <r>
    <s v="Ireland"/>
    <n v="50495.53"/>
    <n v="40749.89"/>
    <d v="2020-08-31T00:00:00"/>
    <s v="Smartphones"/>
    <s v="Heaney, Gulgowski and Kshlerin"/>
    <s v="Glenine Suttaby"/>
    <s v="Palm Wetherald"/>
    <x v="0"/>
    <s v="93-4118211"/>
    <m/>
    <x v="7"/>
    <x v="5"/>
    <x v="0"/>
  </r>
  <r>
    <s v="UK"/>
    <n v="36534.089999999997"/>
    <n v="31138"/>
    <d v="2020-07-17T00:00:00"/>
    <s v="Appliances"/>
    <s v="Wunsch LLC"/>
    <s v="Jessamine Apark"/>
    <s v="Winny Agnolo"/>
    <x v="1"/>
    <s v="90-7039701"/>
    <m/>
    <x v="5"/>
    <x v="2"/>
    <x v="0"/>
  </r>
  <r>
    <s v="France"/>
    <n v="134243.39000000001"/>
    <n v="113019.51"/>
    <d v="2019-01-21T00:00:00"/>
    <s v="Beauty"/>
    <s v="Kihn Inc"/>
    <s v="Othello Bowes"/>
    <s v="Maighdiln Upcraft"/>
    <x v="1"/>
    <s v="64-1003834"/>
    <m/>
    <x v="9"/>
    <x v="7"/>
    <x v="1"/>
  </r>
  <r>
    <s v="France"/>
    <n v="56068.7"/>
    <n v="47378.05"/>
    <d v="2019-02-06T00:00:00"/>
    <s v="Games"/>
    <s v="Dickinson, Hyatt and Berge"/>
    <s v="Othello Bowes"/>
    <s v="Ora Grennan"/>
    <x v="1"/>
    <s v="24-2679038"/>
    <m/>
    <x v="6"/>
    <x v="0"/>
    <x v="1"/>
  </r>
  <r>
    <s v="France"/>
    <n v="31161.759999999998"/>
    <n v="27300.82"/>
    <d v="2020-05-09T00:00:00"/>
    <s v="Beauty"/>
    <s v="Hermiston, Simonis and Wisoky"/>
    <s v="Othello Bowes"/>
    <s v="Maighdiln Upcraft"/>
    <x v="0"/>
    <s v="06-4986886"/>
    <m/>
    <x v="8"/>
    <x v="6"/>
    <x v="0"/>
  </r>
  <r>
    <s v="France"/>
    <n v="98915.41"/>
    <n v="85176.06"/>
    <d v="2020-04-02T00:00:00"/>
    <s v="Electronics"/>
    <s v="Schoen-Keeling"/>
    <s v="Othello Bowes"/>
    <s v="Ora Grennan"/>
    <x v="0"/>
    <s v="63-5897834"/>
    <m/>
    <x v="3"/>
    <x v="3"/>
    <x v="0"/>
  </r>
  <r>
    <s v="Ireland"/>
    <n v="114232.68"/>
    <n v="95795.520000000004"/>
    <d v="2019-03-23T00:00:00"/>
    <s v="Clothing"/>
    <s v="Johns and Sons"/>
    <s v="Glenine Suttaby"/>
    <s v="Bunnie Tonbridge"/>
    <x v="2"/>
    <s v="45-6860897"/>
    <m/>
    <x v="16"/>
    <x v="10"/>
    <x v="1"/>
  </r>
  <r>
    <s v="Luxembourg"/>
    <n v="71360.36"/>
    <n v="59750.03"/>
    <d v="2019-01-02T00:00:00"/>
    <s v="Electronics"/>
    <s v="Tillman and Sons"/>
    <s v="Ilsa Kob"/>
    <s v="Jocelyn Laurentino"/>
    <x v="1"/>
    <s v="40-9830607"/>
    <m/>
    <x v="9"/>
    <x v="7"/>
    <x v="1"/>
  </r>
  <r>
    <s v="Portugal"/>
    <n v="87459.79"/>
    <n v="69967.83"/>
    <d v="2020-11-16T00:00:00"/>
    <s v="Beauty"/>
    <s v="Romaguera-Haley"/>
    <s v="Celine Tumasian"/>
    <s v="Brynn Dempster"/>
    <x v="0"/>
    <s v="09-8360520"/>
    <m/>
    <x v="13"/>
    <x v="8"/>
    <x v="0"/>
  </r>
  <r>
    <s v="Finland"/>
    <n v="52388.85"/>
    <n v="45641.17"/>
    <d v="2020-07-31T00:00:00"/>
    <s v="Electronics"/>
    <s v="Johns and Sons"/>
    <s v="Hube Corey"/>
    <s v="Mellicent Mattys"/>
    <x v="1"/>
    <s v="55-6785409"/>
    <m/>
    <x v="5"/>
    <x v="2"/>
    <x v="0"/>
  </r>
  <r>
    <s v="Sweden"/>
    <n v="178304.35"/>
    <n v="153573.54"/>
    <d v="2020-12-09T00:00:00"/>
    <s v="Electronics"/>
    <s v="Dibbert Inc"/>
    <s v="Maxie Marrow"/>
    <s v="Tarrah Castelletti"/>
    <x v="1"/>
    <s v="12-4881666"/>
    <m/>
    <x v="17"/>
    <x v="4"/>
    <x v="0"/>
  </r>
  <r>
    <s v="UK"/>
    <n v="80013.81"/>
    <n v="65587.320000000007"/>
    <d v="2020-01-27T00:00:00"/>
    <s v="Electronics"/>
    <s v="Romaguera-Dietrich"/>
    <s v="Jessamine Apark"/>
    <s v="Winny Agnolo"/>
    <x v="1"/>
    <s v="86-7866497"/>
    <m/>
    <x v="11"/>
    <x v="7"/>
    <x v="0"/>
  </r>
  <r>
    <s v="Ireland"/>
    <n v="88684.7"/>
    <n v="75337.649999999994"/>
    <d v="2020-01-23T00:00:00"/>
    <s v="Other"/>
    <s v="Leffler, Prohaska and Streich"/>
    <s v="Glenine Suttaby"/>
    <s v="Palm Wetherald"/>
    <x v="1"/>
    <s v="12-2375671"/>
    <m/>
    <x v="11"/>
    <x v="7"/>
    <x v="0"/>
  </r>
  <r>
    <s v="UK"/>
    <n v="161773.31"/>
    <n v="138283.82999999999"/>
    <d v="2019-04-30T00:00:00"/>
    <s v="Books"/>
    <s v="Johns and Sons"/>
    <s v="Jessamine Apark"/>
    <s v="Jay Morefield"/>
    <x v="1"/>
    <s v="56-6310976"/>
    <m/>
    <x v="21"/>
    <x v="3"/>
    <x v="1"/>
  </r>
  <r>
    <s v="France"/>
    <n v="108968.67"/>
    <n v="88395.39"/>
    <d v="2019-10-17T00:00:00"/>
    <s v="Books"/>
    <s v="Johns and Sons"/>
    <s v="Othello Bowes"/>
    <s v="Ora Grennan"/>
    <x v="1"/>
    <s v="08-4398900"/>
    <m/>
    <x v="20"/>
    <x v="11"/>
    <x v="1"/>
  </r>
  <r>
    <s v="UK"/>
    <n v="50374.22"/>
    <n v="44047.22"/>
    <d v="2019-10-07T00:00:00"/>
    <s v="Games"/>
    <s v="Armstrong-Little"/>
    <s v="Jessamine Apark"/>
    <s v="Genevra Charrisson"/>
    <x v="1"/>
    <s v="23-3084772"/>
    <m/>
    <x v="20"/>
    <x v="11"/>
    <x v="1"/>
  </r>
  <r>
    <s v="Sweden"/>
    <n v="174380.2"/>
    <n v="151518.96"/>
    <d v="2019-01-02T00:00:00"/>
    <s v="Appliances"/>
    <s v="Larkin-Collier"/>
    <s v="Maxie Marrow"/>
    <s v="Tarrah Castelletti"/>
    <x v="1"/>
    <s v="33-8484080"/>
    <m/>
    <x v="9"/>
    <x v="7"/>
    <x v="1"/>
  </r>
  <r>
    <s v="Bulgaria"/>
    <n v="81482.69"/>
    <n v="64721.7"/>
    <d v="2019-02-09T00:00:00"/>
    <s v="Electronics"/>
    <s v="Johns and Sons"/>
    <s v="Charil Alpe"/>
    <s v="Shermy McGready"/>
    <x v="1"/>
    <s v="28-0362135"/>
    <m/>
    <x v="6"/>
    <x v="0"/>
    <x v="1"/>
  </r>
  <r>
    <s v="France"/>
    <n v="108158.8"/>
    <n v="89328.35"/>
    <d v="2020-10-09T00:00:00"/>
    <s v="Appliances"/>
    <s v="Altenwerth-Konopelski"/>
    <s v="Othello Bowes"/>
    <s v="Crysta Halls"/>
    <x v="1"/>
    <s v="53-4511393"/>
    <m/>
    <x v="23"/>
    <x v="11"/>
    <x v="0"/>
  </r>
  <r>
    <s v="Portugal"/>
    <n v="76943.740000000005"/>
    <n v="62870.73"/>
    <d v="2019-06-01T00:00:00"/>
    <s v="Electronics"/>
    <s v="Johns and Sons"/>
    <s v="Celine Tumasian"/>
    <s v="Smitty Culverhouse"/>
    <x v="1"/>
    <s v="50-0521963"/>
    <m/>
    <x v="15"/>
    <x v="9"/>
    <x v="1"/>
  </r>
  <r>
    <s v="Portugal"/>
    <n v="57345.79"/>
    <n v="45716.06"/>
    <d v="2020-11-09T00:00:00"/>
    <s v="Clothing"/>
    <s v="Walter LLC"/>
    <s v="Celine Tumasian"/>
    <s v="Hortense Gerring"/>
    <x v="1"/>
    <s v="75-6127722"/>
    <m/>
    <x v="13"/>
    <x v="8"/>
    <x v="0"/>
  </r>
  <r>
    <s v="Sweden"/>
    <n v="71049.09"/>
    <n v="58842.86"/>
    <d v="2019-08-15T00:00:00"/>
    <s v="Outdoors"/>
    <s v="Corwin and Sons"/>
    <s v="Maxie Marrow"/>
    <s v="Madelon Bront"/>
    <x v="1"/>
    <s v="99-3994854"/>
    <m/>
    <x v="12"/>
    <x v="5"/>
    <x v="1"/>
  </r>
  <r>
    <s v="France"/>
    <n v="79205.19"/>
    <n v="65423.49"/>
    <d v="2019-05-07T00:00:00"/>
    <s v="Games"/>
    <s v="Christiansen, Donnelly and Bechtelar"/>
    <s v="Othello Bowes"/>
    <s v="Avrit Chanders"/>
    <x v="2"/>
    <s v="45-5157875"/>
    <m/>
    <x v="10"/>
    <x v="6"/>
    <x v="1"/>
  </r>
  <r>
    <s v="France"/>
    <n v="42290.45"/>
    <n v="34255.26"/>
    <d v="2019-11-10T00:00:00"/>
    <s v="Clothing"/>
    <s v="Walter LLC"/>
    <s v="Othello Bowes"/>
    <s v="Avrit Chanders"/>
    <x v="2"/>
    <s v="97-8921759"/>
    <m/>
    <x v="14"/>
    <x v="8"/>
    <x v="1"/>
  </r>
  <r>
    <s v="France"/>
    <n v="110090.36"/>
    <n v="93433.69"/>
    <d v="2019-02-01T00:00:00"/>
    <s v="Clothing"/>
    <s v="Leffler, Prohaska and Streich"/>
    <s v="Othello Bowes"/>
    <s v="Maighdiln Upcraft"/>
    <x v="1"/>
    <s v="43-6672888"/>
    <m/>
    <x v="6"/>
    <x v="0"/>
    <x v="1"/>
  </r>
  <r>
    <s v="France"/>
    <n v="121043.69"/>
    <n v="96750.22"/>
    <d v="2020-09-28T00:00:00"/>
    <s v="Books"/>
    <s v="Hessel-Stiedemann"/>
    <s v="Othello Bowes"/>
    <s v="Crysta Halls"/>
    <x v="1"/>
    <s v="28-6152726"/>
    <m/>
    <x v="22"/>
    <x v="1"/>
    <x v="0"/>
  </r>
  <r>
    <s v="Finland"/>
    <n v="130251.55"/>
    <n v="105386.53"/>
    <d v="2019-08-05T00:00:00"/>
    <s v="Beauty"/>
    <s v="Johns and Sons"/>
    <s v="Hube Corey"/>
    <s v="Mellicent Mattys"/>
    <x v="1"/>
    <s v="26-1201622"/>
    <m/>
    <x v="12"/>
    <x v="5"/>
    <x v="1"/>
  </r>
  <r>
    <s v="France"/>
    <n v="156110.39999999999"/>
    <n v="132584.56"/>
    <d v="2019-07-22T00:00:00"/>
    <s v="Beauty"/>
    <s v="Stehr LLC"/>
    <s v="Othello Bowes"/>
    <s v="Maighdiln Upcraft"/>
    <x v="1"/>
    <s v="18-3315246"/>
    <m/>
    <x v="2"/>
    <x v="2"/>
    <x v="1"/>
  </r>
  <r>
    <s v="Sweden"/>
    <n v="122273"/>
    <n v="104531.19"/>
    <d v="2020-01-07T00:00:00"/>
    <s v="Appliances"/>
    <s v="Romaguera-Haley"/>
    <s v="Maxie Marrow"/>
    <s v="Caro Morfield"/>
    <x v="1"/>
    <s v="40-9114557"/>
    <m/>
    <x v="11"/>
    <x v="7"/>
    <x v="0"/>
  </r>
  <r>
    <s v="Portugal"/>
    <n v="126021.1"/>
    <n v="101762.04"/>
    <d v="2020-06-13T00:00:00"/>
    <s v="Beauty"/>
    <s v="Johns and Sons"/>
    <s v="Celine Tumasian"/>
    <s v="Hortense Gerring"/>
    <x v="0"/>
    <s v="34-8443139"/>
    <m/>
    <x v="18"/>
    <x v="9"/>
    <x v="0"/>
  </r>
  <r>
    <s v="Sweden"/>
    <n v="69565.47"/>
    <n v="57808.91"/>
    <d v="2020-05-23T00:00:00"/>
    <s v="Beauty"/>
    <s v="Johns and Sons"/>
    <s v="Maxie Marrow"/>
    <s v="Anita Woakes"/>
    <x v="1"/>
    <s v="79-0393736"/>
    <m/>
    <x v="8"/>
    <x v="6"/>
    <x v="0"/>
  </r>
  <r>
    <s v="Bulgaria"/>
    <n v="174271.91"/>
    <n v="142083.89000000001"/>
    <d v="2019-05-20T00:00:00"/>
    <s v="Clothing"/>
    <s v="Hessel-Stiedemann"/>
    <s v="Charil Alpe"/>
    <s v="Shermy McGready"/>
    <x v="1"/>
    <s v="58-2923511"/>
    <m/>
    <x v="10"/>
    <x v="6"/>
    <x v="1"/>
  </r>
  <r>
    <s v="Portugal"/>
    <n v="61994.02"/>
    <n v="54250.97"/>
    <d v="2019-02-19T00:00:00"/>
    <s v="Books"/>
    <s v="Friesen-Rath"/>
    <s v="Celine Tumasian"/>
    <s v="Corene Shirer"/>
    <x v="1"/>
    <s v="84-1343954"/>
    <m/>
    <x v="6"/>
    <x v="0"/>
    <x v="1"/>
  </r>
  <r>
    <s v="Sweden"/>
    <n v="207379.28"/>
    <n v="166442.60999999999"/>
    <d v="2019-12-18T00:00:00"/>
    <s v="Accessories"/>
    <s v="Franecki-White"/>
    <s v="Maxie Marrow"/>
    <s v="Anita Woakes"/>
    <x v="1"/>
    <s v="43-9259516"/>
    <m/>
    <x v="4"/>
    <x v="4"/>
    <x v="1"/>
  </r>
  <r>
    <s v="Sweden"/>
    <n v="153823.74"/>
    <n v="129258.09"/>
    <d v="2020-11-30T00:00:00"/>
    <s v="Electronics"/>
    <s v="West-Cummings"/>
    <s v="Maxie Marrow"/>
    <s v="Anita Woakes"/>
    <x v="0"/>
    <s v="53-0009701"/>
    <m/>
    <x v="13"/>
    <x v="8"/>
    <x v="0"/>
  </r>
  <r>
    <s v="Portugal"/>
    <n v="251003.51"/>
    <n v="214105.99"/>
    <d v="2019-07-30T00:00:00"/>
    <s v="Clothing"/>
    <s v="Hilll-Vandervort"/>
    <s v="Celine Tumasian"/>
    <s v="Hortense Gerring"/>
    <x v="1"/>
    <s v="50-2002828"/>
    <m/>
    <x v="2"/>
    <x v="2"/>
    <x v="1"/>
  </r>
  <r>
    <s v="UK"/>
    <n v="78013.63"/>
    <n v="64509.47"/>
    <d v="2020-04-04T00:00:00"/>
    <s v="Clothing"/>
    <s v="Keeling, Monahan and Pollich"/>
    <s v="Jessamine Apark"/>
    <s v="Genevra Charrisson"/>
    <x v="1"/>
    <s v="90-6933957"/>
    <m/>
    <x v="3"/>
    <x v="3"/>
    <x v="0"/>
  </r>
  <r>
    <s v="Finland"/>
    <n v="204138.34"/>
    <n v="165617.44"/>
    <d v="2019-06-20T00:00:00"/>
    <s v="Clothing"/>
    <s v="Hartmann, Hane and Pfannerstill"/>
    <s v="Hube Corey"/>
    <s v="Wat Bowkley"/>
    <x v="2"/>
    <s v="98-4201877"/>
    <m/>
    <x v="15"/>
    <x v="9"/>
    <x v="1"/>
  </r>
  <r>
    <s v="Ireland"/>
    <n v="81358.58"/>
    <n v="68918.850000000006"/>
    <d v="2020-08-21T00:00:00"/>
    <s v="Books"/>
    <s v="Tillman and Sons"/>
    <s v="Glenine Suttaby"/>
    <s v="Palm Wetherald"/>
    <x v="0"/>
    <s v="86-2962836"/>
    <m/>
    <x v="7"/>
    <x v="5"/>
    <x v="0"/>
  </r>
  <r>
    <s v="Portugal"/>
    <n v="81458.94"/>
    <n v="64434.02"/>
    <d v="2019-11-14T00:00:00"/>
    <s v="Books"/>
    <s v="Johns and Sons"/>
    <s v="Celine Tumasian"/>
    <s v="Aurelie Wren"/>
    <x v="1"/>
    <s v="76-5324325"/>
    <m/>
    <x v="14"/>
    <x v="8"/>
    <x v="1"/>
  </r>
  <r>
    <s v="Sweden"/>
    <n v="79313.86"/>
    <n v="63316.25"/>
    <d v="2020-03-01T00:00:00"/>
    <s v="Appliances"/>
    <s v="Dickinson, Hyatt and Berge"/>
    <s v="Maxie Marrow"/>
    <s v="Madelon Bront"/>
    <x v="1"/>
    <s v="36-3226083"/>
    <m/>
    <x v="19"/>
    <x v="10"/>
    <x v="0"/>
  </r>
  <r>
    <s v="Finland"/>
    <n v="100978.49"/>
    <n v="86568.86"/>
    <d v="2019-08-09T00:00:00"/>
    <s v="Appliances"/>
    <s v="Johns and Sons"/>
    <s v="Hube Corey"/>
    <s v="Wat Bowkley"/>
    <x v="1"/>
    <s v="00-8086430"/>
    <m/>
    <x v="12"/>
    <x v="5"/>
    <x v="1"/>
  </r>
  <r>
    <s v="Portugal"/>
    <n v="172444.09"/>
    <n v="149681.47"/>
    <d v="2019-01-05T00:00:00"/>
    <s v="Smartphones"/>
    <s v="Larkin-Collier"/>
    <s v="Celine Tumasian"/>
    <s v="Hortense Gerring"/>
    <x v="1"/>
    <s v="98-0946281"/>
    <m/>
    <x v="9"/>
    <x v="7"/>
    <x v="1"/>
  </r>
  <r>
    <s v="UK"/>
    <n v="111523.01"/>
    <n v="98017.57"/>
    <d v="2020-03-02T00:00:00"/>
    <s v="Outdoors"/>
    <s v="Kihn Inc"/>
    <s v="Jessamine Apark"/>
    <s v="Winny Agnolo"/>
    <x v="1"/>
    <s v="82-4770311"/>
    <m/>
    <x v="19"/>
    <x v="10"/>
    <x v="0"/>
  </r>
  <r>
    <s v="UK"/>
    <n v="62947.82"/>
    <n v="49967.98"/>
    <d v="2019-10-16T00:00:00"/>
    <s v="Accessories"/>
    <s v="Schowalter, Lesch and Beahan"/>
    <s v="Jessamine Apark"/>
    <s v="Genevra Charrisson"/>
    <x v="1"/>
    <s v="34-0265266"/>
    <m/>
    <x v="20"/>
    <x v="11"/>
    <x v="1"/>
  </r>
  <r>
    <s v="France"/>
    <n v="80294.559999999998"/>
    <n v="65295.54"/>
    <d v="2019-10-04T00:00:00"/>
    <s v="Books"/>
    <s v="Considine-Fisher"/>
    <s v="Othello Bowes"/>
    <s v="Avrit Chanders"/>
    <x v="1"/>
    <s v="47-9858688"/>
    <m/>
    <x v="20"/>
    <x v="11"/>
    <x v="1"/>
  </r>
  <r>
    <s v="France"/>
    <n v="234961.46"/>
    <n v="199388.3"/>
    <d v="2019-06-02T00:00:00"/>
    <s v="Accessories"/>
    <s v="Heaney, Gulgowski and Kshlerin"/>
    <s v="Othello Bowes"/>
    <s v="Maighdiln Upcraft"/>
    <x v="0"/>
    <s v="24-9178520"/>
    <m/>
    <x v="15"/>
    <x v="9"/>
    <x v="1"/>
  </r>
  <r>
    <s v="France"/>
    <n v="214615.79"/>
    <n v="177637.49"/>
    <d v="2019-06-30T00:00:00"/>
    <s v="Games"/>
    <s v="Bashirian, Okuneva and Bechtelar"/>
    <s v="Othello Bowes"/>
    <s v="Amelina Piscopiello"/>
    <x v="1"/>
    <s v="17-5553034"/>
    <m/>
    <x v="15"/>
    <x v="9"/>
    <x v="1"/>
  </r>
  <r>
    <s v="France"/>
    <n v="173418.59"/>
    <n v="140746.53"/>
    <d v="2019-05-19T00:00:00"/>
    <s v="Electronics"/>
    <s v="Hessel-Stiedemann"/>
    <s v="Othello Bowes"/>
    <s v="Maighdiln Upcraft"/>
    <x v="1"/>
    <s v="03-5073152"/>
    <m/>
    <x v="10"/>
    <x v="6"/>
    <x v="1"/>
  </r>
  <r>
    <s v="France"/>
    <n v="27400.69"/>
    <n v="22832.99"/>
    <d v="2019-09-18T00:00:00"/>
    <s v="Electronics"/>
    <s v="Friesen and Sons"/>
    <s v="Othello Bowes"/>
    <s v="Maighdiln Upcraft"/>
    <x v="1"/>
    <s v="19-8109416"/>
    <m/>
    <x v="1"/>
    <x v="1"/>
    <x v="1"/>
  </r>
  <r>
    <s v="Portugal"/>
    <n v="179323.22"/>
    <n v="150739.1"/>
    <d v="2020-08-08T00:00:00"/>
    <s v="Smartphones"/>
    <s v="Homenick-Marvin"/>
    <s v="Celine Tumasian"/>
    <s v="Brynn Dempster"/>
    <x v="2"/>
    <s v="16-5710075"/>
    <m/>
    <x v="7"/>
    <x v="5"/>
    <x v="0"/>
  </r>
  <r>
    <s v="Portugal"/>
    <n v="135211.42000000001"/>
    <n v="108534.21"/>
    <d v="2019-08-12T00:00:00"/>
    <s v="Clothing"/>
    <s v="Larkin-Collier"/>
    <s v="Celine Tumasian"/>
    <s v="Corene Shirer"/>
    <x v="1"/>
    <s v="78-5541691"/>
    <m/>
    <x v="12"/>
    <x v="5"/>
    <x v="1"/>
  </r>
  <r>
    <s v="France"/>
    <n v="186209.44"/>
    <n v="148818.57999999999"/>
    <d v="2019-06-24T00:00:00"/>
    <s v="Clothing"/>
    <s v="Friesen-Rath"/>
    <s v="Othello Bowes"/>
    <s v="Avrit Chanders"/>
    <x v="0"/>
    <s v="69-8016438"/>
    <m/>
    <x v="15"/>
    <x v="9"/>
    <x v="1"/>
  </r>
  <r>
    <s v="Ireland"/>
    <n v="127591.73"/>
    <n v="108988.86"/>
    <d v="2020-04-30T00:00:00"/>
    <s v="Games"/>
    <s v="Swaniawski, Runolfsson and Green"/>
    <s v="Glenine Suttaby"/>
    <s v="Palm Wetherald"/>
    <x v="0"/>
    <s v="43-7205800"/>
    <m/>
    <x v="3"/>
    <x v="3"/>
    <x v="0"/>
  </r>
  <r>
    <s v="Sweden"/>
    <n v="53093.47"/>
    <n v="42533.18"/>
    <d v="2020-10-25T00:00:00"/>
    <s v="Clothing"/>
    <s v="Romaguera-Haley"/>
    <s v="Maxie Marrow"/>
    <s v="Anita Woakes"/>
    <x v="1"/>
    <s v="84-2496865"/>
    <m/>
    <x v="23"/>
    <x v="11"/>
    <x v="0"/>
  </r>
  <r>
    <s v="Netherlands"/>
    <n v="28787.17"/>
    <n v="24610.15"/>
    <d v="2019-08-06T00:00:00"/>
    <s v="Games"/>
    <s v="McGlynn-Prosacco"/>
    <s v="Denice Amberg"/>
    <s v="Nero Harbisher"/>
    <x v="1"/>
    <s v="13-4700827"/>
    <m/>
    <x v="12"/>
    <x v="5"/>
    <x v="1"/>
  </r>
  <r>
    <s v="UK"/>
    <n v="49930.87"/>
    <n v="40174.379999999997"/>
    <d v="2020-02-21T00:00:00"/>
    <s v="Outdoors"/>
    <s v="Labadie and Sons"/>
    <s v="Jessamine Apark"/>
    <s v="Genevra Charrisson"/>
    <x v="1"/>
    <s v="10-5202864"/>
    <m/>
    <x v="0"/>
    <x v="0"/>
    <x v="0"/>
  </r>
  <r>
    <s v="Portugal"/>
    <n v="48763.58"/>
    <n v="39435.11"/>
    <d v="2020-07-14T00:00:00"/>
    <s v="Smartphones"/>
    <s v="Labadie and Sons"/>
    <s v="Celine Tumasian"/>
    <s v="Smitty Culverhouse"/>
    <x v="1"/>
    <s v="29-6521179"/>
    <m/>
    <x v="5"/>
    <x v="2"/>
    <x v="0"/>
  </r>
  <r>
    <s v="France"/>
    <n v="71079.8"/>
    <n v="56778.54"/>
    <d v="2019-11-15T00:00:00"/>
    <s v="Electronics"/>
    <s v="Swaniawski, Runolfsson and Green"/>
    <s v="Othello Bowes"/>
    <s v="Avrit Chanders"/>
    <x v="1"/>
    <s v="30-9137723"/>
    <m/>
    <x v="14"/>
    <x v="8"/>
    <x v="1"/>
  </r>
  <r>
    <s v="Sweden"/>
    <n v="43158.94"/>
    <n v="36244.879999999997"/>
    <d v="2019-05-13T00:00:00"/>
    <s v="Electronics"/>
    <s v="West-Cummings"/>
    <s v="Maxie Marrow"/>
    <s v="Anita Woakes"/>
    <x v="1"/>
    <s v="55-4422832"/>
    <m/>
    <x v="10"/>
    <x v="6"/>
    <x v="1"/>
  </r>
  <r>
    <s v="France"/>
    <n v="117538.82"/>
    <n v="100719.02"/>
    <d v="2019-07-03T00:00:00"/>
    <s v="Beauty"/>
    <s v="Wisoky Inc"/>
    <s v="Othello Bowes"/>
    <s v="Avrit Chanders"/>
    <x v="1"/>
    <s v="12-1257338"/>
    <m/>
    <x v="2"/>
    <x v="2"/>
    <x v="1"/>
  </r>
  <r>
    <s v="Portugal"/>
    <n v="45725.53"/>
    <n v="36571.279999999999"/>
    <d v="2020-07-07T00:00:00"/>
    <s v="Other"/>
    <s v="Schoen-Keeling"/>
    <s v="Celine Tumasian"/>
    <s v="Aurelie Wren"/>
    <x v="0"/>
    <s v="66-6777720"/>
    <m/>
    <x v="5"/>
    <x v="2"/>
    <x v="0"/>
  </r>
  <r>
    <s v="Portugal"/>
    <n v="77522.570000000007"/>
    <n v="64227.45"/>
    <d v="2019-07-31T00:00:00"/>
    <s v="Outdoors"/>
    <s v="Bashirian, Okuneva and Bechtelar"/>
    <s v="Celine Tumasian"/>
    <s v="Aurelie Wren"/>
    <x v="0"/>
    <s v="53-3568171"/>
    <m/>
    <x v="2"/>
    <x v="2"/>
    <x v="1"/>
  </r>
  <r>
    <s v="Germany"/>
    <n v="44118.5"/>
    <n v="38250.74"/>
    <d v="2020-03-04T00:00:00"/>
    <s v="Electronics"/>
    <s v="Romaguera-Dietrich"/>
    <s v="Rickard Doogood"/>
    <s v="Casie MacBain"/>
    <x v="0"/>
    <s v="77-6124790"/>
    <m/>
    <x v="19"/>
    <x v="10"/>
    <x v="0"/>
  </r>
  <r>
    <s v="UK"/>
    <n v="242526"/>
    <n v="212113.24"/>
    <d v="2019-06-03T00:00:00"/>
    <s v="Clothing"/>
    <s v="Hegmann Group"/>
    <s v="Jessamine Apark"/>
    <s v="Winny Agnolo"/>
    <x v="1"/>
    <s v="09-3668672"/>
    <m/>
    <x v="15"/>
    <x v="9"/>
    <x v="1"/>
  </r>
  <r>
    <s v="France"/>
    <n v="140635.94"/>
    <n v="115194.9"/>
    <d v="2020-12-08T00:00:00"/>
    <s v="Smartphones"/>
    <s v="Johns and Sons"/>
    <s v="Othello Bowes"/>
    <s v="Amelina Piscopiello"/>
    <x v="1"/>
    <s v="00-5823706"/>
    <m/>
    <x v="17"/>
    <x v="4"/>
    <x v="0"/>
  </r>
  <r>
    <s v="Portugal"/>
    <n v="157754.35999999999"/>
    <n v="132166.6"/>
    <d v="2019-08-09T00:00:00"/>
    <s v="Books"/>
    <s v="Bashirian, Okuneva and Bechtelar"/>
    <s v="Celine Tumasian"/>
    <s v="Aurelie Wren"/>
    <x v="0"/>
    <s v="67-8646070"/>
    <m/>
    <x v="12"/>
    <x v="5"/>
    <x v="1"/>
  </r>
  <r>
    <s v="France"/>
    <n v="88977.22"/>
    <n v="72534.23"/>
    <d v="2020-10-03T00:00:00"/>
    <s v="Books"/>
    <s v="Franecki-White"/>
    <s v="Othello Bowes"/>
    <s v="Ora Grennan"/>
    <x v="1"/>
    <s v="58-1975365"/>
    <m/>
    <x v="23"/>
    <x v="11"/>
    <x v="0"/>
  </r>
  <r>
    <s v="Portugal"/>
    <n v="74231.25"/>
    <n v="61604.51"/>
    <d v="2019-11-11T00:00:00"/>
    <s v="Beauty"/>
    <s v="Gislason-Stanton"/>
    <s v="Celine Tumasian"/>
    <s v="Brynn Dempster"/>
    <x v="0"/>
    <s v="99-7842298"/>
    <m/>
    <x v="14"/>
    <x v="8"/>
    <x v="1"/>
  </r>
  <r>
    <s v="Sweden"/>
    <n v="131402.37"/>
    <n v="106383.36"/>
    <d v="2019-10-03T00:00:00"/>
    <s v="Beauty"/>
    <s v="Johns and Sons"/>
    <s v="Maxie Marrow"/>
    <s v="Anita Woakes"/>
    <x v="1"/>
    <s v="80-8019337"/>
    <m/>
    <x v="20"/>
    <x v="11"/>
    <x v="1"/>
  </r>
  <r>
    <s v="Sweden"/>
    <n v="156505.37"/>
    <n v="128647.41"/>
    <d v="2019-05-04T00:00:00"/>
    <s v="Electronics"/>
    <s v="Schmitt, Purdy and Johnson"/>
    <s v="Maxie Marrow"/>
    <s v="Alyosha Meah"/>
    <x v="1"/>
    <s v="76-8416893"/>
    <m/>
    <x v="10"/>
    <x v="6"/>
    <x v="1"/>
  </r>
  <r>
    <s v="Portugal"/>
    <n v="139200.81"/>
    <n v="120172.06"/>
    <d v="2019-08-23T00:00:00"/>
    <s v="Games"/>
    <s v="Johns and Sons"/>
    <s v="Celine Tumasian"/>
    <s v="Brynn Dempster"/>
    <x v="1"/>
    <s v="19-3893110"/>
    <m/>
    <x v="12"/>
    <x v="5"/>
    <x v="1"/>
  </r>
  <r>
    <s v="Sweden"/>
    <n v="121292.94"/>
    <n v="104384.7"/>
    <d v="2019-03-23T00:00:00"/>
    <s v="Beauty"/>
    <s v="Schoen-Keeling"/>
    <s v="Maxie Marrow"/>
    <s v="Tarrah Castelletti"/>
    <x v="1"/>
    <s v="17-3994138"/>
    <m/>
    <x v="16"/>
    <x v="10"/>
    <x v="1"/>
  </r>
  <r>
    <s v="France"/>
    <n v="84712.13"/>
    <n v="73004.91"/>
    <d v="2020-07-11T00:00:00"/>
    <s v="Books"/>
    <s v="Altenwerth-Konopelski"/>
    <s v="Othello Bowes"/>
    <s v="Ora Grennan"/>
    <x v="1"/>
    <s v="29-8090560"/>
    <m/>
    <x v="5"/>
    <x v="2"/>
    <x v="0"/>
  </r>
  <r>
    <s v="Portugal"/>
    <n v="172202.38"/>
    <n v="149816.07"/>
    <d v="2019-04-09T00:00:00"/>
    <s v="Appliances"/>
    <s v="Morissette Group"/>
    <s v="Celine Tumasian"/>
    <s v="Hortense Gerring"/>
    <x v="2"/>
    <s v="75-5652593"/>
    <m/>
    <x v="21"/>
    <x v="3"/>
    <x v="1"/>
  </r>
  <r>
    <s v="Sweden"/>
    <n v="108978.79"/>
    <n v="95432.73"/>
    <d v="2019-11-28T00:00:00"/>
    <s v="Games"/>
    <s v="Bashirian, Okuneva and Bechtelar"/>
    <s v="Maxie Marrow"/>
    <s v="Madelon Bront"/>
    <x v="1"/>
    <s v="84-5276032"/>
    <m/>
    <x v="14"/>
    <x v="8"/>
    <x v="1"/>
  </r>
  <r>
    <s v="Portugal"/>
    <n v="69871.92"/>
    <n v="58014.66"/>
    <d v="2020-09-06T00:00:00"/>
    <s v="Games"/>
    <s v="Johns and Sons"/>
    <s v="Celine Tumasian"/>
    <s v="Smitty Culverhouse"/>
    <x v="1"/>
    <s v="01-4729172"/>
    <m/>
    <x v="22"/>
    <x v="1"/>
    <x v="0"/>
  </r>
  <r>
    <s v="France"/>
    <n v="184221.2"/>
    <n v="150324.5"/>
    <d v="2019-06-15T00:00:00"/>
    <s v="Electronics"/>
    <s v="Hessel-Stiedemann"/>
    <s v="Othello Bowes"/>
    <s v="Amelina Piscopiello"/>
    <x v="1"/>
    <s v="70-3373325"/>
    <m/>
    <x v="15"/>
    <x v="9"/>
    <x v="1"/>
  </r>
  <r>
    <s v="France"/>
    <n v="57348.43"/>
    <n v="47587.73"/>
    <d v="2019-01-12T00:00:00"/>
    <s v="Clothing"/>
    <s v="Hessel-Stiedemann"/>
    <s v="Othello Bowes"/>
    <s v="Crysta Halls"/>
    <x v="1"/>
    <s v="73-6329299"/>
    <m/>
    <x v="9"/>
    <x v="7"/>
    <x v="1"/>
  </r>
  <r>
    <s v="France"/>
    <n v="197581.29"/>
    <n v="169485.23"/>
    <d v="2019-12-13T00:00:00"/>
    <s v="Electronics"/>
    <s v="Christiansen, Donnelly and Bechtelar"/>
    <s v="Othello Bowes"/>
    <s v="Ora Grennan"/>
    <x v="1"/>
    <s v="74-6221213"/>
    <m/>
    <x v="4"/>
    <x v="4"/>
    <x v="1"/>
  </r>
  <r>
    <s v="Portugal"/>
    <n v="101321.52"/>
    <n v="86710.96"/>
    <d v="2019-02-17T00:00:00"/>
    <s v="Games"/>
    <s v="Dibbert Inc"/>
    <s v="Celine Tumasian"/>
    <s v="Brynn Dempster"/>
    <x v="1"/>
    <s v="53-1326953"/>
    <m/>
    <x v="6"/>
    <x v="0"/>
    <x v="1"/>
  </r>
  <r>
    <s v="UK"/>
    <n v="124234.91"/>
    <n v="98244.97"/>
    <d v="2020-09-19T00:00:00"/>
    <s v="Outdoors"/>
    <s v="Johns and Sons"/>
    <s v="Jessamine Apark"/>
    <s v="Genevra Charrisson"/>
    <x v="1"/>
    <s v="56-7081196"/>
    <m/>
    <x v="22"/>
    <x v="1"/>
    <x v="0"/>
  </r>
  <r>
    <s v="Portugal"/>
    <n v="254883.03"/>
    <n v="213413.56"/>
    <d v="2019-12-12T00:00:00"/>
    <s v="Appliances"/>
    <s v="Dickinson, Hyatt and Berge"/>
    <s v="Celine Tumasian"/>
    <s v="Corene Shirer"/>
    <x v="1"/>
    <s v="85-9560144"/>
    <m/>
    <x v="4"/>
    <x v="4"/>
    <x v="1"/>
  </r>
  <r>
    <s v="France"/>
    <n v="57333.85"/>
    <n v="46308.55"/>
    <d v="2020-10-24T00:00:00"/>
    <s v="Other"/>
    <s v="Goldner-Dibbert"/>
    <s v="Othello Bowes"/>
    <s v="Amelina Piscopiello"/>
    <x v="1"/>
    <s v="35-9605742"/>
    <m/>
    <x v="23"/>
    <x v="11"/>
    <x v="0"/>
  </r>
  <r>
    <s v="Portugal"/>
    <n v="65760.39"/>
    <n v="56672.3"/>
    <d v="2020-10-09T00:00:00"/>
    <s v="Smartphones"/>
    <s v="Schowalter, Lesch and Beahan"/>
    <s v="Celine Tumasian"/>
    <s v="Aurelie Wren"/>
    <x v="1"/>
    <s v="30-0037690"/>
    <m/>
    <x v="23"/>
    <x v="11"/>
    <x v="0"/>
  </r>
  <r>
    <s v="Portugal"/>
    <n v="53485"/>
    <n v="46713.8"/>
    <d v="2020-02-18T00:00:00"/>
    <s v="Clothing"/>
    <s v="Johns and Sons"/>
    <s v="Celine Tumasian"/>
    <s v="Corene Shirer"/>
    <x v="1"/>
    <s v="75-6038587"/>
    <m/>
    <x v="0"/>
    <x v="0"/>
    <x v="0"/>
  </r>
  <r>
    <s v="France"/>
    <n v="154950.74"/>
    <n v="133195.66"/>
    <d v="2019-10-09T00:00:00"/>
    <s v="Smartphones"/>
    <s v="Kihn Inc"/>
    <s v="Othello Bowes"/>
    <s v="Crysta Halls"/>
    <x v="2"/>
    <s v="45-8966277"/>
    <m/>
    <x v="20"/>
    <x v="11"/>
    <x v="1"/>
  </r>
  <r>
    <s v="UK"/>
    <n v="19949.11"/>
    <n v="16364.25"/>
    <d v="2019-02-25T00:00:00"/>
    <s v="Beauty"/>
    <s v="Smith Group"/>
    <s v="Jessamine Apark"/>
    <s v="Winny Agnolo"/>
    <x v="2"/>
    <s v="23-0941629"/>
    <m/>
    <x v="6"/>
    <x v="0"/>
    <x v="1"/>
  </r>
  <r>
    <s v="France"/>
    <n v="124784.67"/>
    <n v="106853.11"/>
    <d v="2020-05-22T00:00:00"/>
    <s v="Electronics"/>
    <s v="Swaniawski, Runolfsson and Green"/>
    <s v="Othello Bowes"/>
    <s v="Ora Grennan"/>
    <x v="2"/>
    <s v="44-2757396"/>
    <m/>
    <x v="8"/>
    <x v="6"/>
    <x v="0"/>
  </r>
  <r>
    <s v="Luxembourg"/>
    <n v="120831.28"/>
    <n v="95746.71"/>
    <d v="2020-05-22T00:00:00"/>
    <s v="Outdoors"/>
    <s v="Stamm-Zulauf"/>
    <s v="Ilsa Kob"/>
    <s v="Jocelyn Laurentino"/>
    <x v="1"/>
    <s v="21-4464304"/>
    <m/>
    <x v="8"/>
    <x v="6"/>
    <x v="0"/>
  </r>
  <r>
    <s v="Portugal"/>
    <n v="127631.89"/>
    <n v="110963.17"/>
    <d v="2019-11-24T00:00:00"/>
    <s v="Clothing"/>
    <s v="Schowalter, Lesch and Beahan"/>
    <s v="Celine Tumasian"/>
    <s v="Corene Shirer"/>
    <x v="1"/>
    <s v="02-8721192"/>
    <m/>
    <x v="14"/>
    <x v="8"/>
    <x v="1"/>
  </r>
  <r>
    <s v="Luxembourg"/>
    <n v="68984.17"/>
    <n v="59560.93"/>
    <d v="2019-01-11T00:00:00"/>
    <s v="Beauty"/>
    <s v="Schmitt, Purdy and Johnson"/>
    <s v="Ilsa Kob"/>
    <s v="Jocelyn Laurentino"/>
    <x v="1"/>
    <s v="46-9710750"/>
    <m/>
    <x v="9"/>
    <x v="7"/>
    <x v="1"/>
  </r>
  <r>
    <s v="France"/>
    <n v="56823.17"/>
    <n v="46583.63"/>
    <d v="2019-12-21T00:00:00"/>
    <s v="Beauty"/>
    <s v="Rowe, Hermiston and Kessler"/>
    <s v="Othello Bowes"/>
    <s v="Ora Grennan"/>
    <x v="0"/>
    <s v="26-1781486"/>
    <m/>
    <x v="4"/>
    <x v="4"/>
    <x v="1"/>
  </r>
  <r>
    <s v="Portugal"/>
    <n v="126974.92"/>
    <n v="101516.45"/>
    <d v="2019-01-13T00:00:00"/>
    <s v="Games"/>
    <s v="Larkin-Collier"/>
    <s v="Celine Tumasian"/>
    <s v="Hortense Gerring"/>
    <x v="1"/>
    <s v="57-7927520"/>
    <m/>
    <x v="9"/>
    <x v="7"/>
    <x v="1"/>
  </r>
  <r>
    <s v="Portugal"/>
    <n v="121736.23"/>
    <n v="106214.86"/>
    <d v="2020-05-06T00:00:00"/>
    <s v="Accessories"/>
    <s v="Zieme, Bailey and Herzog"/>
    <s v="Celine Tumasian"/>
    <s v="Smitty Culverhouse"/>
    <x v="1"/>
    <s v="95-4271285"/>
    <m/>
    <x v="8"/>
    <x v="6"/>
    <x v="0"/>
  </r>
  <r>
    <s v="France"/>
    <n v="150287.47"/>
    <n v="123611.44"/>
    <d v="2020-08-05T00:00:00"/>
    <s v="Books"/>
    <s v="Fisher, Morar and Skiles"/>
    <s v="Othello Bowes"/>
    <s v="Avrit Chanders"/>
    <x v="1"/>
    <s v="66-4296261"/>
    <m/>
    <x v="7"/>
    <x v="5"/>
    <x v="0"/>
  </r>
  <r>
    <s v="Finland"/>
    <n v="93007.22"/>
    <n v="81837.05"/>
    <d v="2020-11-09T00:00:00"/>
    <s v="Outdoors"/>
    <s v="McGlynn-Prosacco"/>
    <s v="Hube Corey"/>
    <s v="Wat Bowkley"/>
    <x v="1"/>
    <s v="24-8477374"/>
    <m/>
    <x v="13"/>
    <x v="8"/>
    <x v="0"/>
  </r>
  <r>
    <s v="Ireland"/>
    <n v="165747.20000000001"/>
    <n v="132912.68"/>
    <d v="2020-01-21T00:00:00"/>
    <s v="Books"/>
    <s v="Farrell, Swaniawski and Crist"/>
    <s v="Glenine Suttaby"/>
    <s v="Bunnie Tonbridge"/>
    <x v="1"/>
    <s v="96-1991854"/>
    <m/>
    <x v="11"/>
    <x v="7"/>
    <x v="0"/>
  </r>
  <r>
    <s v="Sweden"/>
    <n v="177215.51"/>
    <n v="155807.88"/>
    <d v="2019-05-07T00:00:00"/>
    <s v="Clothing"/>
    <s v="Schmitt, Purdy and Johnson"/>
    <s v="Maxie Marrow"/>
    <s v="Alyosha Meah"/>
    <x v="1"/>
    <s v="54-3353166"/>
    <m/>
    <x v="10"/>
    <x v="6"/>
    <x v="1"/>
  </r>
  <r>
    <s v="France"/>
    <n v="99132.04"/>
    <n v="78819.89"/>
    <d v="2020-03-21T00:00:00"/>
    <s v="Smartphones"/>
    <s v="Kirlin and Sons"/>
    <s v="Othello Bowes"/>
    <s v="Avrit Chanders"/>
    <x v="1"/>
    <s v="44-6408586"/>
    <m/>
    <x v="19"/>
    <x v="10"/>
    <x v="0"/>
  </r>
  <r>
    <s v="Germany"/>
    <n v="180519.86"/>
    <n v="145968.35999999999"/>
    <d v="2019-07-04T00:00:00"/>
    <s v="Games"/>
    <s v="Jacobson, Marvin and Brown"/>
    <s v="Rickard Doogood"/>
    <s v="Casie MacBain"/>
    <x v="1"/>
    <s v="86-6107692"/>
    <m/>
    <x v="2"/>
    <x v="2"/>
    <x v="1"/>
  </r>
  <r>
    <s v="France"/>
    <n v="68173.22"/>
    <n v="54040.91"/>
    <d v="2020-11-14T00:00:00"/>
    <s v="Smartphones"/>
    <s v="Larkin-Collier"/>
    <s v="Othello Bowes"/>
    <s v="Amelina Piscopiello"/>
    <x v="1"/>
    <s v="89-7513050"/>
    <m/>
    <x v="13"/>
    <x v="8"/>
    <x v="0"/>
  </r>
  <r>
    <s v="Portugal"/>
    <n v="97439.360000000001"/>
    <n v="79773.600000000006"/>
    <d v="2019-08-08T00:00:00"/>
    <s v="Games"/>
    <s v="Labadie and Sons"/>
    <s v="Celine Tumasian"/>
    <s v="Brynn Dempster"/>
    <x v="1"/>
    <s v="54-2767741"/>
    <m/>
    <x v="12"/>
    <x v="5"/>
    <x v="1"/>
  </r>
  <r>
    <s v="Sweden"/>
    <n v="103638.67"/>
    <n v="84030.23"/>
    <d v="2020-10-22T00:00:00"/>
    <s v="Electronics"/>
    <s v="Leffler, Prohaska and Streich"/>
    <s v="Maxie Marrow"/>
    <s v="Anita Woakes"/>
    <x v="1"/>
    <s v="24-6905998"/>
    <m/>
    <x v="23"/>
    <x v="11"/>
    <x v="0"/>
  </r>
  <r>
    <s v="Sweden"/>
    <n v="169810.63"/>
    <n v="145952.24"/>
    <d v="2020-11-28T00:00:00"/>
    <s v="Smartphones"/>
    <s v="Schowalter, Lesch and Beahan"/>
    <s v="Maxie Marrow"/>
    <s v="Caro Morfield"/>
    <x v="1"/>
    <s v="35-0173281"/>
    <m/>
    <x v="13"/>
    <x v="8"/>
    <x v="0"/>
  </r>
  <r>
    <s v="France"/>
    <n v="75264.84"/>
    <n v="61694.59"/>
    <d v="2020-09-16T00:00:00"/>
    <s v="Clothing"/>
    <s v="Tillman and Sons"/>
    <s v="Othello Bowes"/>
    <s v="Ora Grennan"/>
    <x v="0"/>
    <s v="93-5465623"/>
    <m/>
    <x v="22"/>
    <x v="1"/>
    <x v="0"/>
  </r>
  <r>
    <s v="Spain"/>
    <n v="58933.16"/>
    <n v="51855.29"/>
    <d v="2019-09-20T00:00:00"/>
    <s v="Electronics"/>
    <s v="Schowalter, Lesch and Beahan"/>
    <s v="Emalia Dinse"/>
    <s v="Bertha Walbrook"/>
    <x v="0"/>
    <s v="67-2823354"/>
    <m/>
    <x v="1"/>
    <x v="1"/>
    <x v="1"/>
  </r>
  <r>
    <s v="Portugal"/>
    <n v="168773.6"/>
    <n v="137398.59"/>
    <d v="2019-08-22T00:00:00"/>
    <s v="Games"/>
    <s v="Tillman and Sons"/>
    <s v="Celine Tumasian"/>
    <s v="Corene Shirer"/>
    <x v="1"/>
    <s v="28-0622425"/>
    <m/>
    <x v="12"/>
    <x v="5"/>
    <x v="1"/>
  </r>
  <r>
    <s v="Portugal"/>
    <n v="152676.76999999999"/>
    <n v="122385.7"/>
    <d v="2020-07-07T00:00:00"/>
    <s v="Outdoors"/>
    <s v="Spencer, Rogahn and Muller"/>
    <s v="Celine Tumasian"/>
    <s v="Smitty Culverhouse"/>
    <x v="1"/>
    <s v="84-0679518"/>
    <m/>
    <x v="5"/>
    <x v="2"/>
    <x v="0"/>
  </r>
  <r>
    <s v="Portugal"/>
    <n v="116556.81"/>
    <n v="95448.37"/>
    <d v="2020-05-24T00:00:00"/>
    <s v="Outdoors"/>
    <s v="Hermiston, Simonis and Wisoky"/>
    <s v="Celine Tumasian"/>
    <s v="Hortense Gerring"/>
    <x v="1"/>
    <s v="95-1195568"/>
    <m/>
    <x v="8"/>
    <x v="6"/>
    <x v="0"/>
  </r>
  <r>
    <s v="France"/>
    <n v="310539"/>
    <n v="248275.93"/>
    <d v="2020-12-11T00:00:00"/>
    <s v="Electronics"/>
    <s v="Johns and Sons"/>
    <s v="Othello Bowes"/>
    <s v="Ora Grennan"/>
    <x v="1"/>
    <s v="57-2495984"/>
    <m/>
    <x v="17"/>
    <x v="4"/>
    <x v="0"/>
  </r>
  <r>
    <s v="Portugal"/>
    <n v="106325.72"/>
    <n v="92705.4"/>
    <d v="2019-09-19T00:00:00"/>
    <s v="Games"/>
    <s v="Goldner-Dibbert"/>
    <s v="Celine Tumasian"/>
    <s v="Aurelie Wren"/>
    <x v="0"/>
    <s v="77-5229094"/>
    <m/>
    <x v="1"/>
    <x v="1"/>
    <x v="1"/>
  </r>
  <r>
    <s v="Sweden"/>
    <n v="90602.07"/>
    <n v="71630"/>
    <d v="2020-03-05T00:00:00"/>
    <s v="Electronics"/>
    <s v="McGlynn-Bergstrom"/>
    <s v="Maxie Marrow"/>
    <s v="Tarrah Castelletti"/>
    <x v="1"/>
    <s v="09-3747816"/>
    <m/>
    <x v="19"/>
    <x v="10"/>
    <x v="0"/>
  </r>
  <r>
    <s v="Spain"/>
    <n v="120012.56"/>
    <n v="97762.23"/>
    <d v="2020-05-11T00:00:00"/>
    <s v="Games"/>
    <s v="Schmitt, Purdy and Johnson"/>
    <s v="Emalia Dinse"/>
    <s v="Bertha Walbrook"/>
    <x v="0"/>
    <s v="62-9738356"/>
    <m/>
    <x v="8"/>
    <x v="6"/>
    <x v="0"/>
  </r>
  <r>
    <s v="France"/>
    <n v="143658.22"/>
    <n v="123158.19"/>
    <d v="2020-10-30T00:00:00"/>
    <s v="Appliances"/>
    <s v="Wisoky Inc"/>
    <s v="Othello Bowes"/>
    <s v="Amelina Piscopiello"/>
    <x v="1"/>
    <s v="22-6938537"/>
    <m/>
    <x v="23"/>
    <x v="11"/>
    <x v="0"/>
  </r>
  <r>
    <s v="Portugal"/>
    <n v="263571.82"/>
    <n v="216155.25"/>
    <d v="2020-06-08T00:00:00"/>
    <s v="Outdoors"/>
    <s v="Dickinson, Hyatt and Berge"/>
    <s v="Celine Tumasian"/>
    <s v="Aurelie Wren"/>
    <x v="1"/>
    <s v="11-0955383"/>
    <m/>
    <x v="18"/>
    <x v="9"/>
    <x v="0"/>
  </r>
  <r>
    <s v="France"/>
    <n v="131097.04999999999"/>
    <n v="109203.84"/>
    <d v="2020-06-26T00:00:00"/>
    <s v="Beauty"/>
    <s v="Larkin-Collier"/>
    <s v="Othello Bowes"/>
    <s v="Maighdiln Upcraft"/>
    <x v="1"/>
    <s v="80-1374023"/>
    <m/>
    <x v="18"/>
    <x v="9"/>
    <x v="0"/>
  </r>
  <r>
    <s v="Italy"/>
    <n v="127830.38"/>
    <n v="103874.97"/>
    <d v="2020-05-21T00:00:00"/>
    <s v="Games"/>
    <s v="Romaguera-Dietrich"/>
    <s v="Piggy Roscrigg"/>
    <s v="Joshua Prevost"/>
    <x v="1"/>
    <s v="66-7112079"/>
    <m/>
    <x v="8"/>
    <x v="6"/>
    <x v="0"/>
  </r>
  <r>
    <s v="Portugal"/>
    <n v="129353.22"/>
    <n v="111593.02"/>
    <d v="2019-01-18T00:00:00"/>
    <s v="Games"/>
    <s v="Kihn Inc"/>
    <s v="Celine Tumasian"/>
    <s v="Corene Shirer"/>
    <x v="0"/>
    <s v="31-2600204"/>
    <m/>
    <x v="9"/>
    <x v="7"/>
    <x v="1"/>
  </r>
  <r>
    <s v="Sweden"/>
    <n v="176473.32"/>
    <n v="139413.92000000001"/>
    <d v="2019-06-22T00:00:00"/>
    <s v="Games"/>
    <s v="Wisoky Inc"/>
    <s v="Maxie Marrow"/>
    <s v="Anita Woakes"/>
    <x v="1"/>
    <s v="00-7031798"/>
    <m/>
    <x v="15"/>
    <x v="9"/>
    <x v="1"/>
  </r>
  <r>
    <s v="Denmark"/>
    <n v="43609.57"/>
    <n v="34634.720000000001"/>
    <d v="2020-03-01T00:00:00"/>
    <s v="Appliances"/>
    <s v="Walter LLC"/>
    <s v="Modestia Byfford"/>
    <s v="Cobby Andersen"/>
    <x v="1"/>
    <s v="20-1827241"/>
    <m/>
    <x v="19"/>
    <x v="10"/>
    <x v="0"/>
  </r>
  <r>
    <s v="Portugal"/>
    <n v="137562.42000000001"/>
    <n v="112140.88"/>
    <d v="2020-04-14T00:00:00"/>
    <s v="Clothing"/>
    <s v="Dibbert Inc"/>
    <s v="Celine Tumasian"/>
    <s v="Hortense Gerring"/>
    <x v="1"/>
    <s v="80-5941460"/>
    <m/>
    <x v="3"/>
    <x v="3"/>
    <x v="0"/>
  </r>
  <r>
    <s v="France"/>
    <n v="51504.5"/>
    <n v="44592.6"/>
    <d v="2019-09-22T00:00:00"/>
    <s v="Appliances"/>
    <s v="Dibbert Inc"/>
    <s v="Othello Bowes"/>
    <s v="Amelina Piscopiello"/>
    <x v="1"/>
    <s v="17-3240628"/>
    <m/>
    <x v="1"/>
    <x v="1"/>
    <x v="1"/>
  </r>
  <r>
    <s v="France"/>
    <n v="38750.53"/>
    <n v="31298.799999999999"/>
    <d v="2019-09-01T00:00:00"/>
    <s v="Outdoors"/>
    <s v="Johns and Sons"/>
    <s v="Othello Bowes"/>
    <s v="Amelina Piscopiello"/>
    <x v="1"/>
    <s v="22-5929243"/>
    <m/>
    <x v="1"/>
    <x v="1"/>
    <x v="1"/>
  </r>
  <r>
    <s v="France"/>
    <n v="111676.46"/>
    <n v="92791.97"/>
    <d v="2019-06-08T00:00:00"/>
    <s v="Beauty"/>
    <s v="Armstrong-Little"/>
    <s v="Othello Bowes"/>
    <s v="Ora Grennan"/>
    <x v="1"/>
    <s v="35-7483371"/>
    <m/>
    <x v="15"/>
    <x v="9"/>
    <x v="1"/>
  </r>
  <r>
    <s v="Sweden"/>
    <n v="46849.71"/>
    <n v="39630.17"/>
    <d v="2019-08-26T00:00:00"/>
    <s v="Beauty"/>
    <s v="Leffler, Prohaska and Streich"/>
    <s v="Maxie Marrow"/>
    <s v="Anita Woakes"/>
    <x v="1"/>
    <s v="71-1921602"/>
    <m/>
    <x v="12"/>
    <x v="5"/>
    <x v="1"/>
  </r>
  <r>
    <s v="Sweden"/>
    <n v="296844.24"/>
    <n v="244926.18"/>
    <d v="2019-06-08T00:00:00"/>
    <s v="Other"/>
    <s v="Walter LLC"/>
    <s v="Maxie Marrow"/>
    <s v="Tarrah Castelletti"/>
    <x v="1"/>
    <s v="22-9949979"/>
    <m/>
    <x v="15"/>
    <x v="9"/>
    <x v="1"/>
  </r>
  <r>
    <s v="Portugal"/>
    <n v="163492.16"/>
    <n v="134178.01999999999"/>
    <d v="2020-08-12T00:00:00"/>
    <s v="Appliances"/>
    <s v="Shanahan, Schaden and Parker"/>
    <s v="Celine Tumasian"/>
    <s v="Corene Shirer"/>
    <x v="1"/>
    <s v="06-8466490"/>
    <m/>
    <x v="7"/>
    <x v="5"/>
    <x v="0"/>
  </r>
  <r>
    <s v="France"/>
    <n v="116206.87"/>
    <n v="93104.94"/>
    <d v="2019-04-15T00:00:00"/>
    <s v="Games"/>
    <s v="Keeling, Monahan and Pollich"/>
    <s v="Othello Bowes"/>
    <s v="Amelina Piscopiello"/>
    <x v="1"/>
    <s v="34-6603897"/>
    <m/>
    <x v="21"/>
    <x v="3"/>
    <x v="1"/>
  </r>
  <r>
    <s v="France"/>
    <n v="195214.72"/>
    <n v="154649.1"/>
    <d v="2019-06-26T00:00:00"/>
    <s v="Books"/>
    <s v="Keeling, Monahan and Pollich"/>
    <s v="Othello Bowes"/>
    <s v="Maighdiln Upcraft"/>
    <x v="1"/>
    <s v="92-3462655"/>
    <m/>
    <x v="15"/>
    <x v="9"/>
    <x v="1"/>
  </r>
  <r>
    <s v="France"/>
    <n v="168226.52"/>
    <n v="136818.63"/>
    <d v="2020-01-25T00:00:00"/>
    <s v="Smartphones"/>
    <s v="Altenwerth-Konopelski"/>
    <s v="Othello Bowes"/>
    <s v="Avrit Chanders"/>
    <x v="1"/>
    <s v="26-9826298"/>
    <m/>
    <x v="11"/>
    <x v="7"/>
    <x v="0"/>
  </r>
  <r>
    <s v="Sweden"/>
    <n v="249842.77"/>
    <n v="218737.35"/>
    <d v="2020-07-09T00:00:00"/>
    <s v="Books"/>
    <s v="Hessel-Stiedemann"/>
    <s v="Maxie Marrow"/>
    <s v="Alyosha Meah"/>
    <x v="1"/>
    <s v="39-5542863"/>
    <m/>
    <x v="5"/>
    <x v="2"/>
    <x v="0"/>
  </r>
  <r>
    <s v="Netherlands"/>
    <n v="105678.39"/>
    <n v="89720.95"/>
    <d v="2020-05-07T00:00:00"/>
    <s v="Games"/>
    <s v="Hegmann Group"/>
    <s v="Denice Amberg"/>
    <s v="Nero Harbisher"/>
    <x v="0"/>
    <s v="18-1809309"/>
    <m/>
    <x v="8"/>
    <x v="6"/>
    <x v="0"/>
  </r>
  <r>
    <s v="Portugal"/>
    <n v="253580.08"/>
    <n v="212449.39"/>
    <d v="2020-07-06T00:00:00"/>
    <s v="Games"/>
    <s v="Wyman Group"/>
    <s v="Celine Tumasian"/>
    <s v="Brynn Dempster"/>
    <x v="1"/>
    <s v="51-0837613"/>
    <m/>
    <x v="5"/>
    <x v="2"/>
    <x v="0"/>
  </r>
  <r>
    <s v="France"/>
    <n v="56705.66"/>
    <n v="46986.31"/>
    <d v="2019-02-01T00:00:00"/>
    <s v="Outdoors"/>
    <s v="Johns and Sons"/>
    <s v="Othello Bowes"/>
    <s v="Crysta Halls"/>
    <x v="1"/>
    <s v="46-0117523"/>
    <m/>
    <x v="6"/>
    <x v="0"/>
    <x v="1"/>
  </r>
  <r>
    <s v="Sweden"/>
    <n v="35354.22"/>
    <n v="30517.759999999998"/>
    <d v="2019-02-27T00:00:00"/>
    <s v="Smartphones"/>
    <s v="Dickinson, Hyatt and Berge"/>
    <s v="Maxie Marrow"/>
    <s v="Caro Morfield"/>
    <x v="1"/>
    <s v="58-1079558"/>
    <m/>
    <x v="6"/>
    <x v="0"/>
    <x v="1"/>
  </r>
  <r>
    <s v="Portugal"/>
    <n v="25834.34"/>
    <n v="22450.04"/>
    <d v="2020-03-13T00:00:00"/>
    <s v="Electronics"/>
    <s v="Romaguera-Dietrich"/>
    <s v="Celine Tumasian"/>
    <s v="Brynn Dempster"/>
    <x v="0"/>
    <s v="49-9010863"/>
    <m/>
    <x v="19"/>
    <x v="10"/>
    <x v="0"/>
  </r>
  <r>
    <s v="Portugal"/>
    <n v="121928.48"/>
    <n v="98408.48"/>
    <d v="2019-09-19T00:00:00"/>
    <s v="Clothing"/>
    <s v="Altenwerth-Konopelski"/>
    <s v="Celine Tumasian"/>
    <s v="Brynn Dempster"/>
    <x v="0"/>
    <s v="58-2028009"/>
    <m/>
    <x v="1"/>
    <x v="1"/>
    <x v="1"/>
  </r>
  <r>
    <s v="France"/>
    <n v="167935.31"/>
    <n v="137942.06"/>
    <d v="2019-04-18T00:00:00"/>
    <s v="Games"/>
    <s v="Romaguera-Haley"/>
    <s v="Othello Bowes"/>
    <s v="Amelina Piscopiello"/>
    <x v="1"/>
    <s v="03-4045721"/>
    <m/>
    <x v="21"/>
    <x v="3"/>
    <x v="1"/>
  </r>
  <r>
    <s v="Portugal"/>
    <n v="151151.76999999999"/>
    <n v="124035.14"/>
    <d v="2019-12-30T00:00:00"/>
    <s v="Appliances"/>
    <s v="Rowe, Hermiston and Kessler"/>
    <s v="Celine Tumasian"/>
    <s v="Aurelie Wren"/>
    <x v="1"/>
    <s v="80-3039005"/>
    <m/>
    <x v="4"/>
    <x v="4"/>
    <x v="1"/>
  </r>
  <r>
    <s v="France"/>
    <n v="95966.17"/>
    <n v="75976.42"/>
    <d v="2019-08-24T00:00:00"/>
    <s v="Electronics"/>
    <s v="Littel-Blick"/>
    <s v="Othello Bowes"/>
    <s v="Amelina Piscopiello"/>
    <x v="1"/>
    <s v="90-4449856"/>
    <m/>
    <x v="12"/>
    <x v="5"/>
    <x v="1"/>
  </r>
  <r>
    <s v="Portugal"/>
    <n v="123424.43"/>
    <n v="98171.79"/>
    <d v="2019-04-11T00:00:00"/>
    <s v="Clothing"/>
    <s v="Spencer, Rogahn and Muller"/>
    <s v="Celine Tumasian"/>
    <s v="Corene Shirer"/>
    <x v="1"/>
    <s v="82-2837449"/>
    <m/>
    <x v="21"/>
    <x v="3"/>
    <x v="1"/>
  </r>
  <r>
    <s v="France"/>
    <n v="128221.13"/>
    <n v="102217.88"/>
    <d v="2020-06-21T00:00:00"/>
    <s v="Clothing"/>
    <s v="Johns and Sons"/>
    <s v="Othello Bowes"/>
    <s v="Amelina Piscopiello"/>
    <x v="1"/>
    <s v="21-4033151"/>
    <m/>
    <x v="18"/>
    <x v="9"/>
    <x v="0"/>
  </r>
  <r>
    <s v="Portugal"/>
    <n v="204133.95"/>
    <n v="167553.15"/>
    <d v="2020-06-13T00:00:00"/>
    <s v="Games"/>
    <s v="Leffler, Prohaska and Streich"/>
    <s v="Celine Tumasian"/>
    <s v="Corene Shirer"/>
    <x v="1"/>
    <s v="98-6563368"/>
    <m/>
    <x v="18"/>
    <x v="9"/>
    <x v="0"/>
  </r>
  <r>
    <s v="Sweden"/>
    <n v="89376.84"/>
    <n v="73646.52"/>
    <d v="2019-02-17T00:00:00"/>
    <s v="Beauty"/>
    <s v="Johns and Sons"/>
    <s v="Maxie Marrow"/>
    <s v="Alyosha Meah"/>
    <x v="1"/>
    <s v="21-2589548"/>
    <m/>
    <x v="6"/>
    <x v="0"/>
    <x v="1"/>
  </r>
  <r>
    <s v="Sweden"/>
    <n v="110837.96"/>
    <n v="92106.34"/>
    <d v="2019-02-25T00:00:00"/>
    <s v="Electronics"/>
    <s v="Dickinson, Hyatt and Berge"/>
    <s v="Maxie Marrow"/>
    <s v="Alyosha Meah"/>
    <x v="1"/>
    <s v="52-7049356"/>
    <m/>
    <x v="6"/>
    <x v="0"/>
    <x v="1"/>
  </r>
  <r>
    <s v="Netherlands"/>
    <n v="118026.37"/>
    <n v="99873.91"/>
    <d v="2020-07-04T00:00:00"/>
    <s v="Appliances"/>
    <s v="Hessel-Stiedemann"/>
    <s v="Denice Amberg"/>
    <s v="Nero Harbisher"/>
    <x v="1"/>
    <s v="35-1708827"/>
    <m/>
    <x v="5"/>
    <x v="2"/>
    <x v="0"/>
  </r>
  <r>
    <s v="Portugal"/>
    <n v="177208.76"/>
    <n v="151779.29999999999"/>
    <d v="2019-01-02T00:00:00"/>
    <s v="Appliances"/>
    <s v="Romaguera-Dietrich"/>
    <s v="Celine Tumasian"/>
    <s v="Smitty Culverhouse"/>
    <x v="0"/>
    <s v="22-1266257"/>
    <m/>
    <x v="9"/>
    <x v="7"/>
    <x v="1"/>
  </r>
  <r>
    <s v="Sweden"/>
    <n v="97148.34"/>
    <n v="77806.11"/>
    <d v="2020-04-29T00:00:00"/>
    <s v="Books"/>
    <s v="Romaguera-Dietrich"/>
    <s v="Maxie Marrow"/>
    <s v="Tarrah Castelletti"/>
    <x v="1"/>
    <s v="44-9978904"/>
    <m/>
    <x v="3"/>
    <x v="3"/>
    <x v="0"/>
  </r>
  <r>
    <s v="Spain"/>
    <n v="144530.35"/>
    <n v="115407.48"/>
    <d v="2020-08-04T00:00:00"/>
    <s v="Other"/>
    <s v="Swaniawski, Runolfsson and Green"/>
    <s v="Emalia Dinse"/>
    <s v="Manuel Goudie"/>
    <x v="1"/>
    <s v="63-1220717"/>
    <m/>
    <x v="7"/>
    <x v="5"/>
    <x v="0"/>
  </r>
  <r>
    <s v="Sweden"/>
    <n v="45261.84"/>
    <n v="37816.269999999997"/>
    <d v="2020-11-21T00:00:00"/>
    <s v="Beauty"/>
    <s v="Tillman and Sons"/>
    <s v="Maxie Marrow"/>
    <s v="Madelon Bront"/>
    <x v="1"/>
    <s v="40-0265810"/>
    <m/>
    <x v="13"/>
    <x v="8"/>
    <x v="0"/>
  </r>
  <r>
    <s v="Bulgaria"/>
    <n v="105277.2"/>
    <n v="90759.47"/>
    <d v="2019-11-21T00:00:00"/>
    <s v="Books"/>
    <s v="Spencer, Rogahn and Muller"/>
    <s v="Charil Alpe"/>
    <s v="Shermy McGready"/>
    <x v="1"/>
    <s v="56-6094665"/>
    <m/>
    <x v="14"/>
    <x v="8"/>
    <x v="1"/>
  </r>
  <r>
    <s v="Denmark"/>
    <n v="65822.05"/>
    <n v="54790.27"/>
    <d v="2020-11-11T00:00:00"/>
    <s v="Clothing"/>
    <s v="Keeling, Monahan and Pollich"/>
    <s v="Modestia Byfford"/>
    <s v="Case Desorts"/>
    <x v="1"/>
    <s v="75-3776704"/>
    <m/>
    <x v="13"/>
    <x v="8"/>
    <x v="0"/>
  </r>
  <r>
    <s v="France"/>
    <n v="78540.62"/>
    <n v="63987.040000000001"/>
    <d v="2019-10-08T00:00:00"/>
    <s v="Clothing"/>
    <s v="Considine-Fisher"/>
    <s v="Othello Bowes"/>
    <s v="Crysta Halls"/>
    <x v="1"/>
    <s v="55-1050582"/>
    <m/>
    <x v="20"/>
    <x v="11"/>
    <x v="1"/>
  </r>
  <r>
    <s v="Italy"/>
    <n v="37636.910000000003"/>
    <n v="30847.21"/>
    <d v="2020-03-16T00:00:00"/>
    <s v="Appliances"/>
    <s v="West-Cummings"/>
    <s v="Piggy Roscrigg"/>
    <s v="Joshua Prevost"/>
    <x v="0"/>
    <s v="78-8602908"/>
    <m/>
    <x v="19"/>
    <x v="10"/>
    <x v="0"/>
  </r>
  <r>
    <s v="Portugal"/>
    <n v="138127.81"/>
    <n v="115240.03"/>
    <d v="2020-05-24T00:00:00"/>
    <s v="Appliances"/>
    <s v="Hamill, Kulas and Roob"/>
    <s v="Celine Tumasian"/>
    <s v="Corene Shirer"/>
    <x v="1"/>
    <s v="30-3460885"/>
    <m/>
    <x v="8"/>
    <x v="6"/>
    <x v="0"/>
  </r>
  <r>
    <s v="Ireland"/>
    <n v="37892.58"/>
    <n v="30010.92"/>
    <d v="2019-01-21T00:00:00"/>
    <s v="Electronics"/>
    <s v="Johns and Sons"/>
    <s v="Glenine Suttaby"/>
    <s v="Palm Wetherald"/>
    <x v="1"/>
    <s v="59-0348389"/>
    <m/>
    <x v="9"/>
    <x v="7"/>
    <x v="1"/>
  </r>
  <r>
    <s v="Bulgaria"/>
    <n v="65329.65"/>
    <n v="53237.13"/>
    <d v="2020-02-26T00:00:00"/>
    <s v="Clothing"/>
    <s v="Christiansen, Donnelly and Bechtelar"/>
    <s v="Charil Alpe"/>
    <s v="Shermy McGready"/>
    <x v="0"/>
    <s v="91-7447818"/>
    <m/>
    <x v="0"/>
    <x v="0"/>
    <x v="0"/>
  </r>
  <r>
    <s v="France"/>
    <n v="167072.72"/>
    <n v="135044.88"/>
    <d v="2019-10-21T00:00:00"/>
    <s v="Clothing"/>
    <s v="O'Connell-Mitchell"/>
    <s v="Othello Bowes"/>
    <s v="Ora Grennan"/>
    <x v="1"/>
    <s v="37-6449638"/>
    <m/>
    <x v="20"/>
    <x v="11"/>
    <x v="1"/>
  </r>
  <r>
    <s v="France"/>
    <n v="164243.32"/>
    <n v="134121.1"/>
    <d v="2019-05-20T00:00:00"/>
    <s v="Smartphones"/>
    <s v="Kirlin and Sons"/>
    <s v="Othello Bowes"/>
    <s v="Amelina Piscopiello"/>
    <x v="1"/>
    <s v="38-2806168"/>
    <m/>
    <x v="10"/>
    <x v="6"/>
    <x v="1"/>
  </r>
  <r>
    <s v="France"/>
    <n v="174951.18"/>
    <n v="142690.18"/>
    <d v="2019-09-18T00:00:00"/>
    <s v="Clothing"/>
    <s v="Tillman and Sons"/>
    <s v="Othello Bowes"/>
    <s v="Amelina Piscopiello"/>
    <x v="0"/>
    <s v="09-7737652"/>
    <m/>
    <x v="1"/>
    <x v="1"/>
    <x v="1"/>
  </r>
  <r>
    <s v="Portugal"/>
    <n v="98521.87"/>
    <n v="84571.17"/>
    <d v="2020-01-02T00:00:00"/>
    <s v="Clothing"/>
    <s v="Johns and Sons"/>
    <s v="Celine Tumasian"/>
    <s v="Brynn Dempster"/>
    <x v="1"/>
    <s v="29-1727395"/>
    <m/>
    <x v="11"/>
    <x v="7"/>
    <x v="0"/>
  </r>
  <r>
    <s v="Portugal"/>
    <n v="69750.570000000007"/>
    <n v="60731.82"/>
    <d v="2019-03-19T00:00:00"/>
    <s v="Games"/>
    <s v="Johns and Sons"/>
    <s v="Celine Tumasian"/>
    <s v="Hortense Gerring"/>
    <x v="1"/>
    <s v="92-4695001"/>
    <m/>
    <x v="16"/>
    <x v="10"/>
    <x v="1"/>
  </r>
  <r>
    <s v="Portugal"/>
    <n v="129022.02"/>
    <n v="104585.25"/>
    <d v="2020-06-20T00:00:00"/>
    <s v="Electronics"/>
    <s v="Walter LLC"/>
    <s v="Celine Tumasian"/>
    <s v="Corene Shirer"/>
    <x v="1"/>
    <s v="51-2167412"/>
    <m/>
    <x v="18"/>
    <x v="9"/>
    <x v="0"/>
  </r>
  <r>
    <s v="Portugal"/>
    <n v="41805.53"/>
    <n v="33352.449999999997"/>
    <d v="2019-03-23T00:00:00"/>
    <s v="Appliances"/>
    <s v="Abbott, Roberts and Torp"/>
    <s v="Celine Tumasian"/>
    <s v="Brynn Dempster"/>
    <x v="2"/>
    <s v="27-7169008"/>
    <m/>
    <x v="16"/>
    <x v="10"/>
    <x v="1"/>
  </r>
  <r>
    <s v="Finland"/>
    <n v="145809.65"/>
    <n v="123136.25"/>
    <d v="2019-07-30T00:00:00"/>
    <s v="Appliances"/>
    <s v="O'Connell-Mitchell"/>
    <s v="Hube Corey"/>
    <s v="Mellicent Mattys"/>
    <x v="1"/>
    <s v="96-5231814"/>
    <m/>
    <x v="2"/>
    <x v="2"/>
    <x v="1"/>
  </r>
  <r>
    <s v="France"/>
    <n v="29443.71"/>
    <n v="23958.35"/>
    <d v="2020-10-29T00:00:00"/>
    <s v="Appliances"/>
    <s v="Johns and Sons"/>
    <s v="Othello Bowes"/>
    <s v="Ora Grennan"/>
    <x v="1"/>
    <s v="03-2027170"/>
    <m/>
    <x v="23"/>
    <x v="11"/>
    <x v="0"/>
  </r>
  <r>
    <s v="Sweden"/>
    <n v="138443.23000000001"/>
    <n v="115101.7"/>
    <d v="2019-06-14T00:00:00"/>
    <s v="Clothing"/>
    <s v="Wyman Group"/>
    <s v="Maxie Marrow"/>
    <s v="Alyosha Meah"/>
    <x v="0"/>
    <s v="99-9599677"/>
    <m/>
    <x v="15"/>
    <x v="9"/>
    <x v="1"/>
  </r>
  <r>
    <s v="UK"/>
    <n v="102000.57"/>
    <n v="87261.49"/>
    <d v="2020-03-17T00:00:00"/>
    <s v="Games"/>
    <s v="Franecki-White"/>
    <s v="Jessamine Apark"/>
    <s v="Genevra Charrisson"/>
    <x v="1"/>
    <s v="22-0725785"/>
    <m/>
    <x v="19"/>
    <x v="10"/>
    <x v="0"/>
  </r>
  <r>
    <s v="Portugal"/>
    <n v="53181.88"/>
    <n v="42316.82"/>
    <d v="2020-01-06T00:00:00"/>
    <s v="Smartphones"/>
    <s v="Christiansen, Donnelly and Bechtelar"/>
    <s v="Celine Tumasian"/>
    <s v="Hortense Gerring"/>
    <x v="1"/>
    <s v="37-6033123"/>
    <m/>
    <x v="11"/>
    <x v="7"/>
    <x v="0"/>
  </r>
  <r>
    <s v="Portugal"/>
    <n v="99518.86"/>
    <n v="81854.259999999995"/>
    <d v="2019-03-12T00:00:00"/>
    <s v="Books"/>
    <s v="Dickinson, Hyatt and Berge"/>
    <s v="Celine Tumasian"/>
    <s v="Corene Shirer"/>
    <x v="1"/>
    <s v="29-5158368"/>
    <m/>
    <x v="16"/>
    <x v="10"/>
    <x v="1"/>
  </r>
  <r>
    <s v="Portugal"/>
    <n v="79288.03"/>
    <n v="68536.570000000007"/>
    <d v="2019-07-08T00:00:00"/>
    <s v="Clothing"/>
    <s v="Johns and Sons"/>
    <s v="Celine Tumasian"/>
    <s v="Hortense Gerring"/>
    <x v="1"/>
    <s v="95-4281933"/>
    <m/>
    <x v="2"/>
    <x v="2"/>
    <x v="1"/>
  </r>
  <r>
    <s v="France"/>
    <n v="111557.68"/>
    <n v="92470.16"/>
    <d v="2020-02-15T00:00:00"/>
    <s v="Books"/>
    <s v="Hessel-Stiedemann"/>
    <s v="Othello Bowes"/>
    <s v="Crysta Halls"/>
    <x v="1"/>
    <s v="61-0532585"/>
    <m/>
    <x v="0"/>
    <x v="0"/>
    <x v="0"/>
  </r>
  <r>
    <s v="Netherlands"/>
    <n v="43008.69"/>
    <n v="34458.559999999998"/>
    <d v="2019-07-19T00:00:00"/>
    <s v="Appliances"/>
    <s v="Stamm-Zulauf"/>
    <s v="Denice Amberg"/>
    <s v="Nero Harbisher"/>
    <x v="1"/>
    <s v="99-9093075"/>
    <m/>
    <x v="2"/>
    <x v="2"/>
    <x v="1"/>
  </r>
  <r>
    <s v="France"/>
    <n v="154936.24"/>
    <n v="135739.64000000001"/>
    <d v="2020-06-29T00:00:00"/>
    <s v="Books"/>
    <s v="Friesen-Rath"/>
    <s v="Othello Bowes"/>
    <s v="Ora Grennan"/>
    <x v="1"/>
    <s v="65-2631885"/>
    <m/>
    <x v="18"/>
    <x v="9"/>
    <x v="0"/>
  </r>
  <r>
    <s v="Sweden"/>
    <n v="115339.49"/>
    <n v="100691.37"/>
    <d v="2019-09-03T00:00:00"/>
    <s v="Outdoors"/>
    <s v="Farrell, Swaniawski and Crist"/>
    <s v="Maxie Marrow"/>
    <s v="Madelon Bront"/>
    <x v="0"/>
    <s v="03-4651559"/>
    <m/>
    <x v="1"/>
    <x v="1"/>
    <x v="1"/>
  </r>
  <r>
    <s v="France"/>
    <n v="65254.5"/>
    <n v="53919.79"/>
    <d v="2019-06-17T00:00:00"/>
    <s v="Games"/>
    <s v="Rowe, Hermiston and Kessler"/>
    <s v="Othello Bowes"/>
    <s v="Maighdiln Upcraft"/>
    <x v="1"/>
    <s v="91-6673445"/>
    <m/>
    <x v="15"/>
    <x v="9"/>
    <x v="1"/>
  </r>
  <r>
    <s v="Netherlands"/>
    <n v="50241.47"/>
    <n v="43443.8"/>
    <d v="2020-10-17T00:00:00"/>
    <s v="Books"/>
    <s v="Schmitt, Purdy and Johnson"/>
    <s v="Denice Amberg"/>
    <s v="Nero Harbisher"/>
    <x v="2"/>
    <s v="62-1501210"/>
    <m/>
    <x v="23"/>
    <x v="11"/>
    <x v="0"/>
  </r>
  <r>
    <s v="UK"/>
    <n v="304337.49"/>
    <n v="261730.24"/>
    <d v="2019-12-04T00:00:00"/>
    <s v="Clothing"/>
    <s v="Wunsch LLC"/>
    <s v="Jessamine Apark"/>
    <s v="Genevra Charrisson"/>
    <x v="1"/>
    <s v="29-0072186"/>
    <m/>
    <x v="4"/>
    <x v="4"/>
    <x v="1"/>
  </r>
  <r>
    <s v="Bulgaria"/>
    <n v="95960.77"/>
    <n v="76519.12"/>
    <d v="2020-10-11T00:00:00"/>
    <s v="Books"/>
    <s v="Hessel-Stiedemann"/>
    <s v="Charil Alpe"/>
    <s v="Bernadine Fullagar"/>
    <x v="1"/>
    <s v="06-5115020"/>
    <m/>
    <x v="23"/>
    <x v="11"/>
    <x v="0"/>
  </r>
  <r>
    <s v="Sweden"/>
    <n v="152522.94"/>
    <n v="122399.66"/>
    <d v="2020-04-11T00:00:00"/>
    <s v="Outdoors"/>
    <s v="Hane Inc"/>
    <s v="Maxie Marrow"/>
    <s v="Madelon Bront"/>
    <x v="1"/>
    <s v="22-6046651"/>
    <m/>
    <x v="3"/>
    <x v="3"/>
    <x v="0"/>
  </r>
  <r>
    <s v="Sweden"/>
    <n v="63196.98"/>
    <n v="54671.71"/>
    <d v="2019-04-18T00:00:00"/>
    <s v="Smartphones"/>
    <s v="Spencer, Rogahn and Muller"/>
    <s v="Maxie Marrow"/>
    <s v="Caro Morfield"/>
    <x v="1"/>
    <s v="71-6499815"/>
    <m/>
    <x v="21"/>
    <x v="3"/>
    <x v="1"/>
  </r>
  <r>
    <s v="Sweden"/>
    <n v="83119.87"/>
    <n v="69604.58"/>
    <d v="2019-01-29T00:00:00"/>
    <s v="Clothing"/>
    <s v="O'Connell-Mitchell"/>
    <s v="Maxie Marrow"/>
    <s v="Alyosha Meah"/>
    <x v="1"/>
    <s v="81-1454737"/>
    <m/>
    <x v="9"/>
    <x v="7"/>
    <x v="1"/>
  </r>
  <r>
    <s v="France"/>
    <n v="75483.45"/>
    <n v="60077.279999999999"/>
    <d v="2019-12-03T00:00:00"/>
    <s v="Appliances"/>
    <s v="Johns and Sons"/>
    <s v="Othello Bowes"/>
    <s v="Ora Grennan"/>
    <x v="1"/>
    <s v="26-0092767"/>
    <m/>
    <x v="4"/>
    <x v="4"/>
    <x v="1"/>
  </r>
  <r>
    <s v="Ireland"/>
    <n v="65397.279999999999"/>
    <n v="53920.06"/>
    <d v="2020-03-20T00:00:00"/>
    <s v="Outdoors"/>
    <s v="Baumbach Group"/>
    <s v="Glenine Suttaby"/>
    <s v="Bunnie Tonbridge"/>
    <x v="0"/>
    <s v="74-6211038"/>
    <m/>
    <x v="19"/>
    <x v="10"/>
    <x v="0"/>
  </r>
  <r>
    <s v="France"/>
    <n v="48890.14"/>
    <n v="41180.160000000003"/>
    <d v="2019-05-20T00:00:00"/>
    <s v="Clothing"/>
    <s v="Johns and Sons"/>
    <s v="Othello Bowes"/>
    <s v="Ora Grennan"/>
    <x v="1"/>
    <s v="85-5544928"/>
    <m/>
    <x v="10"/>
    <x v="6"/>
    <x v="1"/>
  </r>
  <r>
    <s v="France"/>
    <n v="80839.75"/>
    <n v="63936.160000000003"/>
    <d v="2020-05-21T00:00:00"/>
    <s v="Games"/>
    <s v="Goldner-Dibbert"/>
    <s v="Othello Bowes"/>
    <s v="Crysta Halls"/>
    <x v="1"/>
    <s v="00-6227453"/>
    <m/>
    <x v="8"/>
    <x v="6"/>
    <x v="0"/>
  </r>
  <r>
    <s v="Ireland"/>
    <n v="79375.17"/>
    <n v="64532.01"/>
    <d v="2020-02-09T00:00:00"/>
    <s v="Beauty"/>
    <s v="Hessel-Stiedemann"/>
    <s v="Glenine Suttaby"/>
    <s v="Bunnie Tonbridge"/>
    <x v="0"/>
    <s v="70-5224180"/>
    <m/>
    <x v="0"/>
    <x v="0"/>
    <x v="0"/>
  </r>
  <r>
    <s v="Bulgaria"/>
    <n v="158011.29999999999"/>
    <n v="137390.82999999999"/>
    <d v="2019-11-27T00:00:00"/>
    <s v="Beauty"/>
    <s v="Jacobson, Marvin and Brown"/>
    <s v="Charil Alpe"/>
    <s v="Bernadine Fullagar"/>
    <x v="1"/>
    <s v="40-8287610"/>
    <m/>
    <x v="14"/>
    <x v="8"/>
    <x v="1"/>
  </r>
  <r>
    <s v="Portugal"/>
    <n v="155766.23000000001"/>
    <n v="131529"/>
    <d v="2020-05-27T00:00:00"/>
    <s v="Games"/>
    <s v="Romaguera-Haley"/>
    <s v="Celine Tumasian"/>
    <s v="Aurelie Wren"/>
    <x v="1"/>
    <s v="49-7876403"/>
    <m/>
    <x v="8"/>
    <x v="6"/>
    <x v="0"/>
  </r>
  <r>
    <s v="France"/>
    <n v="19366.75"/>
    <n v="15857.49"/>
    <d v="2020-03-28T00:00:00"/>
    <s v="Games"/>
    <s v="Wisoky Inc"/>
    <s v="Othello Bowes"/>
    <s v="Avrit Chanders"/>
    <x v="1"/>
    <s v="01-6107437"/>
    <m/>
    <x v="19"/>
    <x v="10"/>
    <x v="0"/>
  </r>
  <r>
    <s v="France"/>
    <n v="45481.24"/>
    <n v="37317.360000000001"/>
    <d v="2019-10-25T00:00:00"/>
    <s v="Smartphones"/>
    <s v="Wiza and Sons"/>
    <s v="Othello Bowes"/>
    <s v="Crysta Halls"/>
    <x v="1"/>
    <s v="13-6163562"/>
    <m/>
    <x v="20"/>
    <x v="11"/>
    <x v="1"/>
  </r>
  <r>
    <s v="Sweden"/>
    <n v="152747.92000000001"/>
    <n v="130614.75"/>
    <d v="2020-05-03T00:00:00"/>
    <s v="Appliances"/>
    <s v="Armstrong-Little"/>
    <s v="Maxie Marrow"/>
    <s v="Anita Woakes"/>
    <x v="1"/>
    <s v="41-0722740"/>
    <m/>
    <x v="8"/>
    <x v="6"/>
    <x v="0"/>
  </r>
  <r>
    <s v="Sweden"/>
    <n v="255216"/>
    <n v="211446.46"/>
    <d v="2019-12-28T00:00:00"/>
    <s v="Clothing"/>
    <s v="Jacobson, Marvin and Brown"/>
    <s v="Maxie Marrow"/>
    <s v="Tarrah Castelletti"/>
    <x v="1"/>
    <s v="65-4008552"/>
    <m/>
    <x v="4"/>
    <x v="4"/>
    <x v="1"/>
  </r>
  <r>
    <s v="Portugal"/>
    <n v="154858"/>
    <n v="135376.85999999999"/>
    <d v="2020-07-22T00:00:00"/>
    <s v="Games"/>
    <s v="Dickinson, Hyatt and Berge"/>
    <s v="Celine Tumasian"/>
    <s v="Smitty Culverhouse"/>
    <x v="1"/>
    <s v="72-4825752"/>
    <m/>
    <x v="5"/>
    <x v="2"/>
    <x v="0"/>
  </r>
  <r>
    <s v="France"/>
    <n v="250488.42"/>
    <n v="214142.55"/>
    <d v="2020-06-13T00:00:00"/>
    <s v="Appliances"/>
    <s v="Goldner-Dibbert"/>
    <s v="Othello Bowes"/>
    <s v="Amelina Piscopiello"/>
    <x v="1"/>
    <s v="18-2580592"/>
    <m/>
    <x v="18"/>
    <x v="9"/>
    <x v="0"/>
  </r>
  <r>
    <s v="Sweden"/>
    <n v="115151.22"/>
    <n v="91430.07"/>
    <d v="2020-10-25T00:00:00"/>
    <s v="Appliances"/>
    <s v="Farrell, Swaniawski and Crist"/>
    <s v="Maxie Marrow"/>
    <s v="Madelon Bront"/>
    <x v="1"/>
    <s v="14-1283254"/>
    <m/>
    <x v="23"/>
    <x v="11"/>
    <x v="0"/>
  </r>
  <r>
    <s v="Sweden"/>
    <n v="57347.48"/>
    <n v="50041.41"/>
    <d v="2020-08-12T00:00:00"/>
    <s v="Beauty"/>
    <s v="Johns and Sons"/>
    <s v="Maxie Marrow"/>
    <s v="Madelon Bront"/>
    <x v="1"/>
    <s v="79-4826735"/>
    <m/>
    <x v="7"/>
    <x v="5"/>
    <x v="0"/>
  </r>
  <r>
    <s v="Portugal"/>
    <n v="74790.02"/>
    <n v="64992.53"/>
    <d v="2020-06-19T00:00:00"/>
    <s v="Beauty"/>
    <s v="Corwin and Sons"/>
    <s v="Celine Tumasian"/>
    <s v="Corene Shirer"/>
    <x v="1"/>
    <s v="82-2840501"/>
    <m/>
    <x v="18"/>
    <x v="9"/>
    <x v="0"/>
  </r>
  <r>
    <s v="France"/>
    <n v="72749.070000000007"/>
    <n v="59108.62"/>
    <d v="2019-01-20T00:00:00"/>
    <s v="Smartphones"/>
    <s v="Johns and Sons"/>
    <s v="Othello Bowes"/>
    <s v="Amelina Piscopiello"/>
    <x v="1"/>
    <s v="19-0320558"/>
    <m/>
    <x v="9"/>
    <x v="7"/>
    <x v="1"/>
  </r>
  <r>
    <s v="Bulgaria"/>
    <n v="128235.65"/>
    <n v="103024.52"/>
    <d v="2020-09-20T00:00:00"/>
    <s v="Books"/>
    <s v="Dickinson, Hyatt and Berge"/>
    <s v="Charil Alpe"/>
    <s v="Shermy McGready"/>
    <x v="1"/>
    <s v="57-0945292"/>
    <m/>
    <x v="22"/>
    <x v="1"/>
    <x v="0"/>
  </r>
  <r>
    <s v="Sweden"/>
    <n v="79088.7"/>
    <n v="67415.210000000006"/>
    <d v="2020-05-24T00:00:00"/>
    <s v="Beauty"/>
    <s v="McGlynn-Prosacco"/>
    <s v="Maxie Marrow"/>
    <s v="Tarrah Castelletti"/>
    <x v="1"/>
    <s v="01-6573793"/>
    <m/>
    <x v="8"/>
    <x v="6"/>
    <x v="0"/>
  </r>
  <r>
    <s v="UK"/>
    <n v="124537.47"/>
    <n v="105881.76"/>
    <d v="2019-09-24T00:00:00"/>
    <s v="Clothing"/>
    <s v="Hilll-Vandervort"/>
    <s v="Jessamine Apark"/>
    <s v="Winny Agnolo"/>
    <x v="1"/>
    <s v="63-0694419"/>
    <m/>
    <x v="1"/>
    <x v="1"/>
    <x v="1"/>
  </r>
  <r>
    <s v="Sweden"/>
    <n v="161192.45000000001"/>
    <n v="135965.82999999999"/>
    <d v="2019-07-04T00:00:00"/>
    <s v="Clothing"/>
    <s v="Wisoky Inc"/>
    <s v="Maxie Marrow"/>
    <s v="Tarrah Castelletti"/>
    <x v="1"/>
    <s v="24-2442637"/>
    <m/>
    <x v="2"/>
    <x v="2"/>
    <x v="1"/>
  </r>
  <r>
    <s v="France"/>
    <n v="109697.86"/>
    <n v="89853.52"/>
    <d v="2019-07-24T00:00:00"/>
    <s v="Beauty"/>
    <s v="Considine-Fisher"/>
    <s v="Othello Bowes"/>
    <s v="Crysta Halls"/>
    <x v="1"/>
    <s v="04-8899739"/>
    <m/>
    <x v="2"/>
    <x v="2"/>
    <x v="1"/>
  </r>
  <r>
    <s v="France"/>
    <n v="57276.26"/>
    <n v="49223.22"/>
    <d v="2020-04-04T00:00:00"/>
    <s v="Appliances"/>
    <s v="Johns and Sons"/>
    <s v="Othello Bowes"/>
    <s v="Amelina Piscopiello"/>
    <x v="1"/>
    <s v="48-2932903"/>
    <m/>
    <x v="3"/>
    <x v="3"/>
    <x v="0"/>
  </r>
  <r>
    <s v="Netherlands"/>
    <n v="149956.93"/>
    <n v="130087.64"/>
    <d v="2020-10-08T00:00:00"/>
    <s v="Games"/>
    <s v="Spencer, Rogahn and Muller"/>
    <s v="Denice Amberg"/>
    <s v="Nero Harbisher"/>
    <x v="1"/>
    <s v="66-0265458"/>
    <m/>
    <x v="23"/>
    <x v="11"/>
    <x v="0"/>
  </r>
  <r>
    <s v="Italy"/>
    <n v="127075.41"/>
    <n v="110924.13"/>
    <d v="2019-09-24T00:00:00"/>
    <s v="Clothing"/>
    <s v="Labadie and Sons"/>
    <s v="Piggy Roscrigg"/>
    <s v="Joshua Prevost"/>
    <x v="1"/>
    <s v="57-6602854"/>
    <m/>
    <x v="1"/>
    <x v="1"/>
    <x v="1"/>
  </r>
  <r>
    <s v="Sweden"/>
    <n v="28755.32"/>
    <n v="23938.799999999999"/>
    <d v="2019-10-10T00:00:00"/>
    <s v="Books"/>
    <s v="Murray, Reichel and Nolan"/>
    <s v="Maxie Marrow"/>
    <s v="Madelon Bront"/>
    <x v="1"/>
    <s v="47-6702070"/>
    <m/>
    <x v="20"/>
    <x v="11"/>
    <x v="1"/>
  </r>
  <r>
    <s v="Portugal"/>
    <n v="178027.46"/>
    <n v="144985.56"/>
    <d v="2020-01-04T00:00:00"/>
    <s v="Appliances"/>
    <s v="Wisoky Inc"/>
    <s v="Celine Tumasian"/>
    <s v="Corene Shirer"/>
    <x v="1"/>
    <s v="99-9215178"/>
    <m/>
    <x v="11"/>
    <x v="7"/>
    <x v="0"/>
  </r>
  <r>
    <s v="Bulgaria"/>
    <n v="152231.85999999999"/>
    <n v="122303.08"/>
    <d v="2019-05-08T00:00:00"/>
    <s v="Smartphones"/>
    <s v="Smith Group"/>
    <s v="Charil Alpe"/>
    <s v="Shermy McGready"/>
    <x v="1"/>
    <s v="39-5953116"/>
    <m/>
    <x v="10"/>
    <x v="6"/>
    <x v="1"/>
  </r>
  <r>
    <s v="Sweden"/>
    <n v="53957.42"/>
    <n v="46905.19"/>
    <d v="2019-05-25T00:00:00"/>
    <s v="Smartphones"/>
    <s v="Johns and Sons"/>
    <s v="Maxie Marrow"/>
    <s v="Caro Morfield"/>
    <x v="1"/>
    <s v="71-3278650"/>
    <m/>
    <x v="10"/>
    <x v="6"/>
    <x v="1"/>
  </r>
  <r>
    <s v="Portugal"/>
    <n v="80474.78"/>
    <n v="66568.740000000005"/>
    <d v="2019-05-22T00:00:00"/>
    <s v="Clothing"/>
    <s v="Farrell, Swaniawski and Crist"/>
    <s v="Celine Tumasian"/>
    <s v="Hortense Gerring"/>
    <x v="1"/>
    <s v="38-6891011"/>
    <m/>
    <x v="10"/>
    <x v="6"/>
    <x v="1"/>
  </r>
  <r>
    <s v="Bulgaria"/>
    <n v="145439.65"/>
    <n v="123710.97"/>
    <d v="2020-10-03T00:00:00"/>
    <s v="Smartphones"/>
    <s v="Friesen and Sons"/>
    <s v="Charil Alpe"/>
    <s v="Bernadine Fullagar"/>
    <x v="1"/>
    <s v="06-5566367"/>
    <m/>
    <x v="23"/>
    <x v="11"/>
    <x v="0"/>
  </r>
  <r>
    <s v="France"/>
    <n v="84035.82"/>
    <n v="71329.600000000006"/>
    <d v="2020-10-27T00:00:00"/>
    <s v="Books"/>
    <s v="Johns and Sons"/>
    <s v="Othello Bowes"/>
    <s v="Maighdiln Upcraft"/>
    <x v="2"/>
    <s v="30-9025281"/>
    <m/>
    <x v="23"/>
    <x v="11"/>
    <x v="0"/>
  </r>
  <r>
    <s v="Spain"/>
    <n v="68288.679999999993"/>
    <n v="56754.720000000001"/>
    <d v="2020-09-27T00:00:00"/>
    <s v="Beauty"/>
    <s v="Johns and Sons"/>
    <s v="Emalia Dinse"/>
    <s v="Bertha Walbrook"/>
    <x v="1"/>
    <s v="80-4161102"/>
    <m/>
    <x v="22"/>
    <x v="1"/>
    <x v="0"/>
  </r>
  <r>
    <s v="Sweden"/>
    <n v="100578.6"/>
    <n v="83208.679999999993"/>
    <d v="2019-01-14T00:00:00"/>
    <s v="Electronics"/>
    <s v="Labadie and Sons"/>
    <s v="Maxie Marrow"/>
    <s v="Caro Morfield"/>
    <x v="1"/>
    <s v="96-1388247"/>
    <m/>
    <x v="9"/>
    <x v="7"/>
    <x v="1"/>
  </r>
  <r>
    <s v="France"/>
    <n v="94925"/>
    <n v="77572.710000000006"/>
    <d v="2019-09-30T00:00:00"/>
    <s v="Accessories"/>
    <s v="Schoen-Keeling"/>
    <s v="Othello Bowes"/>
    <s v="Avrit Chanders"/>
    <x v="0"/>
    <s v="21-2097342"/>
    <m/>
    <x v="1"/>
    <x v="1"/>
    <x v="1"/>
  </r>
  <r>
    <s v="France"/>
    <n v="105464.41"/>
    <n v="84761.75"/>
    <d v="2019-08-27T00:00:00"/>
    <s v="Books"/>
    <s v="Schmitt, Purdy and Johnson"/>
    <s v="Othello Bowes"/>
    <s v="Avrit Chanders"/>
    <x v="1"/>
    <s v="30-4045249"/>
    <m/>
    <x v="12"/>
    <x v="5"/>
    <x v="1"/>
  </r>
  <r>
    <s v="France"/>
    <n v="155827.29999999999"/>
    <n v="126360.36"/>
    <d v="2019-04-30T00:00:00"/>
    <s v="Appliances"/>
    <s v="Hilll-Vandervort"/>
    <s v="Othello Bowes"/>
    <s v="Avrit Chanders"/>
    <x v="2"/>
    <s v="31-9806848"/>
    <m/>
    <x v="21"/>
    <x v="3"/>
    <x v="1"/>
  </r>
  <r>
    <s v="Portugal"/>
    <n v="90994.31"/>
    <n v="72540.66"/>
    <d v="2020-05-09T00:00:00"/>
    <s v="Electronics"/>
    <s v="Zieme, Bailey and Herzog"/>
    <s v="Celine Tumasian"/>
    <s v="Brynn Dempster"/>
    <x v="1"/>
    <s v="09-7835975"/>
    <m/>
    <x v="8"/>
    <x v="6"/>
    <x v="0"/>
  </r>
  <r>
    <s v="Portugal"/>
    <n v="32779.67"/>
    <n v="26800.66"/>
    <d v="2020-03-22T00:00:00"/>
    <s v="Outdoors"/>
    <s v="Kihn Inc"/>
    <s v="Celine Tumasian"/>
    <s v="Aurelie Wren"/>
    <x v="1"/>
    <s v="16-9758497"/>
    <m/>
    <x v="19"/>
    <x v="10"/>
    <x v="0"/>
  </r>
  <r>
    <s v="Bulgaria"/>
    <n v="40187.99"/>
    <n v="32508.07"/>
    <d v="2020-05-22T00:00:00"/>
    <s v="Games"/>
    <s v="Friesen-Rath"/>
    <s v="Charil Alpe"/>
    <s v="Shermy McGready"/>
    <x v="1"/>
    <s v="54-1058965"/>
    <m/>
    <x v="8"/>
    <x v="6"/>
    <x v="0"/>
  </r>
  <r>
    <s v="UK"/>
    <n v="91842.59"/>
    <n v="73979.210000000006"/>
    <d v="2019-03-29T00:00:00"/>
    <s v="Games"/>
    <s v="Marquardt-Kuvalis"/>
    <s v="Jessamine Apark"/>
    <s v="Genevra Charrisson"/>
    <x v="1"/>
    <s v="84-0565956"/>
    <m/>
    <x v="16"/>
    <x v="10"/>
    <x v="1"/>
  </r>
  <r>
    <s v="Portugal"/>
    <n v="38494.71"/>
    <n v="33113.15"/>
    <d v="2019-02-04T00:00:00"/>
    <s v="Games"/>
    <s v="Wisoky Inc"/>
    <s v="Celine Tumasian"/>
    <s v="Hortense Gerring"/>
    <x v="1"/>
    <s v="85-6263705"/>
    <m/>
    <x v="6"/>
    <x v="0"/>
    <x v="1"/>
  </r>
  <r>
    <s v="France"/>
    <n v="86050.61"/>
    <n v="75569.649999999994"/>
    <d v="2020-09-03T00:00:00"/>
    <s v="Clothing"/>
    <s v="McClure Inc"/>
    <s v="Othello Bowes"/>
    <s v="Crysta Halls"/>
    <x v="1"/>
    <s v="46-4560578"/>
    <m/>
    <x v="22"/>
    <x v="1"/>
    <x v="0"/>
  </r>
  <r>
    <s v="Sweden"/>
    <n v="36749.51"/>
    <n v="30101.52"/>
    <d v="2020-10-15T00:00:00"/>
    <s v="Games"/>
    <s v="Hilll-Vandervort"/>
    <s v="Maxie Marrow"/>
    <s v="Madelon Bront"/>
    <x v="1"/>
    <s v="08-5093310"/>
    <m/>
    <x v="23"/>
    <x v="11"/>
    <x v="0"/>
  </r>
  <r>
    <s v="Finland"/>
    <n v="194531.02"/>
    <n v="158970.75"/>
    <d v="2019-07-09T00:00:00"/>
    <s v="Clothing"/>
    <s v="Farrell, Swaniawski and Crist"/>
    <s v="Hube Corey"/>
    <s v="Mellicent Mattys"/>
    <x v="2"/>
    <s v="21-8525376"/>
    <m/>
    <x v="2"/>
    <x v="2"/>
    <x v="1"/>
  </r>
  <r>
    <s v="France"/>
    <n v="106730.16"/>
    <n v="89503.91"/>
    <d v="2020-07-30T00:00:00"/>
    <s v="Beauty"/>
    <s v="Farrell, Swaniawski and Crist"/>
    <s v="Othello Bowes"/>
    <s v="Ora Grennan"/>
    <x v="1"/>
    <s v="60-0406937"/>
    <m/>
    <x v="5"/>
    <x v="2"/>
    <x v="0"/>
  </r>
  <r>
    <s v="Germany"/>
    <n v="30177.8"/>
    <n v="23924.959999999999"/>
    <d v="2020-10-06T00:00:00"/>
    <s v="Electronics"/>
    <s v="Leffler, Prohaska and Streich"/>
    <s v="Rickard Doogood"/>
    <s v="Casie MacBain"/>
    <x v="0"/>
    <s v="61-4937643"/>
    <m/>
    <x v="23"/>
    <x v="11"/>
    <x v="0"/>
  </r>
  <r>
    <s v="Portugal"/>
    <n v="93902.04"/>
    <n v="80793.31"/>
    <d v="2020-03-01T00:00:00"/>
    <s v="Clothing"/>
    <s v="Tillman and Sons"/>
    <s v="Celine Tumasian"/>
    <s v="Aurelie Wren"/>
    <x v="1"/>
    <s v="94-3251589"/>
    <m/>
    <x v="19"/>
    <x v="10"/>
    <x v="0"/>
  </r>
  <r>
    <s v="Germany"/>
    <n v="250483.63"/>
    <n v="217269.5"/>
    <d v="2020-07-03T00:00:00"/>
    <s v="Accessories"/>
    <s v="Considine-Fisher"/>
    <s v="Rickard Doogood"/>
    <s v="Casie MacBain"/>
    <x v="0"/>
    <s v="48-2124998"/>
    <m/>
    <x v="5"/>
    <x v="2"/>
    <x v="0"/>
  </r>
  <r>
    <s v="Sweden"/>
    <n v="162142.74"/>
    <n v="136037.76000000001"/>
    <d v="2019-01-29T00:00:00"/>
    <s v="Clothing"/>
    <s v="Kirlin and Sons"/>
    <s v="Maxie Marrow"/>
    <s v="Alyosha Meah"/>
    <x v="1"/>
    <s v="19-1017922"/>
    <m/>
    <x v="9"/>
    <x v="7"/>
    <x v="1"/>
  </r>
  <r>
    <s v="Denmark"/>
    <n v="47516.54"/>
    <n v="38987.32"/>
    <d v="2020-01-09T00:00:00"/>
    <s v="Books"/>
    <s v="Johns and Sons"/>
    <s v="Modestia Byfford"/>
    <s v="Cobby Andersen"/>
    <x v="1"/>
    <s v="51-1141675"/>
    <m/>
    <x v="11"/>
    <x v="7"/>
    <x v="0"/>
  </r>
  <r>
    <s v="Germany"/>
    <n v="163546.81"/>
    <n v="133307"/>
    <d v="2019-05-07T00:00:00"/>
    <s v="Electronics"/>
    <s v="Lueilwitz, Kerluke and Lesch"/>
    <s v="Rickard Doogood"/>
    <s v="Casie MacBain"/>
    <x v="1"/>
    <s v="94-2134593"/>
    <m/>
    <x v="10"/>
    <x v="6"/>
    <x v="1"/>
  </r>
  <r>
    <s v="France"/>
    <n v="35437.89"/>
    <n v="30412.799999999999"/>
    <d v="2020-02-03T00:00:00"/>
    <s v="Clothing"/>
    <s v="Homenick-Marvin"/>
    <s v="Othello Bowes"/>
    <s v="Ora Grennan"/>
    <x v="1"/>
    <s v="82-0616982"/>
    <m/>
    <x v="0"/>
    <x v="0"/>
    <x v="0"/>
  </r>
  <r>
    <s v="Belgium"/>
    <n v="122889.28"/>
    <n v="103042.66"/>
    <d v="2020-11-27T00:00:00"/>
    <s v="Smartphones"/>
    <s v="Labadie and Sons"/>
    <s v="Lambert Norheny"/>
    <s v="Collin Mackness"/>
    <x v="1"/>
    <s v="22-5761330"/>
    <m/>
    <x v="13"/>
    <x v="8"/>
    <x v="0"/>
  </r>
  <r>
    <s v="Luxembourg"/>
    <n v="26490.47"/>
    <n v="21168.53"/>
    <d v="2019-11-04T00:00:00"/>
    <s v="Appliances"/>
    <s v="Hessel-Stiedemann"/>
    <s v="Ilsa Kob"/>
    <s v="Jocelyn Laurentino"/>
    <x v="1"/>
    <s v="62-1694462"/>
    <m/>
    <x v="14"/>
    <x v="8"/>
    <x v="1"/>
  </r>
  <r>
    <s v="UK"/>
    <n v="173722.59"/>
    <n v="148063.76"/>
    <d v="2019-04-09T00:00:00"/>
    <s v="Games"/>
    <s v="Schowalter, Lesch and Beahan"/>
    <s v="Jessamine Apark"/>
    <s v="Jay Morefield"/>
    <x v="1"/>
    <s v="66-2612057"/>
    <m/>
    <x v="21"/>
    <x v="3"/>
    <x v="1"/>
  </r>
  <r>
    <s v="France"/>
    <n v="76543.360000000001"/>
    <n v="65819.64"/>
    <d v="2019-03-21T00:00:00"/>
    <s v="Accessories"/>
    <s v="Hermiston, Simonis and Wisoky"/>
    <s v="Othello Bowes"/>
    <s v="Ora Grennan"/>
    <x v="1"/>
    <s v="01-7655863"/>
    <m/>
    <x v="16"/>
    <x v="10"/>
    <x v="1"/>
  </r>
  <r>
    <s v="Sweden"/>
    <n v="69626.39"/>
    <n v="57295.56"/>
    <d v="2019-06-15T00:00:00"/>
    <s v="Electronics"/>
    <s v="Hamill, Kulas and Roob"/>
    <s v="Maxie Marrow"/>
    <s v="Madelon Bront"/>
    <x v="1"/>
    <s v="06-2196763"/>
    <m/>
    <x v="15"/>
    <x v="9"/>
    <x v="1"/>
  </r>
  <r>
    <s v="France"/>
    <n v="249915.21"/>
    <n v="215326.95"/>
    <d v="2020-12-15T00:00:00"/>
    <s v="Appliances"/>
    <s v="Armstrong-Little"/>
    <s v="Othello Bowes"/>
    <s v="Crysta Halls"/>
    <x v="1"/>
    <s v="84-4465649"/>
    <m/>
    <x v="17"/>
    <x v="4"/>
    <x v="0"/>
  </r>
  <r>
    <s v="Portugal"/>
    <n v="55790.71"/>
    <n v="48783.4"/>
    <d v="2020-10-08T00:00:00"/>
    <s v="Appliances"/>
    <s v="Johns and Sons"/>
    <s v="Celine Tumasian"/>
    <s v="Corene Shirer"/>
    <x v="1"/>
    <s v="63-6767584"/>
    <m/>
    <x v="23"/>
    <x v="11"/>
    <x v="0"/>
  </r>
  <r>
    <s v="Netherlands"/>
    <n v="77896.83"/>
    <n v="62714.74"/>
    <d v="2020-03-13T00:00:00"/>
    <s v="Clothing"/>
    <s v="Dibbert Inc"/>
    <s v="Denice Amberg"/>
    <s v="Nero Harbisher"/>
    <x v="1"/>
    <s v="75-7443241"/>
    <m/>
    <x v="19"/>
    <x v="10"/>
    <x v="0"/>
  </r>
  <r>
    <s v="Portugal"/>
    <n v="104391.93"/>
    <n v="86770.57"/>
    <d v="2020-01-04T00:00:00"/>
    <s v="Beauty"/>
    <s v="Murray, Reichel and Nolan"/>
    <s v="Celine Tumasian"/>
    <s v="Brynn Dempster"/>
    <x v="1"/>
    <s v="34-8182639"/>
    <m/>
    <x v="11"/>
    <x v="7"/>
    <x v="0"/>
  </r>
  <r>
    <s v="Portugal"/>
    <n v="57115.99"/>
    <n v="48976.959999999999"/>
    <d v="2019-03-27T00:00:00"/>
    <s v="Books"/>
    <s v="Lind, Mueller and Stoltenberg"/>
    <s v="Celine Tumasian"/>
    <s v="Aurelie Wren"/>
    <x v="0"/>
    <s v="53-3803984"/>
    <m/>
    <x v="16"/>
    <x v="10"/>
    <x v="1"/>
  </r>
  <r>
    <s v="France"/>
    <n v="74685.850000000006"/>
    <n v="59166.13"/>
    <d v="2020-05-23T00:00:00"/>
    <s v="Games"/>
    <s v="Lubowitz, McLaughlin and Erdman"/>
    <s v="Othello Bowes"/>
    <s v="Avrit Chanders"/>
    <x v="1"/>
    <s v="68-0176456"/>
    <m/>
    <x v="8"/>
    <x v="6"/>
    <x v="0"/>
  </r>
  <r>
    <s v="France"/>
    <n v="74103.820000000007"/>
    <n v="64811.199999999997"/>
    <d v="2020-01-02T00:00:00"/>
    <s v="Appliances"/>
    <s v="Johns and Sons"/>
    <s v="Othello Bowes"/>
    <s v="Ora Grennan"/>
    <x v="1"/>
    <s v="63-7370049"/>
    <m/>
    <x v="11"/>
    <x v="7"/>
    <x v="0"/>
  </r>
  <r>
    <s v="France"/>
    <n v="176190.16"/>
    <n v="142273.54999999999"/>
    <d v="2019-09-02T00:00:00"/>
    <s v="Appliances"/>
    <s v="Johns and Sons"/>
    <s v="Othello Bowes"/>
    <s v="Maighdiln Upcraft"/>
    <x v="1"/>
    <s v="03-3461826"/>
    <m/>
    <x v="1"/>
    <x v="1"/>
    <x v="1"/>
  </r>
  <r>
    <s v="Sweden"/>
    <n v="185778.3"/>
    <n v="154734.75"/>
    <d v="2020-06-25T00:00:00"/>
    <s v="Electronics"/>
    <s v="Jacobson, Marvin and Brown"/>
    <s v="Maxie Marrow"/>
    <s v="Tarrah Castelletti"/>
    <x v="1"/>
    <s v="76-5888381"/>
    <m/>
    <x v="18"/>
    <x v="9"/>
    <x v="0"/>
  </r>
  <r>
    <s v="France"/>
    <n v="212521.26"/>
    <n v="172014.71"/>
    <d v="2019-06-20T00:00:00"/>
    <s v="Books"/>
    <s v="Johns and Sons"/>
    <s v="Othello Bowes"/>
    <s v="Crysta Halls"/>
    <x v="1"/>
    <s v="43-7357498"/>
    <m/>
    <x v="15"/>
    <x v="9"/>
    <x v="1"/>
  </r>
  <r>
    <s v="France"/>
    <n v="40148.49"/>
    <n v="31954.18"/>
    <d v="2019-02-02T00:00:00"/>
    <s v="Electronics"/>
    <s v="Hane Inc"/>
    <s v="Othello Bowes"/>
    <s v="Amelina Piscopiello"/>
    <x v="1"/>
    <s v="88-8981595"/>
    <m/>
    <x v="6"/>
    <x v="0"/>
    <x v="1"/>
  </r>
  <r>
    <s v="Portugal"/>
    <n v="157942.65"/>
    <n v="136620.39000000001"/>
    <d v="2020-06-23T00:00:00"/>
    <s v="Electronics"/>
    <s v="Hessel-Stiedemann"/>
    <s v="Celine Tumasian"/>
    <s v="Brynn Dempster"/>
    <x v="1"/>
    <s v="95-6123269"/>
    <m/>
    <x v="18"/>
    <x v="9"/>
    <x v="0"/>
  </r>
  <r>
    <s v="Netherlands"/>
    <n v="172453.1"/>
    <n v="145688.38"/>
    <d v="2020-06-24T00:00:00"/>
    <s v="Outdoors"/>
    <s v="Kirlin and Sons"/>
    <s v="Denice Amberg"/>
    <s v="Nero Harbisher"/>
    <x v="1"/>
    <s v="60-6986682"/>
    <m/>
    <x v="18"/>
    <x v="9"/>
    <x v="0"/>
  </r>
  <r>
    <s v="France"/>
    <n v="203604.46"/>
    <n v="175344.16"/>
    <d v="2019-06-26T00:00:00"/>
    <s v="Electronics"/>
    <s v="Kirlin and Sons"/>
    <s v="Othello Bowes"/>
    <s v="Crysta Halls"/>
    <x v="0"/>
    <s v="29-5478106"/>
    <m/>
    <x v="15"/>
    <x v="9"/>
    <x v="1"/>
  </r>
  <r>
    <s v="Sweden"/>
    <n v="251587.20000000001"/>
    <n v="201848.41"/>
    <d v="2019-06-14T00:00:00"/>
    <s v="Smartphones"/>
    <s v="Schowalter, Lesch and Beahan"/>
    <s v="Maxie Marrow"/>
    <s v="Alyosha Meah"/>
    <x v="0"/>
    <s v="49-2256360"/>
    <m/>
    <x v="15"/>
    <x v="9"/>
    <x v="1"/>
  </r>
  <r>
    <s v="Sweden"/>
    <n v="19930.04"/>
    <n v="16543.93"/>
    <d v="2019-03-09T00:00:00"/>
    <s v="Smartphones"/>
    <s v="Johns and Sons"/>
    <s v="Maxie Marrow"/>
    <s v="Anita Woakes"/>
    <x v="2"/>
    <s v="59-2480731"/>
    <m/>
    <x v="16"/>
    <x v="10"/>
    <x v="1"/>
  </r>
  <r>
    <s v="Bulgaria"/>
    <n v="149372.32"/>
    <n v="130611.16"/>
    <d v="2020-12-20T00:00:00"/>
    <s v="Electronics"/>
    <s v="Abbott, Roberts and Torp"/>
    <s v="Charil Alpe"/>
    <s v="Shermy McGready"/>
    <x v="0"/>
    <s v="63-6848448"/>
    <m/>
    <x v="17"/>
    <x v="4"/>
    <x v="0"/>
  </r>
  <r>
    <s v="Sweden"/>
    <n v="25907.52"/>
    <n v="22454.05"/>
    <d v="2019-02-19T00:00:00"/>
    <s v="Books"/>
    <s v="Farrell, Swaniawski and Crist"/>
    <s v="Maxie Marrow"/>
    <s v="Alyosha Meah"/>
    <x v="1"/>
    <s v="14-5110197"/>
    <m/>
    <x v="6"/>
    <x v="0"/>
    <x v="1"/>
  </r>
  <r>
    <s v="Portugal"/>
    <n v="64762.89"/>
    <n v="54238.92"/>
    <d v="2019-02-06T00:00:00"/>
    <s v="Electronics"/>
    <s v="Schoen-Keeling"/>
    <s v="Celine Tumasian"/>
    <s v="Hortense Gerring"/>
    <x v="1"/>
    <s v="42-2646312"/>
    <m/>
    <x v="6"/>
    <x v="0"/>
    <x v="1"/>
  </r>
  <r>
    <s v="Finland"/>
    <n v="65211.07"/>
    <n v="56883.62"/>
    <d v="2020-10-28T00:00:00"/>
    <s v="Games"/>
    <s v="Hilll-Vandervort"/>
    <s v="Hube Corey"/>
    <s v="Mellicent Mattys"/>
    <x v="1"/>
    <s v="60-8083173"/>
    <m/>
    <x v="23"/>
    <x v="11"/>
    <x v="0"/>
  </r>
  <r>
    <s v="Spain"/>
    <n v="42475.6"/>
    <n v="35802.68"/>
    <d v="2019-02-13T00:00:00"/>
    <s v="Books"/>
    <s v="Johns and Sons"/>
    <s v="Emalia Dinse"/>
    <s v="Perri Aldersley"/>
    <x v="1"/>
    <s v="76-1827989"/>
    <m/>
    <x v="6"/>
    <x v="0"/>
    <x v="1"/>
  </r>
  <r>
    <s v="Portugal"/>
    <n v="172340.86"/>
    <n v="136562.9"/>
    <d v="2020-04-09T00:00:00"/>
    <s v="Beauty"/>
    <s v="Tromp LLC"/>
    <s v="Celine Tumasian"/>
    <s v="Hortense Gerring"/>
    <x v="1"/>
    <s v="36-4321653"/>
    <m/>
    <x v="3"/>
    <x v="3"/>
    <x v="0"/>
  </r>
  <r>
    <s v="Ireland"/>
    <n v="165709.19"/>
    <n v="138102.04"/>
    <d v="2020-10-09T00:00:00"/>
    <s v="Smartphones"/>
    <s v="Considine-Fisher"/>
    <s v="Glenine Suttaby"/>
    <s v="Bunnie Tonbridge"/>
    <x v="1"/>
    <s v="18-7046062"/>
    <m/>
    <x v="23"/>
    <x v="11"/>
    <x v="0"/>
  </r>
  <r>
    <s v="Italy"/>
    <n v="118409.59"/>
    <n v="96030.18"/>
    <d v="2020-10-06T00:00:00"/>
    <s v="Games"/>
    <s v="Bashirian, Okuneva and Bechtelar"/>
    <s v="Piggy Roscrigg"/>
    <s v="Joshua Prevost"/>
    <x v="1"/>
    <s v="73-4380400"/>
    <m/>
    <x v="23"/>
    <x v="11"/>
    <x v="0"/>
  </r>
  <r>
    <s v="France"/>
    <n v="58416.11"/>
    <n v="48076.46"/>
    <d v="2020-05-16T00:00:00"/>
    <s v="Appliances"/>
    <s v="Stehr LLC"/>
    <s v="Othello Bowes"/>
    <s v="Maighdiln Upcraft"/>
    <x v="1"/>
    <s v="47-5051773"/>
    <m/>
    <x v="8"/>
    <x v="6"/>
    <x v="0"/>
  </r>
  <r>
    <s v="France"/>
    <n v="78629.19"/>
    <n v="63359.4"/>
    <d v="2019-02-21T00:00:00"/>
    <s v="Appliances"/>
    <s v="Johns and Sons"/>
    <s v="Othello Bowes"/>
    <s v="Amelina Piscopiello"/>
    <x v="0"/>
    <s v="92-3687989"/>
    <m/>
    <x v="6"/>
    <x v="0"/>
    <x v="1"/>
  </r>
  <r>
    <s v="Sweden"/>
    <n v="64842.92"/>
    <n v="56439.28"/>
    <d v="2019-09-29T00:00:00"/>
    <s v="Appliances"/>
    <s v="Larkin-Collier"/>
    <s v="Maxie Marrow"/>
    <s v="Alyosha Meah"/>
    <x v="0"/>
    <s v="60-9753536"/>
    <m/>
    <x v="1"/>
    <x v="1"/>
    <x v="1"/>
  </r>
  <r>
    <s v="Belgium"/>
    <n v="76183.740000000005"/>
    <n v="61617.41"/>
    <d v="2019-06-03T00:00:00"/>
    <s v="Clothing"/>
    <s v="Hermiston, Simonis and Wisoky"/>
    <s v="Lambert Norheny"/>
    <s v="Collin Mackness"/>
    <x v="0"/>
    <s v="39-5658730"/>
    <m/>
    <x v="15"/>
    <x v="9"/>
    <x v="1"/>
  </r>
  <r>
    <s v="Sweden"/>
    <n v="131839.16"/>
    <n v="115372.45"/>
    <d v="2020-04-27T00:00:00"/>
    <s v="Books"/>
    <s v="McGlynn-Prosacco"/>
    <s v="Maxie Marrow"/>
    <s v="Madelon Bront"/>
    <x v="1"/>
    <s v="73-8632957"/>
    <m/>
    <x v="3"/>
    <x v="3"/>
    <x v="0"/>
  </r>
  <r>
    <s v="Portugal"/>
    <n v="147092.62"/>
    <n v="117806.48"/>
    <d v="2020-10-31T00:00:00"/>
    <s v="Clothing"/>
    <s v="Fisher, Morar and Skiles"/>
    <s v="Celine Tumasian"/>
    <s v="Hortense Gerring"/>
    <x v="1"/>
    <s v="16-0987104"/>
    <m/>
    <x v="23"/>
    <x v="11"/>
    <x v="0"/>
  </r>
  <r>
    <s v="Finland"/>
    <n v="62011.86"/>
    <n v="49324.23"/>
    <d v="2019-01-17T00:00:00"/>
    <s v="Beauty"/>
    <s v="Johns and Sons"/>
    <s v="Hube Corey"/>
    <s v="Mellicent Mattys"/>
    <x v="2"/>
    <s v="76-0164425"/>
    <m/>
    <x v="9"/>
    <x v="7"/>
    <x v="1"/>
  </r>
  <r>
    <s v="Portugal"/>
    <n v="56763.040000000001"/>
    <n v="47663.92"/>
    <d v="2019-08-11T00:00:00"/>
    <s v="Smartphones"/>
    <s v="Kirlin and Sons"/>
    <s v="Celine Tumasian"/>
    <s v="Aurelie Wren"/>
    <x v="0"/>
    <s v="87-7908481"/>
    <m/>
    <x v="12"/>
    <x v="5"/>
    <x v="1"/>
  </r>
  <r>
    <s v="Portugal"/>
    <n v="78057.960000000006"/>
    <n v="67161.070000000007"/>
    <d v="2020-11-29T00:00:00"/>
    <s v="Beauty"/>
    <s v="Swaniawski, Runolfsson and Green"/>
    <s v="Celine Tumasian"/>
    <s v="Hortense Gerring"/>
    <x v="2"/>
    <s v="30-7149594"/>
    <m/>
    <x v="13"/>
    <x v="8"/>
    <x v="0"/>
  </r>
  <r>
    <s v="UK"/>
    <n v="96358.45"/>
    <n v="80700.2"/>
    <d v="2019-06-12T00:00:00"/>
    <s v="Outdoors"/>
    <s v="Stamm-Zulauf"/>
    <s v="Jessamine Apark"/>
    <s v="Genevra Charrisson"/>
    <x v="1"/>
    <s v="75-7848944"/>
    <m/>
    <x v="15"/>
    <x v="9"/>
    <x v="1"/>
  </r>
  <r>
    <s v="France"/>
    <n v="40535.64"/>
    <n v="35480.85"/>
    <d v="2019-01-13T00:00:00"/>
    <s v="Electronics"/>
    <s v="Kihn Inc"/>
    <s v="Othello Bowes"/>
    <s v="Crysta Halls"/>
    <x v="1"/>
    <s v="72-2796883"/>
    <m/>
    <x v="9"/>
    <x v="7"/>
    <x v="1"/>
  </r>
  <r>
    <s v="France"/>
    <n v="96795.99"/>
    <n v="81395.75"/>
    <d v="2019-06-21T00:00:00"/>
    <s v="Appliances"/>
    <s v="Connelly-Mohr"/>
    <s v="Othello Bowes"/>
    <s v="Avrit Chanders"/>
    <x v="1"/>
    <s v="32-3124563"/>
    <m/>
    <x v="15"/>
    <x v="9"/>
    <x v="1"/>
  </r>
  <r>
    <s v="Portugal"/>
    <n v="122035.93"/>
    <n v="97897.22"/>
    <d v="2020-06-21T00:00:00"/>
    <s v="Accessories"/>
    <s v="Larkin-Collier"/>
    <s v="Celine Tumasian"/>
    <s v="Aurelie Wren"/>
    <x v="1"/>
    <s v="83-7592334"/>
    <m/>
    <x v="18"/>
    <x v="9"/>
    <x v="0"/>
  </r>
  <r>
    <s v="Sweden"/>
    <n v="89502.53"/>
    <n v="72488.100000000006"/>
    <d v="2020-10-31T00:00:00"/>
    <s v="Clothing"/>
    <s v="Gleichner-Green"/>
    <s v="Maxie Marrow"/>
    <s v="Tarrah Castelletti"/>
    <x v="1"/>
    <s v="61-3721294"/>
    <m/>
    <x v="23"/>
    <x v="11"/>
    <x v="0"/>
  </r>
  <r>
    <s v="Portugal"/>
    <n v="223233.32"/>
    <n v="179100.09"/>
    <d v="2019-06-28T00:00:00"/>
    <s v="Games"/>
    <s v="Romaguera-Dietrich"/>
    <s v="Celine Tumasian"/>
    <s v="Corene Shirer"/>
    <x v="1"/>
    <s v="43-8355995"/>
    <m/>
    <x v="15"/>
    <x v="9"/>
    <x v="1"/>
  </r>
  <r>
    <s v="Finland"/>
    <n v="33190.03"/>
    <n v="28397.39"/>
    <d v="2020-08-18T00:00:00"/>
    <s v="Electronics"/>
    <s v="Homenick-Marvin"/>
    <s v="Hube Corey"/>
    <s v="Wat Bowkley"/>
    <x v="2"/>
    <s v="49-2458036"/>
    <m/>
    <x v="7"/>
    <x v="5"/>
    <x v="0"/>
  </r>
  <r>
    <s v="Portugal"/>
    <n v="82357.570000000007"/>
    <n v="65474.27"/>
    <d v="2019-02-19T00:00:00"/>
    <s v="Books"/>
    <s v="Kihn Inc"/>
    <s v="Celine Tumasian"/>
    <s v="Aurelie Wren"/>
    <x v="1"/>
    <s v="13-9607758"/>
    <m/>
    <x v="6"/>
    <x v="0"/>
    <x v="1"/>
  </r>
  <r>
    <s v="Ireland"/>
    <n v="46857.77"/>
    <n v="39116.870000000003"/>
    <d v="2020-06-19T00:00:00"/>
    <s v="Games"/>
    <s v="Johns and Sons"/>
    <s v="Glenine Suttaby"/>
    <s v="Palm Wetherald"/>
    <x v="0"/>
    <s v="61-0888460"/>
    <m/>
    <x v="18"/>
    <x v="9"/>
    <x v="0"/>
  </r>
  <r>
    <s v="UK"/>
    <n v="178560.1"/>
    <n v="150383.32"/>
    <d v="2020-07-02T00:00:00"/>
    <s v="Books"/>
    <s v="O'Connell-Mitchell"/>
    <s v="Jessamine Apark"/>
    <s v="Winny Agnolo"/>
    <x v="0"/>
    <s v="25-2616039"/>
    <m/>
    <x v="5"/>
    <x v="2"/>
    <x v="0"/>
  </r>
  <r>
    <s v="Sweden"/>
    <n v="173944.47"/>
    <n v="139729.59"/>
    <d v="2020-09-11T00:00:00"/>
    <s v="Books"/>
    <s v="Johns and Sons"/>
    <s v="Maxie Marrow"/>
    <s v="Madelon Bront"/>
    <x v="1"/>
    <s v="46-2962443"/>
    <m/>
    <x v="22"/>
    <x v="1"/>
    <x v="0"/>
  </r>
  <r>
    <s v="UK"/>
    <n v="176662.26"/>
    <n v="146859.34"/>
    <d v="2020-06-28T00:00:00"/>
    <s v="Electronics"/>
    <s v="Friesen-Rath"/>
    <s v="Jessamine Apark"/>
    <s v="Genevra Charrisson"/>
    <x v="1"/>
    <s v="44-9908550"/>
    <m/>
    <x v="18"/>
    <x v="9"/>
    <x v="0"/>
  </r>
  <r>
    <s v="France"/>
    <n v="133754.65"/>
    <n v="106147.69"/>
    <d v="2020-09-18T00:00:00"/>
    <s v="Games"/>
    <s v="Armstrong-Little"/>
    <s v="Othello Bowes"/>
    <s v="Ora Grennan"/>
    <x v="1"/>
    <s v="52-3150154"/>
    <m/>
    <x v="22"/>
    <x v="1"/>
    <x v="0"/>
  </r>
  <r>
    <s v="Bulgaria"/>
    <n v="159294.28"/>
    <n v="130605.38"/>
    <d v="2020-08-09T00:00:00"/>
    <s v="Clothing"/>
    <s v="Hamill, Kulas and Roob"/>
    <s v="Charil Alpe"/>
    <s v="Shermy McGready"/>
    <x v="1"/>
    <s v="37-9761957"/>
    <m/>
    <x v="7"/>
    <x v="5"/>
    <x v="0"/>
  </r>
  <r>
    <s v="France"/>
    <n v="123562.02"/>
    <n v="102927.16"/>
    <d v="2020-04-22T00:00:00"/>
    <s v="Clothing"/>
    <s v="McGlynn-Bergstrom"/>
    <s v="Othello Bowes"/>
    <s v="Amelina Piscopiello"/>
    <x v="1"/>
    <s v="67-6072579"/>
    <m/>
    <x v="3"/>
    <x v="3"/>
    <x v="0"/>
  </r>
  <r>
    <s v="France"/>
    <n v="33013.08"/>
    <n v="26743.9"/>
    <d v="2020-11-28T00:00:00"/>
    <s v="Electronics"/>
    <s v="Romaguera-Dietrich"/>
    <s v="Othello Bowes"/>
    <s v="Amelina Piscopiello"/>
    <x v="1"/>
    <s v="89-0300778"/>
    <m/>
    <x v="13"/>
    <x v="8"/>
    <x v="0"/>
  </r>
  <r>
    <s v="Portugal"/>
    <n v="105340.85"/>
    <n v="87285.43"/>
    <d v="2020-08-18T00:00:00"/>
    <s v="Books"/>
    <s v="Farrell, Swaniawski and Crist"/>
    <s v="Celine Tumasian"/>
    <s v="Brynn Dempster"/>
    <x v="1"/>
    <s v="80-1894360"/>
    <m/>
    <x v="7"/>
    <x v="5"/>
    <x v="0"/>
  </r>
  <r>
    <s v="Spain"/>
    <n v="127143.54"/>
    <n v="105033.28"/>
    <d v="2019-10-03T00:00:00"/>
    <s v="Electronics"/>
    <s v="Murray, Reichel and Nolan"/>
    <s v="Emalia Dinse"/>
    <s v="Bertha Walbrook"/>
    <x v="1"/>
    <s v="58-2235320"/>
    <m/>
    <x v="20"/>
    <x v="11"/>
    <x v="1"/>
  </r>
  <r>
    <s v="Portugal"/>
    <n v="56570.64"/>
    <n v="46993.23"/>
    <d v="2020-10-05T00:00:00"/>
    <s v="Books"/>
    <s v="Stamm Inc"/>
    <s v="Celine Tumasian"/>
    <s v="Smitty Culverhouse"/>
    <x v="1"/>
    <s v="68-9875936"/>
    <m/>
    <x v="23"/>
    <x v="11"/>
    <x v="0"/>
  </r>
  <r>
    <s v="France"/>
    <n v="75522.66"/>
    <n v="60448.34"/>
    <d v="2019-03-13T00:00:00"/>
    <s v="Smartphones"/>
    <s v="Corwin and Sons"/>
    <s v="Othello Bowes"/>
    <s v="Crysta Halls"/>
    <x v="1"/>
    <s v="75-8968627"/>
    <m/>
    <x v="16"/>
    <x v="10"/>
    <x v="1"/>
  </r>
  <r>
    <s v="Portugal"/>
    <n v="87085.71"/>
    <n v="76548.34"/>
    <d v="2020-08-27T00:00:00"/>
    <s v="Outdoors"/>
    <s v="West-Cummings"/>
    <s v="Celine Tumasian"/>
    <s v="Smitty Culverhouse"/>
    <x v="1"/>
    <s v="86-9456489"/>
    <m/>
    <x v="7"/>
    <x v="5"/>
    <x v="0"/>
  </r>
  <r>
    <s v="UK"/>
    <n v="290010.78999999998"/>
    <n v="234444.72"/>
    <d v="2019-12-25T00:00:00"/>
    <s v="Smartphones"/>
    <s v="Smith Group"/>
    <s v="Jessamine Apark"/>
    <s v="Genevra Charrisson"/>
    <x v="1"/>
    <s v="02-1124101"/>
    <m/>
    <x v="4"/>
    <x v="4"/>
    <x v="1"/>
  </r>
  <r>
    <s v="Luxembourg"/>
    <n v="256603.66"/>
    <n v="209799.15"/>
    <d v="2019-07-27T00:00:00"/>
    <s v="Smartphones"/>
    <s v="O'Connell-Mitchell"/>
    <s v="Ilsa Kob"/>
    <s v="Jocelyn Laurentino"/>
    <x v="2"/>
    <s v="85-9787047"/>
    <m/>
    <x v="2"/>
    <x v="2"/>
    <x v="1"/>
  </r>
  <r>
    <s v="UK"/>
    <n v="126074.62"/>
    <n v="100027.6"/>
    <d v="2020-11-07T00:00:00"/>
    <s v="Books"/>
    <s v="Gislason-Stanton"/>
    <s v="Jessamine Apark"/>
    <s v="Winny Agnolo"/>
    <x v="1"/>
    <s v="60-7663173"/>
    <m/>
    <x v="13"/>
    <x v="8"/>
    <x v="0"/>
  </r>
  <r>
    <s v="Sweden"/>
    <n v="94085.5"/>
    <n v="77498.23"/>
    <d v="2020-01-19T00:00:00"/>
    <s v="Electronics"/>
    <s v="Zieme, Bailey and Herzog"/>
    <s v="Maxie Marrow"/>
    <s v="Caro Morfield"/>
    <x v="1"/>
    <s v="34-1570975"/>
    <m/>
    <x v="11"/>
    <x v="7"/>
    <x v="0"/>
  </r>
  <r>
    <s v="Portugal"/>
    <n v="159216.47"/>
    <n v="137419.74"/>
    <d v="2020-06-26T00:00:00"/>
    <s v="Games"/>
    <s v="Johns and Sons"/>
    <s v="Celine Tumasian"/>
    <s v="Smitty Culverhouse"/>
    <x v="1"/>
    <s v="57-9765345"/>
    <m/>
    <x v="18"/>
    <x v="9"/>
    <x v="0"/>
  </r>
  <r>
    <s v="Portugal"/>
    <n v="74958.460000000006"/>
    <n v="65806.03"/>
    <d v="2020-08-05T00:00:00"/>
    <s v="Electronics"/>
    <s v="Hessel-Stiedemann"/>
    <s v="Celine Tumasian"/>
    <s v="Smitty Culverhouse"/>
    <x v="1"/>
    <s v="31-8846200"/>
    <m/>
    <x v="7"/>
    <x v="5"/>
    <x v="0"/>
  </r>
  <r>
    <s v="Sweden"/>
    <n v="83897.88"/>
    <n v="69559.73"/>
    <d v="2019-03-18T00:00:00"/>
    <s v="Appliances"/>
    <s v="Franecki-White"/>
    <s v="Maxie Marrow"/>
    <s v="Anita Woakes"/>
    <x v="0"/>
    <s v="48-6452102"/>
    <m/>
    <x v="16"/>
    <x v="10"/>
    <x v="1"/>
  </r>
  <r>
    <s v="Sweden"/>
    <n v="133055.04000000001"/>
    <n v="105366.29"/>
    <d v="2019-11-10T00:00:00"/>
    <s v="Books"/>
    <s v="Hegmann Group"/>
    <s v="Maxie Marrow"/>
    <s v="Tarrah Castelletti"/>
    <x v="1"/>
    <s v="85-9541179"/>
    <m/>
    <x v="14"/>
    <x v="8"/>
    <x v="1"/>
  </r>
  <r>
    <s v="Sweden"/>
    <n v="94115.99"/>
    <n v="75669.259999999995"/>
    <d v="2019-09-16T00:00:00"/>
    <s v="Appliances"/>
    <s v="Swaniawski, Runolfsson and Green"/>
    <s v="Maxie Marrow"/>
    <s v="Tarrah Castelletti"/>
    <x v="1"/>
    <s v="93-2085046"/>
    <m/>
    <x v="1"/>
    <x v="1"/>
    <x v="1"/>
  </r>
  <r>
    <s v="Finland"/>
    <n v="125851.79"/>
    <n v="103777.39"/>
    <d v="2020-11-15T00:00:00"/>
    <s v="Games"/>
    <s v="Wunsch LLC"/>
    <s v="Hube Corey"/>
    <s v="Mellicent Mattys"/>
    <x v="1"/>
    <s v="03-6962760"/>
    <m/>
    <x v="13"/>
    <x v="8"/>
    <x v="0"/>
  </r>
  <r>
    <s v="Netherlands"/>
    <n v="60917.85"/>
    <n v="52736.58"/>
    <d v="2019-02-17T00:00:00"/>
    <s v="Smartphones"/>
    <s v="Smith Group"/>
    <s v="Denice Amberg"/>
    <s v="Nero Harbisher"/>
    <x v="1"/>
    <s v="15-3241183"/>
    <m/>
    <x v="6"/>
    <x v="0"/>
    <x v="1"/>
  </r>
  <r>
    <s v="France"/>
    <n v="101318.72"/>
    <n v="86657.9"/>
    <d v="2019-04-13T00:00:00"/>
    <s v="Games"/>
    <s v="Hilll-Vandervort"/>
    <s v="Othello Bowes"/>
    <s v="Maighdiln Upcraft"/>
    <x v="1"/>
    <s v="54-5705354"/>
    <m/>
    <x v="21"/>
    <x v="3"/>
    <x v="1"/>
  </r>
  <r>
    <s v="Portugal"/>
    <n v="131610.37"/>
    <n v="106406.98"/>
    <d v="2020-04-30T00:00:00"/>
    <s v="Beauty"/>
    <s v="O'Connell-Mitchell"/>
    <s v="Celine Tumasian"/>
    <s v="Corene Shirer"/>
    <x v="1"/>
    <s v="29-1888759"/>
    <m/>
    <x v="3"/>
    <x v="3"/>
    <x v="0"/>
  </r>
  <r>
    <s v="France"/>
    <n v="235042.75"/>
    <n v="187446.59"/>
    <d v="2019-12-25T00:00:00"/>
    <s v="Books"/>
    <s v="Christiansen, Donnelly and Bechtelar"/>
    <s v="Othello Bowes"/>
    <s v="Maighdiln Upcraft"/>
    <x v="1"/>
    <s v="12-3815754"/>
    <m/>
    <x v="4"/>
    <x v="4"/>
    <x v="1"/>
  </r>
  <r>
    <s v="Ireland"/>
    <n v="58921.31"/>
    <n v="51715.23"/>
    <d v="2020-12-13T00:00:00"/>
    <s v="Games"/>
    <s v="Johns and Sons"/>
    <s v="Glenine Suttaby"/>
    <s v="Bunnie Tonbridge"/>
    <x v="1"/>
    <s v="30-4823900"/>
    <m/>
    <x v="17"/>
    <x v="4"/>
    <x v="0"/>
  </r>
  <r>
    <s v="Portugal"/>
    <n v="101846.87"/>
    <n v="88066.99"/>
    <d v="2019-01-07T00:00:00"/>
    <s v="Clothing"/>
    <s v="Corwin and Sons"/>
    <s v="Celine Tumasian"/>
    <s v="Aurelie Wren"/>
    <x v="1"/>
    <s v="72-9074281"/>
    <m/>
    <x v="9"/>
    <x v="7"/>
    <x v="1"/>
  </r>
  <r>
    <s v="France"/>
    <n v="95307.21"/>
    <n v="78533.14"/>
    <d v="2020-03-26T00:00:00"/>
    <s v="Books"/>
    <s v="Armstrong-Little"/>
    <s v="Othello Bowes"/>
    <s v="Amelina Piscopiello"/>
    <x v="1"/>
    <s v="52-0213558"/>
    <m/>
    <x v="19"/>
    <x v="10"/>
    <x v="0"/>
  </r>
  <r>
    <s v="France"/>
    <n v="232217.05"/>
    <n v="191439.74"/>
    <d v="2019-06-20T00:00:00"/>
    <s v="Beauty"/>
    <s v="Hessel-Stiedemann"/>
    <s v="Othello Bowes"/>
    <s v="Maighdiln Upcraft"/>
    <x v="0"/>
    <s v="19-6334792"/>
    <m/>
    <x v="15"/>
    <x v="9"/>
    <x v="1"/>
  </r>
  <r>
    <s v="Portugal"/>
    <n v="75912.59"/>
    <n v="60145.55"/>
    <d v="2019-10-14T00:00:00"/>
    <s v="Outdoors"/>
    <s v="Wisoky Inc"/>
    <s v="Celine Tumasian"/>
    <s v="Corene Shirer"/>
    <x v="0"/>
    <s v="35-4712641"/>
    <m/>
    <x v="20"/>
    <x v="11"/>
    <x v="1"/>
  </r>
  <r>
    <s v="Portugal"/>
    <n v="57367.93"/>
    <n v="46255.76"/>
    <d v="2019-10-28T00:00:00"/>
    <s v="Clothing"/>
    <s v="Friesen-Rath"/>
    <s v="Celine Tumasian"/>
    <s v="Aurelie Wren"/>
    <x v="0"/>
    <s v="03-3542738"/>
    <m/>
    <x v="20"/>
    <x v="11"/>
    <x v="1"/>
  </r>
  <r>
    <s v="Portugal"/>
    <n v="158240.24"/>
    <n v="136561.32999999999"/>
    <d v="2020-11-23T00:00:00"/>
    <s v="Books"/>
    <s v="Hessel-Stiedemann"/>
    <s v="Celine Tumasian"/>
    <s v="Brynn Dempster"/>
    <x v="1"/>
    <s v="81-9457605"/>
    <m/>
    <x v="13"/>
    <x v="8"/>
    <x v="0"/>
  </r>
  <r>
    <s v="Portugal"/>
    <n v="97291.62"/>
    <n v="76899.3"/>
    <d v="2020-01-02T00:00:00"/>
    <s v="Clothing"/>
    <s v="Johns and Sons"/>
    <s v="Celine Tumasian"/>
    <s v="Hortense Gerring"/>
    <x v="1"/>
    <s v="63-0813030"/>
    <m/>
    <x v="11"/>
    <x v="7"/>
    <x v="0"/>
  </r>
  <r>
    <s v="Portugal"/>
    <n v="83904.320000000007"/>
    <n v="69011.3"/>
    <d v="2020-06-07T00:00:00"/>
    <s v="Games"/>
    <s v="Hartmann, Hane and Pfannerstill"/>
    <s v="Celine Tumasian"/>
    <s v="Corene Shirer"/>
    <x v="1"/>
    <s v="00-7326184"/>
    <m/>
    <x v="18"/>
    <x v="9"/>
    <x v="0"/>
  </r>
  <r>
    <s v="UK"/>
    <n v="133696.85999999999"/>
    <n v="109310.55"/>
    <d v="2020-01-27T00:00:00"/>
    <s v="Books"/>
    <s v="Hilll-Vandervort"/>
    <s v="Jessamine Apark"/>
    <s v="Winny Agnolo"/>
    <x v="1"/>
    <s v="22-0156233"/>
    <m/>
    <x v="11"/>
    <x v="7"/>
    <x v="0"/>
  </r>
  <r>
    <s v="UK"/>
    <n v="146076.81"/>
    <n v="123230.39999999999"/>
    <d v="2019-07-27T00:00:00"/>
    <s v="Appliances"/>
    <s v="Johns and Sons"/>
    <s v="Jessamine Apark"/>
    <s v="Genevra Charrisson"/>
    <x v="1"/>
    <s v="94-0623186"/>
    <m/>
    <x v="2"/>
    <x v="2"/>
    <x v="1"/>
  </r>
  <r>
    <s v="France"/>
    <n v="56118.05"/>
    <n v="47711.57"/>
    <d v="2020-03-02T00:00:00"/>
    <s v="Beauty"/>
    <s v="Altenwerth-Konopelski"/>
    <s v="Othello Bowes"/>
    <s v="Amelina Piscopiello"/>
    <x v="1"/>
    <s v="08-0446109"/>
    <m/>
    <x v="19"/>
    <x v="10"/>
    <x v="0"/>
  </r>
  <r>
    <s v="France"/>
    <n v="46296.26"/>
    <n v="40319.410000000003"/>
    <d v="2020-05-15T00:00:00"/>
    <s v="Games"/>
    <s v="Wisoky Inc"/>
    <s v="Othello Bowes"/>
    <s v="Amelina Piscopiello"/>
    <x v="2"/>
    <s v="77-3489084"/>
    <m/>
    <x v="8"/>
    <x v="6"/>
    <x v="0"/>
  </r>
  <r>
    <s v="Belgium"/>
    <n v="118061.05"/>
    <n v="101131.1"/>
    <d v="2020-07-02T00:00:00"/>
    <s v="Appliances"/>
    <s v="Johns and Sons"/>
    <s v="Lambert Norheny"/>
    <s v="Collin Mackness"/>
    <x v="0"/>
    <s v="59-2117058"/>
    <m/>
    <x v="5"/>
    <x v="2"/>
    <x v="0"/>
  </r>
  <r>
    <s v="Finland"/>
    <n v="74480.56"/>
    <n v="60023.88"/>
    <d v="2020-03-06T00:00:00"/>
    <s v="Clothing"/>
    <s v="Homenick-Marvin"/>
    <s v="Hube Corey"/>
    <s v="Wat Bowkley"/>
    <x v="1"/>
    <s v="31-1849120"/>
    <m/>
    <x v="19"/>
    <x v="10"/>
    <x v="0"/>
  </r>
  <r>
    <s v="Spain"/>
    <n v="87205.01"/>
    <n v="69171.009999999995"/>
    <d v="2020-06-18T00:00:00"/>
    <s v="Games"/>
    <s v="Johns and Sons"/>
    <s v="Emalia Dinse"/>
    <s v="Manuel Goudie"/>
    <x v="2"/>
    <s v="45-3085595"/>
    <m/>
    <x v="18"/>
    <x v="9"/>
    <x v="0"/>
  </r>
  <r>
    <s v="Portugal"/>
    <n v="107716.72"/>
    <n v="86679.64"/>
    <d v="2020-01-18T00:00:00"/>
    <s v="Accessories"/>
    <s v="Jacobson, Marvin and Brown"/>
    <s v="Celine Tumasian"/>
    <s v="Brynn Dempster"/>
    <x v="0"/>
    <s v="61-3294149"/>
    <m/>
    <x v="11"/>
    <x v="7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7524.02"/>
    <x v="0"/>
    <d v="2020-02-12T00:00:00"/>
    <x v="0"/>
    <x v="0"/>
    <x v="0"/>
    <x v="0"/>
    <x v="0"/>
    <s v="70-0511466"/>
    <m/>
    <n v="202002"/>
    <x v="0"/>
    <x v="0"/>
    <x v="0"/>
  </r>
  <r>
    <x v="1"/>
    <n v="116563.4"/>
    <x v="1"/>
    <d v="2019-09-26T00:00:00"/>
    <x v="1"/>
    <x v="1"/>
    <x v="1"/>
    <x v="1"/>
    <x v="0"/>
    <s v="28-6585323"/>
    <m/>
    <n v="201909"/>
    <x v="1"/>
    <x v="1"/>
    <x v="1"/>
  </r>
  <r>
    <x v="2"/>
    <n v="296465.56"/>
    <x v="2"/>
    <d v="2019-07-11T00:00:00"/>
    <x v="2"/>
    <x v="2"/>
    <x v="2"/>
    <x v="2"/>
    <x v="1"/>
    <s v="58-7703341"/>
    <m/>
    <n v="201907"/>
    <x v="2"/>
    <x v="1"/>
    <x v="2"/>
  </r>
  <r>
    <x v="2"/>
    <n v="74532.02"/>
    <x v="3"/>
    <d v="2020-04-02T00:00:00"/>
    <x v="3"/>
    <x v="3"/>
    <x v="2"/>
    <x v="3"/>
    <x v="1"/>
    <s v="14-6700183"/>
    <m/>
    <n v="202004"/>
    <x v="3"/>
    <x v="0"/>
    <x v="3"/>
  </r>
  <r>
    <x v="3"/>
    <n v="178763.42"/>
    <x v="4"/>
    <d v="2019-12-22T00:00:00"/>
    <x v="1"/>
    <x v="4"/>
    <x v="3"/>
    <x v="4"/>
    <x v="2"/>
    <s v="15-8765160"/>
    <m/>
    <n v="201912"/>
    <x v="4"/>
    <x v="1"/>
    <x v="4"/>
  </r>
  <r>
    <x v="3"/>
    <n v="84900.24"/>
    <x v="5"/>
    <d v="2020-07-14T00:00:00"/>
    <x v="2"/>
    <x v="5"/>
    <x v="3"/>
    <x v="5"/>
    <x v="1"/>
    <s v="60-6998932"/>
    <m/>
    <n v="202007"/>
    <x v="2"/>
    <x v="0"/>
    <x v="2"/>
  </r>
  <r>
    <x v="2"/>
    <n v="71620.08"/>
    <x v="6"/>
    <d v="2019-02-05T00:00:00"/>
    <x v="0"/>
    <x v="6"/>
    <x v="2"/>
    <x v="2"/>
    <x v="1"/>
    <s v="69-6259390"/>
    <m/>
    <n v="201902"/>
    <x v="0"/>
    <x v="1"/>
    <x v="0"/>
  </r>
  <r>
    <x v="4"/>
    <n v="156585.22"/>
    <x v="7"/>
    <d v="2020-08-30T00:00:00"/>
    <x v="4"/>
    <x v="7"/>
    <x v="4"/>
    <x v="6"/>
    <x v="1"/>
    <s v="64-5761908"/>
    <m/>
    <n v="202008"/>
    <x v="5"/>
    <x v="0"/>
    <x v="5"/>
  </r>
  <r>
    <x v="2"/>
    <n v="78461.13"/>
    <x v="8"/>
    <d v="2020-05-10T00:00:00"/>
    <x v="5"/>
    <x v="3"/>
    <x v="2"/>
    <x v="2"/>
    <x v="0"/>
    <s v="91-4126746"/>
    <m/>
    <n v="202005"/>
    <x v="6"/>
    <x v="0"/>
    <x v="6"/>
  </r>
  <r>
    <x v="5"/>
    <n v="64827.8"/>
    <x v="9"/>
    <d v="2019-01-20T00:00:00"/>
    <x v="5"/>
    <x v="8"/>
    <x v="5"/>
    <x v="7"/>
    <x v="1"/>
    <s v="62-3312495"/>
    <m/>
    <n v="201901"/>
    <x v="7"/>
    <x v="1"/>
    <x v="7"/>
  </r>
  <r>
    <x v="0"/>
    <n v="142664.34"/>
    <x v="10"/>
    <d v="2019-05-04T00:00:00"/>
    <x v="5"/>
    <x v="9"/>
    <x v="0"/>
    <x v="0"/>
    <x v="1"/>
    <s v="85-6625096"/>
    <m/>
    <n v="201905"/>
    <x v="6"/>
    <x v="1"/>
    <x v="6"/>
  </r>
  <r>
    <x v="4"/>
    <n v="66673.19"/>
    <x v="11"/>
    <d v="2019-02-23T00:00:00"/>
    <x v="6"/>
    <x v="8"/>
    <x v="4"/>
    <x v="6"/>
    <x v="1"/>
    <s v="25-6368157"/>
    <m/>
    <n v="201902"/>
    <x v="0"/>
    <x v="1"/>
    <x v="0"/>
  </r>
  <r>
    <x v="2"/>
    <n v="136915.60999999999"/>
    <x v="12"/>
    <d v="2020-01-04T00:00:00"/>
    <x v="7"/>
    <x v="3"/>
    <x v="2"/>
    <x v="3"/>
    <x v="2"/>
    <s v="15-3943365"/>
    <m/>
    <n v="202001"/>
    <x v="7"/>
    <x v="0"/>
    <x v="7"/>
  </r>
  <r>
    <x v="4"/>
    <n v="164971.70000000001"/>
    <x v="13"/>
    <d v="2019-07-20T00:00:00"/>
    <x v="4"/>
    <x v="10"/>
    <x v="4"/>
    <x v="6"/>
    <x v="1"/>
    <s v="32-3534634"/>
    <m/>
    <n v="201907"/>
    <x v="2"/>
    <x v="1"/>
    <x v="2"/>
  </r>
  <r>
    <x v="4"/>
    <n v="149486.26999999999"/>
    <x v="14"/>
    <d v="2019-08-06T00:00:00"/>
    <x v="3"/>
    <x v="4"/>
    <x v="4"/>
    <x v="8"/>
    <x v="1"/>
    <s v="02-3972649"/>
    <m/>
    <n v="201908"/>
    <x v="5"/>
    <x v="1"/>
    <x v="5"/>
  </r>
  <r>
    <x v="0"/>
    <n v="54078.92"/>
    <x v="15"/>
    <d v="2020-11-08T00:00:00"/>
    <x v="0"/>
    <x v="11"/>
    <x v="0"/>
    <x v="9"/>
    <x v="1"/>
    <s v="08-7576451"/>
    <m/>
    <n v="202011"/>
    <x v="8"/>
    <x v="0"/>
    <x v="8"/>
  </r>
  <r>
    <x v="5"/>
    <n v="107499.78"/>
    <x v="16"/>
    <d v="2019-02-26T00:00:00"/>
    <x v="6"/>
    <x v="12"/>
    <x v="5"/>
    <x v="10"/>
    <x v="1"/>
    <s v="68-3583935"/>
    <m/>
    <n v="201902"/>
    <x v="0"/>
    <x v="1"/>
    <x v="0"/>
  </r>
  <r>
    <x v="4"/>
    <n v="29493.79"/>
    <x v="17"/>
    <d v="2019-11-22T00:00:00"/>
    <x v="1"/>
    <x v="11"/>
    <x v="4"/>
    <x v="11"/>
    <x v="1"/>
    <s v="53-7769693"/>
    <m/>
    <n v="201911"/>
    <x v="8"/>
    <x v="1"/>
    <x v="8"/>
  </r>
  <r>
    <x v="2"/>
    <n v="147656.51999999999"/>
    <x v="18"/>
    <d v="2019-06-05T00:00:00"/>
    <x v="6"/>
    <x v="0"/>
    <x v="2"/>
    <x v="12"/>
    <x v="1"/>
    <s v="85-4732103"/>
    <m/>
    <n v="201906"/>
    <x v="9"/>
    <x v="1"/>
    <x v="9"/>
  </r>
  <r>
    <x v="2"/>
    <n v="156839.31"/>
    <x v="19"/>
    <d v="2020-05-11T00:00:00"/>
    <x v="6"/>
    <x v="13"/>
    <x v="2"/>
    <x v="12"/>
    <x v="1"/>
    <s v="27-9800293"/>
    <m/>
    <n v="202005"/>
    <x v="6"/>
    <x v="0"/>
    <x v="6"/>
  </r>
  <r>
    <x v="3"/>
    <n v="81412.100000000006"/>
    <x v="20"/>
    <d v="2019-11-06T00:00:00"/>
    <x v="8"/>
    <x v="4"/>
    <x v="3"/>
    <x v="4"/>
    <x v="1"/>
    <s v="67-3929836"/>
    <m/>
    <n v="201911"/>
    <x v="8"/>
    <x v="1"/>
    <x v="8"/>
  </r>
  <r>
    <x v="0"/>
    <n v="56717.53"/>
    <x v="21"/>
    <d v="2019-03-10T00:00:00"/>
    <x v="2"/>
    <x v="4"/>
    <x v="0"/>
    <x v="13"/>
    <x v="1"/>
    <s v="13-0526029"/>
    <m/>
    <n v="201903"/>
    <x v="10"/>
    <x v="1"/>
    <x v="10"/>
  </r>
  <r>
    <x v="6"/>
    <n v="17028.189999999999"/>
    <x v="22"/>
    <d v="2020-02-07T00:00:00"/>
    <x v="2"/>
    <x v="4"/>
    <x v="6"/>
    <x v="14"/>
    <x v="1"/>
    <s v="38-5910704"/>
    <m/>
    <n v="202002"/>
    <x v="0"/>
    <x v="0"/>
    <x v="0"/>
  </r>
  <r>
    <x v="1"/>
    <n v="236462.3"/>
    <x v="23"/>
    <d v="2020-12-23T00:00:00"/>
    <x v="2"/>
    <x v="3"/>
    <x v="1"/>
    <x v="1"/>
    <x v="1"/>
    <s v="41-6407014"/>
    <m/>
    <n v="202012"/>
    <x v="4"/>
    <x v="0"/>
    <x v="4"/>
  </r>
  <r>
    <x v="2"/>
    <n v="172989.17"/>
    <x v="24"/>
    <d v="2020-06-10T00:00:00"/>
    <x v="3"/>
    <x v="14"/>
    <x v="2"/>
    <x v="15"/>
    <x v="1"/>
    <s v="22-6745595"/>
    <m/>
    <n v="202006"/>
    <x v="9"/>
    <x v="0"/>
    <x v="9"/>
  </r>
  <r>
    <x v="0"/>
    <n v="48179.57"/>
    <x v="25"/>
    <d v="2020-08-14T00:00:00"/>
    <x v="0"/>
    <x v="15"/>
    <x v="0"/>
    <x v="9"/>
    <x v="1"/>
    <s v="96-3022721"/>
    <m/>
    <n v="202008"/>
    <x v="5"/>
    <x v="0"/>
    <x v="5"/>
  </r>
  <r>
    <x v="2"/>
    <n v="121318.55"/>
    <x v="26"/>
    <d v="2020-03-10T00:00:00"/>
    <x v="8"/>
    <x v="16"/>
    <x v="2"/>
    <x v="3"/>
    <x v="2"/>
    <s v="48-0713329"/>
    <m/>
    <n v="202003"/>
    <x v="10"/>
    <x v="0"/>
    <x v="10"/>
  </r>
  <r>
    <x v="7"/>
    <n v="93153.98"/>
    <x v="27"/>
    <d v="2020-04-03T00:00:00"/>
    <x v="5"/>
    <x v="17"/>
    <x v="7"/>
    <x v="16"/>
    <x v="0"/>
    <s v="50-0942872"/>
    <m/>
    <n v="202004"/>
    <x v="3"/>
    <x v="0"/>
    <x v="3"/>
  </r>
  <r>
    <x v="8"/>
    <n v="98289.32"/>
    <x v="28"/>
    <d v="2019-02-15T00:00:00"/>
    <x v="5"/>
    <x v="18"/>
    <x v="8"/>
    <x v="17"/>
    <x v="1"/>
    <s v="78-2307905"/>
    <m/>
    <n v="201902"/>
    <x v="0"/>
    <x v="1"/>
    <x v="0"/>
  </r>
  <r>
    <x v="9"/>
    <n v="108920.56"/>
    <x v="29"/>
    <d v="2019-07-08T00:00:00"/>
    <x v="0"/>
    <x v="9"/>
    <x v="9"/>
    <x v="18"/>
    <x v="1"/>
    <s v="63-0019978"/>
    <m/>
    <n v="201907"/>
    <x v="2"/>
    <x v="1"/>
    <x v="2"/>
  </r>
  <r>
    <x v="2"/>
    <n v="37273.839999999997"/>
    <x v="30"/>
    <d v="2020-01-20T00:00:00"/>
    <x v="1"/>
    <x v="19"/>
    <x v="2"/>
    <x v="3"/>
    <x v="2"/>
    <s v="26-9948924"/>
    <m/>
    <n v="202001"/>
    <x v="7"/>
    <x v="0"/>
    <x v="7"/>
  </r>
  <r>
    <x v="3"/>
    <n v="221745.05"/>
    <x v="31"/>
    <d v="2019-06-25T00:00:00"/>
    <x v="5"/>
    <x v="20"/>
    <x v="3"/>
    <x v="4"/>
    <x v="0"/>
    <s v="72-7630507"/>
    <m/>
    <n v="201906"/>
    <x v="9"/>
    <x v="1"/>
    <x v="9"/>
  </r>
  <r>
    <x v="6"/>
    <n v="54566.99"/>
    <x v="32"/>
    <d v="2020-03-23T00:00:00"/>
    <x v="6"/>
    <x v="21"/>
    <x v="6"/>
    <x v="14"/>
    <x v="1"/>
    <s v="36-3410564"/>
    <m/>
    <n v="202003"/>
    <x v="10"/>
    <x v="0"/>
    <x v="10"/>
  </r>
  <r>
    <x v="2"/>
    <n v="111639.29"/>
    <x v="33"/>
    <d v="2019-10-28T00:00:00"/>
    <x v="6"/>
    <x v="22"/>
    <x v="2"/>
    <x v="15"/>
    <x v="1"/>
    <s v="82-4653018"/>
    <m/>
    <n v="201910"/>
    <x v="11"/>
    <x v="1"/>
    <x v="11"/>
  </r>
  <r>
    <x v="0"/>
    <n v="74273.539999999994"/>
    <x v="34"/>
    <d v="2020-03-28T00:00:00"/>
    <x v="3"/>
    <x v="9"/>
    <x v="0"/>
    <x v="19"/>
    <x v="1"/>
    <s v="29-1001593"/>
    <m/>
    <n v="202003"/>
    <x v="10"/>
    <x v="0"/>
    <x v="10"/>
  </r>
  <r>
    <x v="2"/>
    <n v="95566.43"/>
    <x v="35"/>
    <d v="2019-05-07T00:00:00"/>
    <x v="2"/>
    <x v="3"/>
    <x v="2"/>
    <x v="15"/>
    <x v="1"/>
    <s v="59-5568557"/>
    <m/>
    <n v="201905"/>
    <x v="6"/>
    <x v="1"/>
    <x v="6"/>
  </r>
  <r>
    <x v="5"/>
    <n v="28783.05"/>
    <x v="36"/>
    <d v="2019-03-29T00:00:00"/>
    <x v="2"/>
    <x v="23"/>
    <x v="5"/>
    <x v="7"/>
    <x v="1"/>
    <s v="12-1249283"/>
    <m/>
    <n v="201903"/>
    <x v="10"/>
    <x v="1"/>
    <x v="10"/>
  </r>
  <r>
    <x v="4"/>
    <n v="124414.74"/>
    <x v="37"/>
    <d v="2019-06-13T00:00:00"/>
    <x v="7"/>
    <x v="24"/>
    <x v="4"/>
    <x v="6"/>
    <x v="1"/>
    <s v="96-0180648"/>
    <m/>
    <n v="201906"/>
    <x v="9"/>
    <x v="1"/>
    <x v="9"/>
  </r>
  <r>
    <x v="2"/>
    <n v="153029.72"/>
    <x v="38"/>
    <d v="2020-01-28T00:00:00"/>
    <x v="1"/>
    <x v="21"/>
    <x v="2"/>
    <x v="12"/>
    <x v="1"/>
    <s v="51-9029547"/>
    <m/>
    <n v="202001"/>
    <x v="7"/>
    <x v="0"/>
    <x v="7"/>
  </r>
  <r>
    <x v="0"/>
    <n v="174919.64"/>
    <x v="39"/>
    <d v="2020-11-03T00:00:00"/>
    <x v="2"/>
    <x v="25"/>
    <x v="0"/>
    <x v="19"/>
    <x v="0"/>
    <s v="84-2614836"/>
    <m/>
    <n v="202011"/>
    <x v="8"/>
    <x v="0"/>
    <x v="8"/>
  </r>
  <r>
    <x v="5"/>
    <n v="55804.05"/>
    <x v="40"/>
    <d v="2019-03-05T00:00:00"/>
    <x v="8"/>
    <x v="12"/>
    <x v="5"/>
    <x v="20"/>
    <x v="1"/>
    <s v="57-6995715"/>
    <m/>
    <n v="201903"/>
    <x v="10"/>
    <x v="1"/>
    <x v="10"/>
  </r>
  <r>
    <x v="5"/>
    <n v="89160.66"/>
    <x v="41"/>
    <d v="2019-11-18T00:00:00"/>
    <x v="3"/>
    <x v="25"/>
    <x v="5"/>
    <x v="20"/>
    <x v="1"/>
    <s v="27-4115444"/>
    <m/>
    <n v="201911"/>
    <x v="8"/>
    <x v="1"/>
    <x v="8"/>
  </r>
  <r>
    <x v="4"/>
    <n v="27987.13"/>
    <x v="42"/>
    <d v="2019-03-26T00:00:00"/>
    <x v="1"/>
    <x v="24"/>
    <x v="4"/>
    <x v="8"/>
    <x v="1"/>
    <s v="34-3302340"/>
    <m/>
    <n v="201903"/>
    <x v="10"/>
    <x v="1"/>
    <x v="10"/>
  </r>
  <r>
    <x v="5"/>
    <n v="18326.41"/>
    <x v="43"/>
    <d v="2019-02-03T00:00:00"/>
    <x v="1"/>
    <x v="26"/>
    <x v="5"/>
    <x v="21"/>
    <x v="1"/>
    <s v="25-6638623"/>
    <m/>
    <n v="201902"/>
    <x v="0"/>
    <x v="1"/>
    <x v="0"/>
  </r>
  <r>
    <x v="6"/>
    <n v="62708.6"/>
    <x v="44"/>
    <d v="2019-08-29T00:00:00"/>
    <x v="6"/>
    <x v="27"/>
    <x v="6"/>
    <x v="14"/>
    <x v="1"/>
    <s v="11-5260310"/>
    <m/>
    <n v="201908"/>
    <x v="5"/>
    <x v="1"/>
    <x v="5"/>
  </r>
  <r>
    <x v="4"/>
    <n v="124668.36"/>
    <x v="45"/>
    <d v="2020-11-05T00:00:00"/>
    <x v="1"/>
    <x v="3"/>
    <x v="4"/>
    <x v="6"/>
    <x v="1"/>
    <s v="68-5024232"/>
    <m/>
    <n v="202011"/>
    <x v="8"/>
    <x v="0"/>
    <x v="8"/>
  </r>
  <r>
    <x v="10"/>
    <n v="109390.57"/>
    <x v="46"/>
    <d v="2020-11-12T00:00:00"/>
    <x v="9"/>
    <x v="6"/>
    <x v="10"/>
    <x v="22"/>
    <x v="0"/>
    <s v="90-2530115"/>
    <m/>
    <n v="202011"/>
    <x v="8"/>
    <x v="0"/>
    <x v="8"/>
  </r>
  <r>
    <x v="2"/>
    <n v="103279.79"/>
    <x v="47"/>
    <d v="2020-03-12T00:00:00"/>
    <x v="5"/>
    <x v="4"/>
    <x v="2"/>
    <x v="3"/>
    <x v="1"/>
    <s v="23-8271333"/>
    <m/>
    <n v="202003"/>
    <x v="10"/>
    <x v="0"/>
    <x v="10"/>
  </r>
  <r>
    <x v="5"/>
    <n v="173478.65"/>
    <x v="48"/>
    <d v="2019-01-29T00:00:00"/>
    <x v="0"/>
    <x v="4"/>
    <x v="5"/>
    <x v="23"/>
    <x v="1"/>
    <s v="99-7422044"/>
    <m/>
    <n v="201901"/>
    <x v="7"/>
    <x v="1"/>
    <x v="7"/>
  </r>
  <r>
    <x v="0"/>
    <n v="57927.54"/>
    <x v="49"/>
    <d v="2019-01-18T00:00:00"/>
    <x v="1"/>
    <x v="28"/>
    <x v="0"/>
    <x v="13"/>
    <x v="0"/>
    <s v="67-6692861"/>
    <m/>
    <n v="201901"/>
    <x v="7"/>
    <x v="1"/>
    <x v="7"/>
  </r>
  <r>
    <x v="2"/>
    <n v="84767.77"/>
    <x v="50"/>
    <d v="2020-01-18T00:00:00"/>
    <x v="8"/>
    <x v="29"/>
    <x v="2"/>
    <x v="2"/>
    <x v="0"/>
    <s v="20-3441688"/>
    <m/>
    <n v="202001"/>
    <x v="7"/>
    <x v="0"/>
    <x v="7"/>
  </r>
  <r>
    <x v="5"/>
    <n v="138175.53"/>
    <x v="51"/>
    <d v="2020-11-03T00:00:00"/>
    <x v="9"/>
    <x v="30"/>
    <x v="5"/>
    <x v="21"/>
    <x v="1"/>
    <s v="80-8230605"/>
    <m/>
    <n v="202011"/>
    <x v="8"/>
    <x v="0"/>
    <x v="8"/>
  </r>
  <r>
    <x v="2"/>
    <n v="143107.89000000001"/>
    <x v="52"/>
    <d v="2020-11-02T00:00:00"/>
    <x v="8"/>
    <x v="20"/>
    <x v="2"/>
    <x v="15"/>
    <x v="0"/>
    <s v="18-0704377"/>
    <m/>
    <n v="202011"/>
    <x v="8"/>
    <x v="0"/>
    <x v="8"/>
  </r>
  <r>
    <x v="0"/>
    <n v="54446.5"/>
    <x v="53"/>
    <d v="2020-03-09T00:00:00"/>
    <x v="5"/>
    <x v="31"/>
    <x v="0"/>
    <x v="13"/>
    <x v="2"/>
    <s v="47-5524071"/>
    <m/>
    <n v="202003"/>
    <x v="10"/>
    <x v="0"/>
    <x v="10"/>
  </r>
  <r>
    <x v="2"/>
    <n v="136324.9"/>
    <x v="54"/>
    <d v="2019-10-29T00:00:00"/>
    <x v="8"/>
    <x v="32"/>
    <x v="2"/>
    <x v="15"/>
    <x v="2"/>
    <s v="76-2572347"/>
    <m/>
    <n v="201910"/>
    <x v="11"/>
    <x v="1"/>
    <x v="11"/>
  </r>
  <r>
    <x v="2"/>
    <n v="43066.58"/>
    <x v="55"/>
    <d v="2019-02-08T00:00:00"/>
    <x v="1"/>
    <x v="27"/>
    <x v="2"/>
    <x v="15"/>
    <x v="0"/>
    <s v="74-4429133"/>
    <m/>
    <n v="201902"/>
    <x v="0"/>
    <x v="1"/>
    <x v="0"/>
  </r>
  <r>
    <x v="5"/>
    <n v="224626.25"/>
    <x v="56"/>
    <d v="2020-07-21T00:00:00"/>
    <x v="8"/>
    <x v="33"/>
    <x v="5"/>
    <x v="21"/>
    <x v="1"/>
    <s v="69-1300467"/>
    <m/>
    <n v="202007"/>
    <x v="2"/>
    <x v="0"/>
    <x v="2"/>
  </r>
  <r>
    <x v="5"/>
    <n v="115689.22"/>
    <x v="57"/>
    <d v="2019-07-15T00:00:00"/>
    <x v="2"/>
    <x v="34"/>
    <x v="5"/>
    <x v="23"/>
    <x v="1"/>
    <s v="99-8643527"/>
    <m/>
    <n v="201907"/>
    <x v="2"/>
    <x v="1"/>
    <x v="2"/>
  </r>
  <r>
    <x v="8"/>
    <n v="78293.94"/>
    <x v="58"/>
    <d v="2019-10-13T00:00:00"/>
    <x v="5"/>
    <x v="12"/>
    <x v="8"/>
    <x v="24"/>
    <x v="0"/>
    <s v="14-1143584"/>
    <m/>
    <n v="201910"/>
    <x v="11"/>
    <x v="1"/>
    <x v="11"/>
  </r>
  <r>
    <x v="2"/>
    <n v="92698.45"/>
    <x v="59"/>
    <d v="2020-01-13T00:00:00"/>
    <x v="2"/>
    <x v="3"/>
    <x v="2"/>
    <x v="12"/>
    <x v="1"/>
    <s v="62-4331197"/>
    <m/>
    <n v="202001"/>
    <x v="7"/>
    <x v="0"/>
    <x v="7"/>
  </r>
  <r>
    <x v="8"/>
    <n v="83141.47"/>
    <x v="60"/>
    <d v="2019-03-15T00:00:00"/>
    <x v="7"/>
    <x v="10"/>
    <x v="8"/>
    <x v="17"/>
    <x v="0"/>
    <s v="02-3333733"/>
    <m/>
    <n v="201903"/>
    <x v="10"/>
    <x v="1"/>
    <x v="10"/>
  </r>
  <r>
    <x v="2"/>
    <n v="38982.26"/>
    <x v="61"/>
    <d v="2019-10-12T00:00:00"/>
    <x v="2"/>
    <x v="35"/>
    <x v="2"/>
    <x v="2"/>
    <x v="0"/>
    <s v="09-3959499"/>
    <m/>
    <n v="201910"/>
    <x v="11"/>
    <x v="1"/>
    <x v="11"/>
  </r>
  <r>
    <x v="2"/>
    <n v="57120.58"/>
    <x v="62"/>
    <d v="2019-11-25T00:00:00"/>
    <x v="1"/>
    <x v="36"/>
    <x v="2"/>
    <x v="3"/>
    <x v="1"/>
    <s v="55-7848276"/>
    <m/>
    <n v="201911"/>
    <x v="8"/>
    <x v="1"/>
    <x v="8"/>
  </r>
  <r>
    <x v="0"/>
    <n v="240759.07"/>
    <x v="63"/>
    <d v="2020-06-14T00:00:00"/>
    <x v="5"/>
    <x v="26"/>
    <x v="0"/>
    <x v="25"/>
    <x v="1"/>
    <s v="98-1814878"/>
    <m/>
    <n v="202006"/>
    <x v="9"/>
    <x v="0"/>
    <x v="9"/>
  </r>
  <r>
    <x v="0"/>
    <n v="53849.120000000003"/>
    <x v="64"/>
    <d v="2020-04-15T00:00:00"/>
    <x v="1"/>
    <x v="12"/>
    <x v="0"/>
    <x v="13"/>
    <x v="1"/>
    <s v="83-9569509"/>
    <m/>
    <n v="202004"/>
    <x v="3"/>
    <x v="0"/>
    <x v="3"/>
  </r>
  <r>
    <x v="11"/>
    <n v="361182.87"/>
    <x v="65"/>
    <d v="2019-12-02T00:00:00"/>
    <x v="0"/>
    <x v="37"/>
    <x v="11"/>
    <x v="26"/>
    <x v="1"/>
    <s v="44-1953194"/>
    <m/>
    <n v="201912"/>
    <x v="4"/>
    <x v="1"/>
    <x v="4"/>
  </r>
  <r>
    <x v="0"/>
    <n v="97063.22"/>
    <x v="66"/>
    <d v="2019-10-19T00:00:00"/>
    <x v="5"/>
    <x v="38"/>
    <x v="0"/>
    <x v="0"/>
    <x v="2"/>
    <s v="50-0376562"/>
    <m/>
    <n v="201910"/>
    <x v="11"/>
    <x v="1"/>
    <x v="11"/>
  </r>
  <r>
    <x v="3"/>
    <n v="39110.97"/>
    <x v="67"/>
    <d v="2019-10-27T00:00:00"/>
    <x v="2"/>
    <x v="39"/>
    <x v="3"/>
    <x v="5"/>
    <x v="1"/>
    <s v="06-9596696"/>
    <m/>
    <n v="201910"/>
    <x v="11"/>
    <x v="1"/>
    <x v="11"/>
  </r>
  <r>
    <x v="5"/>
    <n v="123672.7"/>
    <x v="68"/>
    <d v="2020-11-13T00:00:00"/>
    <x v="6"/>
    <x v="40"/>
    <x v="5"/>
    <x v="20"/>
    <x v="1"/>
    <s v="46-2632808"/>
    <m/>
    <n v="202011"/>
    <x v="8"/>
    <x v="0"/>
    <x v="8"/>
  </r>
  <r>
    <x v="5"/>
    <n v="144640.79999999999"/>
    <x v="69"/>
    <d v="2019-04-11T00:00:00"/>
    <x v="8"/>
    <x v="18"/>
    <x v="5"/>
    <x v="23"/>
    <x v="1"/>
    <s v="77-7771177"/>
    <m/>
    <n v="201904"/>
    <x v="3"/>
    <x v="1"/>
    <x v="3"/>
  </r>
  <r>
    <x v="5"/>
    <n v="268779.03000000003"/>
    <x v="70"/>
    <d v="2019-12-27T00:00:00"/>
    <x v="6"/>
    <x v="41"/>
    <x v="5"/>
    <x v="21"/>
    <x v="0"/>
    <s v="13-0624842"/>
    <m/>
    <n v="201912"/>
    <x v="4"/>
    <x v="1"/>
    <x v="4"/>
  </r>
  <r>
    <x v="0"/>
    <n v="53593.86"/>
    <x v="71"/>
    <d v="2020-07-12T00:00:00"/>
    <x v="8"/>
    <x v="21"/>
    <x v="0"/>
    <x v="19"/>
    <x v="1"/>
    <s v="71-4409662"/>
    <m/>
    <n v="202007"/>
    <x v="2"/>
    <x v="0"/>
    <x v="2"/>
  </r>
  <r>
    <x v="5"/>
    <n v="155044.01999999999"/>
    <x v="72"/>
    <d v="2019-10-25T00:00:00"/>
    <x v="3"/>
    <x v="42"/>
    <x v="5"/>
    <x v="10"/>
    <x v="1"/>
    <s v="46-0270404"/>
    <m/>
    <n v="201910"/>
    <x v="11"/>
    <x v="1"/>
    <x v="11"/>
  </r>
  <r>
    <x v="2"/>
    <n v="102495.13"/>
    <x v="73"/>
    <d v="2020-08-08T00:00:00"/>
    <x v="6"/>
    <x v="7"/>
    <x v="2"/>
    <x v="15"/>
    <x v="2"/>
    <s v="70-7107956"/>
    <m/>
    <n v="202008"/>
    <x v="5"/>
    <x v="0"/>
    <x v="5"/>
  </r>
  <r>
    <x v="2"/>
    <n v="294472.77"/>
    <x v="74"/>
    <d v="2019-06-11T00:00:00"/>
    <x v="6"/>
    <x v="8"/>
    <x v="2"/>
    <x v="2"/>
    <x v="2"/>
    <s v="84-5310661"/>
    <m/>
    <n v="201906"/>
    <x v="9"/>
    <x v="1"/>
    <x v="9"/>
  </r>
  <r>
    <x v="0"/>
    <n v="64053.77"/>
    <x v="75"/>
    <d v="2020-09-01T00:00:00"/>
    <x v="3"/>
    <x v="17"/>
    <x v="0"/>
    <x v="9"/>
    <x v="1"/>
    <s v="75-6638402"/>
    <m/>
    <n v="202009"/>
    <x v="1"/>
    <x v="0"/>
    <x v="1"/>
  </r>
  <r>
    <x v="4"/>
    <n v="24543.72"/>
    <x v="76"/>
    <d v="2019-03-22T00:00:00"/>
    <x v="2"/>
    <x v="3"/>
    <x v="4"/>
    <x v="11"/>
    <x v="1"/>
    <s v="53-0615558"/>
    <m/>
    <n v="201903"/>
    <x v="10"/>
    <x v="1"/>
    <x v="10"/>
  </r>
  <r>
    <x v="2"/>
    <n v="161544.06"/>
    <x v="77"/>
    <d v="2019-09-12T00:00:00"/>
    <x v="2"/>
    <x v="4"/>
    <x v="2"/>
    <x v="2"/>
    <x v="1"/>
    <s v="00-2549549"/>
    <m/>
    <n v="201909"/>
    <x v="1"/>
    <x v="1"/>
    <x v="1"/>
  </r>
  <r>
    <x v="2"/>
    <n v="50303.66"/>
    <x v="78"/>
    <d v="2020-01-06T00:00:00"/>
    <x v="5"/>
    <x v="33"/>
    <x v="2"/>
    <x v="2"/>
    <x v="1"/>
    <s v="23-1397222"/>
    <m/>
    <n v="202001"/>
    <x v="7"/>
    <x v="0"/>
    <x v="7"/>
  </r>
  <r>
    <x v="0"/>
    <n v="124593.04"/>
    <x v="79"/>
    <d v="2020-01-11T00:00:00"/>
    <x v="5"/>
    <x v="4"/>
    <x v="0"/>
    <x v="0"/>
    <x v="0"/>
    <s v="00-4698524"/>
    <m/>
    <n v="202001"/>
    <x v="7"/>
    <x v="0"/>
    <x v="7"/>
  </r>
  <r>
    <x v="0"/>
    <n v="44147.92"/>
    <x v="80"/>
    <d v="2020-05-18T00:00:00"/>
    <x v="3"/>
    <x v="18"/>
    <x v="0"/>
    <x v="0"/>
    <x v="1"/>
    <s v="76-3837496"/>
    <m/>
    <n v="202005"/>
    <x v="6"/>
    <x v="0"/>
    <x v="6"/>
  </r>
  <r>
    <x v="8"/>
    <n v="42239.66"/>
    <x v="81"/>
    <d v="2019-05-17T00:00:00"/>
    <x v="6"/>
    <x v="4"/>
    <x v="8"/>
    <x v="17"/>
    <x v="1"/>
    <s v="61-7979087"/>
    <m/>
    <n v="201905"/>
    <x v="6"/>
    <x v="1"/>
    <x v="6"/>
  </r>
  <r>
    <x v="0"/>
    <n v="113763.38"/>
    <x v="82"/>
    <d v="2020-04-01T00:00:00"/>
    <x v="0"/>
    <x v="33"/>
    <x v="0"/>
    <x v="0"/>
    <x v="1"/>
    <s v="52-8377955"/>
    <m/>
    <n v="202004"/>
    <x v="3"/>
    <x v="0"/>
    <x v="3"/>
  </r>
  <r>
    <x v="2"/>
    <n v="183363.6"/>
    <x v="83"/>
    <d v="2019-06-24T00:00:00"/>
    <x v="6"/>
    <x v="4"/>
    <x v="2"/>
    <x v="15"/>
    <x v="1"/>
    <s v="87-6162387"/>
    <m/>
    <n v="201906"/>
    <x v="9"/>
    <x v="1"/>
    <x v="9"/>
  </r>
  <r>
    <x v="5"/>
    <n v="85220.83"/>
    <x v="84"/>
    <d v="2019-09-15T00:00:00"/>
    <x v="3"/>
    <x v="43"/>
    <x v="5"/>
    <x v="20"/>
    <x v="2"/>
    <s v="11-8965256"/>
    <m/>
    <n v="201909"/>
    <x v="1"/>
    <x v="1"/>
    <x v="1"/>
  </r>
  <r>
    <x v="2"/>
    <n v="87513.27"/>
    <x v="85"/>
    <d v="2020-03-05T00:00:00"/>
    <x v="0"/>
    <x v="44"/>
    <x v="2"/>
    <x v="12"/>
    <x v="0"/>
    <s v="16-9079414"/>
    <m/>
    <n v="202003"/>
    <x v="10"/>
    <x v="0"/>
    <x v="10"/>
  </r>
  <r>
    <x v="8"/>
    <n v="37073.910000000003"/>
    <x v="86"/>
    <d v="2019-04-26T00:00:00"/>
    <x v="0"/>
    <x v="45"/>
    <x v="8"/>
    <x v="24"/>
    <x v="2"/>
    <s v="15-9091881"/>
    <m/>
    <n v="201904"/>
    <x v="3"/>
    <x v="1"/>
    <x v="3"/>
  </r>
  <r>
    <x v="5"/>
    <n v="122139.94"/>
    <x v="87"/>
    <d v="2019-11-02T00:00:00"/>
    <x v="6"/>
    <x v="37"/>
    <x v="5"/>
    <x v="21"/>
    <x v="1"/>
    <s v="07-3222085"/>
    <m/>
    <n v="201911"/>
    <x v="8"/>
    <x v="1"/>
    <x v="8"/>
  </r>
  <r>
    <x v="5"/>
    <n v="107586.21"/>
    <x v="88"/>
    <d v="2020-06-07T00:00:00"/>
    <x v="8"/>
    <x v="30"/>
    <x v="5"/>
    <x v="10"/>
    <x v="1"/>
    <s v="20-3384992"/>
    <m/>
    <n v="202006"/>
    <x v="9"/>
    <x v="0"/>
    <x v="9"/>
  </r>
  <r>
    <x v="4"/>
    <n v="203958.16"/>
    <x v="89"/>
    <d v="2020-12-02T00:00:00"/>
    <x v="5"/>
    <x v="2"/>
    <x v="4"/>
    <x v="8"/>
    <x v="1"/>
    <s v="09-3404706"/>
    <m/>
    <n v="202012"/>
    <x v="4"/>
    <x v="0"/>
    <x v="4"/>
  </r>
  <r>
    <x v="2"/>
    <n v="55132.39"/>
    <x v="90"/>
    <d v="2019-06-11T00:00:00"/>
    <x v="2"/>
    <x v="46"/>
    <x v="2"/>
    <x v="15"/>
    <x v="1"/>
    <s v="97-8712680"/>
    <m/>
    <n v="201906"/>
    <x v="9"/>
    <x v="1"/>
    <x v="9"/>
  </r>
  <r>
    <x v="11"/>
    <n v="135424.06"/>
    <x v="91"/>
    <d v="2020-01-15T00:00:00"/>
    <x v="8"/>
    <x v="27"/>
    <x v="11"/>
    <x v="27"/>
    <x v="1"/>
    <s v="43-4245267"/>
    <m/>
    <n v="202001"/>
    <x v="7"/>
    <x v="0"/>
    <x v="7"/>
  </r>
  <r>
    <x v="0"/>
    <n v="167123.72"/>
    <x v="92"/>
    <d v="2019-08-01T00:00:00"/>
    <x v="6"/>
    <x v="35"/>
    <x v="0"/>
    <x v="13"/>
    <x v="1"/>
    <s v="58-8969119"/>
    <m/>
    <n v="201908"/>
    <x v="5"/>
    <x v="1"/>
    <x v="5"/>
  </r>
  <r>
    <x v="12"/>
    <n v="92868.37"/>
    <x v="93"/>
    <d v="2020-03-30T00:00:00"/>
    <x v="8"/>
    <x v="28"/>
    <x v="12"/>
    <x v="28"/>
    <x v="1"/>
    <s v="88-8436664"/>
    <m/>
    <n v="202003"/>
    <x v="10"/>
    <x v="0"/>
    <x v="10"/>
  </r>
  <r>
    <x v="2"/>
    <n v="108689.45"/>
    <x v="94"/>
    <d v="2019-11-09T00:00:00"/>
    <x v="5"/>
    <x v="32"/>
    <x v="2"/>
    <x v="29"/>
    <x v="0"/>
    <s v="35-6825112"/>
    <m/>
    <n v="201911"/>
    <x v="8"/>
    <x v="1"/>
    <x v="8"/>
  </r>
  <r>
    <x v="2"/>
    <n v="79874.42"/>
    <x v="95"/>
    <d v="2020-11-14T00:00:00"/>
    <x v="7"/>
    <x v="5"/>
    <x v="2"/>
    <x v="2"/>
    <x v="1"/>
    <s v="24-4511396"/>
    <m/>
    <n v="202011"/>
    <x v="8"/>
    <x v="0"/>
    <x v="8"/>
  </r>
  <r>
    <x v="12"/>
    <n v="153011.39000000001"/>
    <x v="96"/>
    <d v="2019-09-13T00:00:00"/>
    <x v="5"/>
    <x v="4"/>
    <x v="12"/>
    <x v="28"/>
    <x v="1"/>
    <s v="99-0564964"/>
    <m/>
    <n v="201909"/>
    <x v="1"/>
    <x v="1"/>
    <x v="1"/>
  </r>
  <r>
    <x v="2"/>
    <n v="72857.41"/>
    <x v="97"/>
    <d v="2020-05-10T00:00:00"/>
    <x v="2"/>
    <x v="17"/>
    <x v="2"/>
    <x v="29"/>
    <x v="1"/>
    <s v="47-9920494"/>
    <m/>
    <n v="202005"/>
    <x v="6"/>
    <x v="0"/>
    <x v="6"/>
  </r>
  <r>
    <x v="5"/>
    <n v="102771.44"/>
    <x v="98"/>
    <d v="2019-11-24T00:00:00"/>
    <x v="4"/>
    <x v="47"/>
    <x v="5"/>
    <x v="7"/>
    <x v="1"/>
    <s v="82-9352154"/>
    <m/>
    <n v="201911"/>
    <x v="8"/>
    <x v="1"/>
    <x v="8"/>
  </r>
  <r>
    <x v="4"/>
    <n v="90559.16"/>
    <x v="99"/>
    <d v="2019-08-26T00:00:00"/>
    <x v="7"/>
    <x v="46"/>
    <x v="4"/>
    <x v="8"/>
    <x v="1"/>
    <s v="74-6920956"/>
    <m/>
    <n v="201908"/>
    <x v="5"/>
    <x v="1"/>
    <x v="5"/>
  </r>
  <r>
    <x v="2"/>
    <n v="141796.75"/>
    <x v="100"/>
    <d v="2020-09-16T00:00:00"/>
    <x v="1"/>
    <x v="4"/>
    <x v="2"/>
    <x v="12"/>
    <x v="1"/>
    <s v="16-8778373"/>
    <m/>
    <n v="202009"/>
    <x v="1"/>
    <x v="0"/>
    <x v="1"/>
  </r>
  <r>
    <x v="8"/>
    <n v="103874.1"/>
    <x v="101"/>
    <d v="2019-01-14T00:00:00"/>
    <x v="7"/>
    <x v="4"/>
    <x v="8"/>
    <x v="17"/>
    <x v="1"/>
    <s v="85-4014655"/>
    <m/>
    <n v="201901"/>
    <x v="7"/>
    <x v="1"/>
    <x v="7"/>
  </r>
  <r>
    <x v="3"/>
    <n v="134908.19"/>
    <x v="102"/>
    <d v="2020-08-18T00:00:00"/>
    <x v="2"/>
    <x v="14"/>
    <x v="3"/>
    <x v="5"/>
    <x v="1"/>
    <s v="25-2355172"/>
    <m/>
    <n v="202008"/>
    <x v="5"/>
    <x v="0"/>
    <x v="5"/>
  </r>
  <r>
    <x v="2"/>
    <n v="45256.74"/>
    <x v="103"/>
    <d v="2019-01-14T00:00:00"/>
    <x v="9"/>
    <x v="30"/>
    <x v="2"/>
    <x v="2"/>
    <x v="1"/>
    <s v="31-7667796"/>
    <m/>
    <n v="201901"/>
    <x v="7"/>
    <x v="1"/>
    <x v="7"/>
  </r>
  <r>
    <x v="2"/>
    <n v="131018.65"/>
    <x v="104"/>
    <d v="2020-04-02T00:00:00"/>
    <x v="2"/>
    <x v="48"/>
    <x v="2"/>
    <x v="29"/>
    <x v="1"/>
    <s v="39-2536155"/>
    <m/>
    <n v="202004"/>
    <x v="3"/>
    <x v="0"/>
    <x v="3"/>
  </r>
  <r>
    <x v="11"/>
    <n v="84877.87"/>
    <x v="105"/>
    <d v="2019-12-01T00:00:00"/>
    <x v="8"/>
    <x v="38"/>
    <x v="11"/>
    <x v="26"/>
    <x v="1"/>
    <s v="30-8840089"/>
    <m/>
    <n v="201912"/>
    <x v="4"/>
    <x v="1"/>
    <x v="4"/>
  </r>
  <r>
    <x v="5"/>
    <n v="168197.78"/>
    <x v="106"/>
    <d v="2019-01-13T00:00:00"/>
    <x v="6"/>
    <x v="49"/>
    <x v="5"/>
    <x v="20"/>
    <x v="1"/>
    <s v="93-8309926"/>
    <m/>
    <n v="201901"/>
    <x v="7"/>
    <x v="1"/>
    <x v="7"/>
  </r>
  <r>
    <x v="4"/>
    <n v="383996.76"/>
    <x v="107"/>
    <d v="2019-12-19T00:00:00"/>
    <x v="9"/>
    <x v="4"/>
    <x v="4"/>
    <x v="6"/>
    <x v="1"/>
    <s v="42-7823733"/>
    <m/>
    <n v="201912"/>
    <x v="4"/>
    <x v="1"/>
    <x v="4"/>
  </r>
  <r>
    <x v="5"/>
    <n v="56811.14"/>
    <x v="108"/>
    <d v="2019-10-07T00:00:00"/>
    <x v="2"/>
    <x v="50"/>
    <x v="5"/>
    <x v="21"/>
    <x v="1"/>
    <s v="03-9337803"/>
    <m/>
    <n v="201910"/>
    <x v="11"/>
    <x v="1"/>
    <x v="11"/>
  </r>
  <r>
    <x v="2"/>
    <n v="74364.460000000006"/>
    <x v="109"/>
    <d v="2020-01-21T00:00:00"/>
    <x v="2"/>
    <x v="34"/>
    <x v="2"/>
    <x v="3"/>
    <x v="0"/>
    <s v="42-1879788"/>
    <m/>
    <n v="202001"/>
    <x v="7"/>
    <x v="0"/>
    <x v="7"/>
  </r>
  <r>
    <x v="1"/>
    <n v="235608.66"/>
    <x v="110"/>
    <d v="2020-07-27T00:00:00"/>
    <x v="1"/>
    <x v="35"/>
    <x v="1"/>
    <x v="1"/>
    <x v="2"/>
    <s v="42-8394841"/>
    <m/>
    <n v="202007"/>
    <x v="2"/>
    <x v="0"/>
    <x v="2"/>
  </r>
  <r>
    <x v="0"/>
    <n v="31627.37"/>
    <x v="111"/>
    <d v="2020-08-27T00:00:00"/>
    <x v="3"/>
    <x v="33"/>
    <x v="0"/>
    <x v="19"/>
    <x v="0"/>
    <s v="84-5642889"/>
    <m/>
    <n v="202008"/>
    <x v="5"/>
    <x v="0"/>
    <x v="5"/>
  </r>
  <r>
    <x v="0"/>
    <n v="57227.99"/>
    <x v="112"/>
    <d v="2019-03-28T00:00:00"/>
    <x v="5"/>
    <x v="4"/>
    <x v="0"/>
    <x v="13"/>
    <x v="1"/>
    <s v="92-7234550"/>
    <m/>
    <n v="201903"/>
    <x v="10"/>
    <x v="1"/>
    <x v="10"/>
  </r>
  <r>
    <x v="2"/>
    <n v="84598.68"/>
    <x v="113"/>
    <d v="2020-04-28T00:00:00"/>
    <x v="2"/>
    <x v="27"/>
    <x v="2"/>
    <x v="29"/>
    <x v="1"/>
    <s v="98-5721101"/>
    <m/>
    <n v="202004"/>
    <x v="3"/>
    <x v="0"/>
    <x v="3"/>
  </r>
  <r>
    <x v="0"/>
    <n v="98322.98"/>
    <x v="114"/>
    <d v="2020-10-09T00:00:00"/>
    <x v="2"/>
    <x v="3"/>
    <x v="0"/>
    <x v="25"/>
    <x v="1"/>
    <s v="32-9344186"/>
    <m/>
    <n v="202010"/>
    <x v="11"/>
    <x v="0"/>
    <x v="11"/>
  </r>
  <r>
    <x v="6"/>
    <n v="62567.58"/>
    <x v="115"/>
    <d v="2019-04-21T00:00:00"/>
    <x v="2"/>
    <x v="3"/>
    <x v="6"/>
    <x v="14"/>
    <x v="1"/>
    <s v="40-7356336"/>
    <m/>
    <n v="201904"/>
    <x v="3"/>
    <x v="1"/>
    <x v="3"/>
  </r>
  <r>
    <x v="0"/>
    <n v="239423.57"/>
    <x v="116"/>
    <d v="2019-12-08T00:00:00"/>
    <x v="8"/>
    <x v="27"/>
    <x v="0"/>
    <x v="0"/>
    <x v="0"/>
    <s v="94-1762263"/>
    <m/>
    <n v="201912"/>
    <x v="4"/>
    <x v="1"/>
    <x v="4"/>
  </r>
  <r>
    <x v="5"/>
    <n v="68773.03"/>
    <x v="117"/>
    <d v="2019-09-30T00:00:00"/>
    <x v="1"/>
    <x v="3"/>
    <x v="5"/>
    <x v="10"/>
    <x v="1"/>
    <s v="26-5649751"/>
    <m/>
    <n v="201909"/>
    <x v="1"/>
    <x v="1"/>
    <x v="1"/>
  </r>
  <r>
    <x v="12"/>
    <n v="102918.09"/>
    <x v="118"/>
    <d v="2019-10-28T00:00:00"/>
    <x v="6"/>
    <x v="9"/>
    <x v="12"/>
    <x v="28"/>
    <x v="1"/>
    <s v="88-5343320"/>
    <m/>
    <n v="201910"/>
    <x v="11"/>
    <x v="1"/>
    <x v="11"/>
  </r>
  <r>
    <x v="4"/>
    <n v="150313.19"/>
    <x v="119"/>
    <d v="2020-01-23T00:00:00"/>
    <x v="3"/>
    <x v="4"/>
    <x v="4"/>
    <x v="11"/>
    <x v="1"/>
    <s v="09-6527060"/>
    <m/>
    <n v="202001"/>
    <x v="7"/>
    <x v="0"/>
    <x v="7"/>
  </r>
  <r>
    <x v="0"/>
    <n v="144072.9"/>
    <x v="120"/>
    <d v="2019-07-13T00:00:00"/>
    <x v="3"/>
    <x v="28"/>
    <x v="0"/>
    <x v="9"/>
    <x v="1"/>
    <s v="85-3431441"/>
    <m/>
    <n v="201907"/>
    <x v="2"/>
    <x v="1"/>
    <x v="2"/>
  </r>
  <r>
    <x v="0"/>
    <n v="69681.429999999993"/>
    <x v="121"/>
    <d v="2020-01-25T00:00:00"/>
    <x v="2"/>
    <x v="14"/>
    <x v="0"/>
    <x v="13"/>
    <x v="1"/>
    <s v="78-3301264"/>
    <m/>
    <n v="202001"/>
    <x v="7"/>
    <x v="0"/>
    <x v="7"/>
  </r>
  <r>
    <x v="0"/>
    <n v="78542.59"/>
    <x v="122"/>
    <d v="2019-05-26T00:00:00"/>
    <x v="1"/>
    <x v="49"/>
    <x v="0"/>
    <x v="19"/>
    <x v="1"/>
    <s v="02-9523107"/>
    <m/>
    <n v="201905"/>
    <x v="6"/>
    <x v="1"/>
    <x v="6"/>
  </r>
  <r>
    <x v="2"/>
    <n v="37582.129999999997"/>
    <x v="123"/>
    <d v="2020-05-07T00:00:00"/>
    <x v="5"/>
    <x v="1"/>
    <x v="2"/>
    <x v="2"/>
    <x v="0"/>
    <s v="19-9205287"/>
    <m/>
    <n v="202005"/>
    <x v="6"/>
    <x v="0"/>
    <x v="6"/>
  </r>
  <r>
    <x v="0"/>
    <n v="88329.48"/>
    <x v="124"/>
    <d v="2020-08-16T00:00:00"/>
    <x v="2"/>
    <x v="51"/>
    <x v="0"/>
    <x v="19"/>
    <x v="0"/>
    <s v="94-1199389"/>
    <m/>
    <n v="202008"/>
    <x v="5"/>
    <x v="0"/>
    <x v="5"/>
  </r>
  <r>
    <x v="2"/>
    <n v="249099.44"/>
    <x v="125"/>
    <d v="2020-06-15T00:00:00"/>
    <x v="9"/>
    <x v="4"/>
    <x v="2"/>
    <x v="12"/>
    <x v="1"/>
    <s v="88-4621939"/>
    <m/>
    <n v="202006"/>
    <x v="9"/>
    <x v="0"/>
    <x v="9"/>
  </r>
  <r>
    <x v="4"/>
    <n v="28328.78"/>
    <x v="126"/>
    <d v="2019-02-19T00:00:00"/>
    <x v="2"/>
    <x v="46"/>
    <x v="4"/>
    <x v="11"/>
    <x v="1"/>
    <s v="68-9634139"/>
    <m/>
    <n v="201902"/>
    <x v="0"/>
    <x v="1"/>
    <x v="0"/>
  </r>
  <r>
    <x v="2"/>
    <n v="162246.76"/>
    <x v="127"/>
    <d v="2019-08-28T00:00:00"/>
    <x v="1"/>
    <x v="3"/>
    <x v="2"/>
    <x v="12"/>
    <x v="1"/>
    <s v="44-5200140"/>
    <m/>
    <n v="201908"/>
    <x v="5"/>
    <x v="1"/>
    <x v="5"/>
  </r>
  <r>
    <x v="12"/>
    <n v="161217.16"/>
    <x v="128"/>
    <d v="2019-10-20T00:00:00"/>
    <x v="1"/>
    <x v="24"/>
    <x v="12"/>
    <x v="28"/>
    <x v="1"/>
    <s v="98-6247105"/>
    <m/>
    <n v="201910"/>
    <x v="11"/>
    <x v="1"/>
    <x v="11"/>
  </r>
  <r>
    <x v="5"/>
    <n v="37397.43"/>
    <x v="129"/>
    <d v="2020-05-17T00:00:00"/>
    <x v="1"/>
    <x v="35"/>
    <x v="5"/>
    <x v="23"/>
    <x v="1"/>
    <s v="24-6566439"/>
    <m/>
    <n v="202005"/>
    <x v="6"/>
    <x v="0"/>
    <x v="6"/>
  </r>
  <r>
    <x v="4"/>
    <n v="99064.31"/>
    <x v="130"/>
    <d v="2020-07-10T00:00:00"/>
    <x v="0"/>
    <x v="4"/>
    <x v="4"/>
    <x v="6"/>
    <x v="1"/>
    <s v="52-9152387"/>
    <m/>
    <n v="202007"/>
    <x v="2"/>
    <x v="0"/>
    <x v="2"/>
  </r>
  <r>
    <x v="0"/>
    <n v="15817.05"/>
    <x v="131"/>
    <d v="2019-03-10T00:00:00"/>
    <x v="2"/>
    <x v="49"/>
    <x v="0"/>
    <x v="9"/>
    <x v="1"/>
    <s v="26-9787272"/>
    <m/>
    <n v="201903"/>
    <x v="10"/>
    <x v="1"/>
    <x v="10"/>
  </r>
  <r>
    <x v="2"/>
    <n v="38930.160000000003"/>
    <x v="132"/>
    <d v="2020-11-18T00:00:00"/>
    <x v="7"/>
    <x v="30"/>
    <x v="2"/>
    <x v="29"/>
    <x v="1"/>
    <s v="12-2202467"/>
    <m/>
    <n v="202011"/>
    <x v="8"/>
    <x v="0"/>
    <x v="8"/>
  </r>
  <r>
    <x v="2"/>
    <n v="28859.73"/>
    <x v="133"/>
    <d v="2019-01-09T00:00:00"/>
    <x v="8"/>
    <x v="2"/>
    <x v="2"/>
    <x v="12"/>
    <x v="0"/>
    <s v="82-0537890"/>
    <m/>
    <n v="201901"/>
    <x v="7"/>
    <x v="1"/>
    <x v="7"/>
  </r>
  <r>
    <x v="5"/>
    <n v="54079.040000000001"/>
    <x v="134"/>
    <d v="2020-05-29T00:00:00"/>
    <x v="1"/>
    <x v="52"/>
    <x v="5"/>
    <x v="23"/>
    <x v="1"/>
    <s v="15-6838362"/>
    <m/>
    <n v="202005"/>
    <x v="6"/>
    <x v="0"/>
    <x v="6"/>
  </r>
  <r>
    <x v="0"/>
    <n v="70596.7"/>
    <x v="135"/>
    <d v="2020-02-09T00:00:00"/>
    <x v="8"/>
    <x v="1"/>
    <x v="0"/>
    <x v="13"/>
    <x v="1"/>
    <s v="51-0685379"/>
    <m/>
    <n v="202002"/>
    <x v="0"/>
    <x v="0"/>
    <x v="0"/>
  </r>
  <r>
    <x v="4"/>
    <n v="169629.55"/>
    <x v="136"/>
    <d v="2019-10-23T00:00:00"/>
    <x v="7"/>
    <x v="4"/>
    <x v="4"/>
    <x v="11"/>
    <x v="1"/>
    <s v="76-5919033"/>
    <m/>
    <n v="201910"/>
    <x v="11"/>
    <x v="1"/>
    <x v="11"/>
  </r>
  <r>
    <x v="2"/>
    <n v="95387.89"/>
    <x v="137"/>
    <d v="2020-05-08T00:00:00"/>
    <x v="0"/>
    <x v="8"/>
    <x v="2"/>
    <x v="3"/>
    <x v="1"/>
    <s v="34-7627348"/>
    <m/>
    <n v="202005"/>
    <x v="6"/>
    <x v="0"/>
    <x v="6"/>
  </r>
  <r>
    <x v="5"/>
    <n v="50585.98"/>
    <x v="138"/>
    <d v="2020-08-29T00:00:00"/>
    <x v="3"/>
    <x v="39"/>
    <x v="5"/>
    <x v="7"/>
    <x v="2"/>
    <s v="32-1940437"/>
    <m/>
    <n v="202008"/>
    <x v="5"/>
    <x v="0"/>
    <x v="5"/>
  </r>
  <r>
    <x v="0"/>
    <n v="103726.57"/>
    <x v="139"/>
    <d v="2020-05-21T00:00:00"/>
    <x v="2"/>
    <x v="23"/>
    <x v="0"/>
    <x v="19"/>
    <x v="0"/>
    <s v="25-9913528"/>
    <m/>
    <n v="202005"/>
    <x v="6"/>
    <x v="0"/>
    <x v="6"/>
  </r>
  <r>
    <x v="4"/>
    <n v="222700.23"/>
    <x v="140"/>
    <d v="2020-12-12T00:00:00"/>
    <x v="5"/>
    <x v="4"/>
    <x v="4"/>
    <x v="8"/>
    <x v="0"/>
    <s v="73-3464233"/>
    <m/>
    <n v="202012"/>
    <x v="4"/>
    <x v="0"/>
    <x v="4"/>
  </r>
  <r>
    <x v="2"/>
    <n v="143322.47"/>
    <x v="141"/>
    <d v="2020-05-19T00:00:00"/>
    <x v="0"/>
    <x v="4"/>
    <x v="2"/>
    <x v="12"/>
    <x v="1"/>
    <s v="04-2863062"/>
    <m/>
    <n v="202005"/>
    <x v="6"/>
    <x v="0"/>
    <x v="6"/>
  </r>
  <r>
    <x v="4"/>
    <n v="128227.36"/>
    <x v="142"/>
    <d v="2019-06-01T00:00:00"/>
    <x v="4"/>
    <x v="18"/>
    <x v="4"/>
    <x v="11"/>
    <x v="1"/>
    <s v="18-7077174"/>
    <m/>
    <n v="201906"/>
    <x v="9"/>
    <x v="1"/>
    <x v="9"/>
  </r>
  <r>
    <x v="0"/>
    <n v="127939.8"/>
    <x v="143"/>
    <d v="2019-12-09T00:00:00"/>
    <x v="2"/>
    <x v="8"/>
    <x v="0"/>
    <x v="13"/>
    <x v="1"/>
    <s v="64-8300193"/>
    <m/>
    <n v="201912"/>
    <x v="4"/>
    <x v="1"/>
    <x v="4"/>
  </r>
  <r>
    <x v="0"/>
    <n v="146540.75"/>
    <x v="144"/>
    <d v="2019-04-30T00:00:00"/>
    <x v="6"/>
    <x v="9"/>
    <x v="0"/>
    <x v="9"/>
    <x v="1"/>
    <s v="84-2858993"/>
    <m/>
    <n v="201904"/>
    <x v="3"/>
    <x v="1"/>
    <x v="3"/>
  </r>
  <r>
    <x v="2"/>
    <n v="36321.68"/>
    <x v="145"/>
    <d v="2020-10-29T00:00:00"/>
    <x v="0"/>
    <x v="20"/>
    <x v="2"/>
    <x v="2"/>
    <x v="1"/>
    <s v="72-2647440"/>
    <m/>
    <n v="202010"/>
    <x v="11"/>
    <x v="0"/>
    <x v="11"/>
  </r>
  <r>
    <x v="3"/>
    <n v="42814.57"/>
    <x v="146"/>
    <d v="2019-02-01T00:00:00"/>
    <x v="3"/>
    <x v="25"/>
    <x v="3"/>
    <x v="5"/>
    <x v="1"/>
    <s v="68-1806238"/>
    <m/>
    <n v="201902"/>
    <x v="0"/>
    <x v="1"/>
    <x v="0"/>
  </r>
  <r>
    <x v="4"/>
    <n v="169262.2"/>
    <x v="147"/>
    <d v="2020-04-26T00:00:00"/>
    <x v="3"/>
    <x v="19"/>
    <x v="4"/>
    <x v="6"/>
    <x v="1"/>
    <s v="87-0922827"/>
    <m/>
    <n v="202004"/>
    <x v="3"/>
    <x v="0"/>
    <x v="3"/>
  </r>
  <r>
    <x v="0"/>
    <n v="114427.36"/>
    <x v="148"/>
    <d v="2020-03-11T00:00:00"/>
    <x v="9"/>
    <x v="11"/>
    <x v="0"/>
    <x v="0"/>
    <x v="1"/>
    <s v="33-8547717"/>
    <m/>
    <n v="202003"/>
    <x v="10"/>
    <x v="0"/>
    <x v="10"/>
  </r>
  <r>
    <x v="4"/>
    <n v="126979.62"/>
    <x v="149"/>
    <d v="2019-09-26T00:00:00"/>
    <x v="8"/>
    <x v="23"/>
    <x v="4"/>
    <x v="8"/>
    <x v="1"/>
    <s v="15-5051694"/>
    <m/>
    <n v="201909"/>
    <x v="1"/>
    <x v="1"/>
    <x v="1"/>
  </r>
  <r>
    <x v="9"/>
    <n v="294874.74"/>
    <x v="150"/>
    <d v="2020-12-15T00:00:00"/>
    <x v="0"/>
    <x v="53"/>
    <x v="9"/>
    <x v="18"/>
    <x v="1"/>
    <s v="37-2363680"/>
    <m/>
    <n v="202012"/>
    <x v="4"/>
    <x v="0"/>
    <x v="4"/>
  </r>
  <r>
    <x v="4"/>
    <n v="173258.94"/>
    <x v="151"/>
    <d v="2019-05-24T00:00:00"/>
    <x v="2"/>
    <x v="4"/>
    <x v="4"/>
    <x v="11"/>
    <x v="1"/>
    <s v="92-4106004"/>
    <m/>
    <n v="201905"/>
    <x v="6"/>
    <x v="1"/>
    <x v="6"/>
  </r>
  <r>
    <x v="9"/>
    <n v="158362.32999999999"/>
    <x v="152"/>
    <d v="2020-08-14T00:00:00"/>
    <x v="0"/>
    <x v="3"/>
    <x v="9"/>
    <x v="18"/>
    <x v="1"/>
    <s v="39-1671087"/>
    <m/>
    <n v="202008"/>
    <x v="5"/>
    <x v="0"/>
    <x v="5"/>
  </r>
  <r>
    <x v="4"/>
    <n v="50689.19"/>
    <x v="153"/>
    <d v="2020-11-18T00:00:00"/>
    <x v="2"/>
    <x v="9"/>
    <x v="4"/>
    <x v="11"/>
    <x v="1"/>
    <s v="77-9240051"/>
    <m/>
    <n v="202011"/>
    <x v="8"/>
    <x v="0"/>
    <x v="8"/>
  </r>
  <r>
    <x v="11"/>
    <n v="117358.02"/>
    <x v="154"/>
    <d v="2020-11-02T00:00:00"/>
    <x v="2"/>
    <x v="0"/>
    <x v="11"/>
    <x v="27"/>
    <x v="1"/>
    <s v="79-8966057"/>
    <m/>
    <n v="202011"/>
    <x v="8"/>
    <x v="0"/>
    <x v="8"/>
  </r>
  <r>
    <x v="0"/>
    <n v="93996.68"/>
    <x v="155"/>
    <d v="2020-10-10T00:00:00"/>
    <x v="1"/>
    <x v="9"/>
    <x v="0"/>
    <x v="13"/>
    <x v="0"/>
    <s v="75-0683725"/>
    <m/>
    <n v="202010"/>
    <x v="11"/>
    <x v="0"/>
    <x v="11"/>
  </r>
  <r>
    <x v="4"/>
    <n v="119769.22"/>
    <x v="156"/>
    <d v="2020-01-11T00:00:00"/>
    <x v="0"/>
    <x v="39"/>
    <x v="4"/>
    <x v="11"/>
    <x v="1"/>
    <s v="55-5032186"/>
    <m/>
    <n v="202001"/>
    <x v="7"/>
    <x v="0"/>
    <x v="7"/>
  </r>
  <r>
    <x v="5"/>
    <n v="84194.21"/>
    <x v="157"/>
    <d v="2020-12-26T00:00:00"/>
    <x v="0"/>
    <x v="38"/>
    <x v="5"/>
    <x v="23"/>
    <x v="0"/>
    <s v="31-8836719"/>
    <m/>
    <n v="202012"/>
    <x v="4"/>
    <x v="0"/>
    <x v="4"/>
  </r>
  <r>
    <x v="1"/>
    <n v="205582.75"/>
    <x v="158"/>
    <d v="2020-12-22T00:00:00"/>
    <x v="3"/>
    <x v="54"/>
    <x v="1"/>
    <x v="1"/>
    <x v="1"/>
    <s v="64-4923214"/>
    <m/>
    <n v="202012"/>
    <x v="4"/>
    <x v="0"/>
    <x v="4"/>
  </r>
  <r>
    <x v="0"/>
    <n v="159793.46"/>
    <x v="159"/>
    <d v="2019-06-15T00:00:00"/>
    <x v="6"/>
    <x v="9"/>
    <x v="0"/>
    <x v="13"/>
    <x v="2"/>
    <s v="98-2574776"/>
    <m/>
    <n v="201906"/>
    <x v="9"/>
    <x v="1"/>
    <x v="9"/>
  </r>
  <r>
    <x v="2"/>
    <n v="104711.22"/>
    <x v="160"/>
    <d v="2020-08-25T00:00:00"/>
    <x v="2"/>
    <x v="55"/>
    <x v="2"/>
    <x v="12"/>
    <x v="1"/>
    <s v="33-0729966"/>
    <m/>
    <n v="202008"/>
    <x v="5"/>
    <x v="0"/>
    <x v="5"/>
  </r>
  <r>
    <x v="5"/>
    <n v="69126.5"/>
    <x v="161"/>
    <d v="2019-12-08T00:00:00"/>
    <x v="8"/>
    <x v="5"/>
    <x v="5"/>
    <x v="23"/>
    <x v="1"/>
    <s v="07-3201531"/>
    <m/>
    <n v="201912"/>
    <x v="4"/>
    <x v="1"/>
    <x v="4"/>
  </r>
  <r>
    <x v="0"/>
    <n v="20226.11"/>
    <x v="162"/>
    <d v="2019-02-23T00:00:00"/>
    <x v="8"/>
    <x v="2"/>
    <x v="0"/>
    <x v="19"/>
    <x v="1"/>
    <s v="21-3278349"/>
    <m/>
    <n v="201902"/>
    <x v="0"/>
    <x v="1"/>
    <x v="0"/>
  </r>
  <r>
    <x v="5"/>
    <n v="65036.81"/>
    <x v="163"/>
    <d v="2019-05-30T00:00:00"/>
    <x v="9"/>
    <x v="19"/>
    <x v="5"/>
    <x v="10"/>
    <x v="1"/>
    <s v="50-1695443"/>
    <m/>
    <n v="201905"/>
    <x v="6"/>
    <x v="1"/>
    <x v="6"/>
  </r>
  <r>
    <x v="5"/>
    <n v="254021.98"/>
    <x v="164"/>
    <d v="2019-07-03T00:00:00"/>
    <x v="2"/>
    <x v="40"/>
    <x v="5"/>
    <x v="7"/>
    <x v="1"/>
    <s v="52-3693331"/>
    <m/>
    <n v="201907"/>
    <x v="2"/>
    <x v="1"/>
    <x v="2"/>
  </r>
  <r>
    <x v="9"/>
    <n v="160185.99"/>
    <x v="165"/>
    <d v="2020-09-27T00:00:00"/>
    <x v="4"/>
    <x v="38"/>
    <x v="9"/>
    <x v="18"/>
    <x v="1"/>
    <s v="98-3033030"/>
    <m/>
    <n v="202009"/>
    <x v="1"/>
    <x v="0"/>
    <x v="1"/>
  </r>
  <r>
    <x v="4"/>
    <n v="81219.67"/>
    <x v="166"/>
    <d v="2020-05-20T00:00:00"/>
    <x v="2"/>
    <x v="3"/>
    <x v="4"/>
    <x v="8"/>
    <x v="1"/>
    <s v="34-5793997"/>
    <m/>
    <n v="202005"/>
    <x v="6"/>
    <x v="0"/>
    <x v="6"/>
  </r>
  <r>
    <x v="2"/>
    <n v="108412.76"/>
    <x v="167"/>
    <d v="2019-08-03T00:00:00"/>
    <x v="6"/>
    <x v="56"/>
    <x v="2"/>
    <x v="12"/>
    <x v="0"/>
    <s v="52-7280101"/>
    <m/>
    <n v="201908"/>
    <x v="5"/>
    <x v="1"/>
    <x v="5"/>
  </r>
  <r>
    <x v="3"/>
    <n v="42028.45"/>
    <x v="168"/>
    <d v="2020-03-01T00:00:00"/>
    <x v="9"/>
    <x v="3"/>
    <x v="3"/>
    <x v="5"/>
    <x v="1"/>
    <s v="55-3118263"/>
    <m/>
    <n v="202003"/>
    <x v="10"/>
    <x v="0"/>
    <x v="10"/>
  </r>
  <r>
    <x v="0"/>
    <n v="62272.959999999999"/>
    <x v="169"/>
    <d v="2019-02-20T00:00:00"/>
    <x v="3"/>
    <x v="56"/>
    <x v="0"/>
    <x v="19"/>
    <x v="1"/>
    <s v="58-9822844"/>
    <m/>
    <n v="201902"/>
    <x v="0"/>
    <x v="1"/>
    <x v="0"/>
  </r>
  <r>
    <x v="0"/>
    <n v="91350.76"/>
    <x v="170"/>
    <d v="2019-02-04T00:00:00"/>
    <x v="1"/>
    <x v="11"/>
    <x v="0"/>
    <x v="13"/>
    <x v="1"/>
    <s v="51-5324396"/>
    <m/>
    <n v="201902"/>
    <x v="0"/>
    <x v="1"/>
    <x v="0"/>
  </r>
  <r>
    <x v="4"/>
    <n v="123272.44"/>
    <x v="171"/>
    <d v="2019-01-20T00:00:00"/>
    <x v="2"/>
    <x v="33"/>
    <x v="4"/>
    <x v="8"/>
    <x v="2"/>
    <s v="99-5465830"/>
    <m/>
    <n v="201901"/>
    <x v="7"/>
    <x v="1"/>
    <x v="7"/>
  </r>
  <r>
    <x v="9"/>
    <n v="182852.21"/>
    <x v="172"/>
    <d v="2019-12-28T00:00:00"/>
    <x v="7"/>
    <x v="4"/>
    <x v="9"/>
    <x v="18"/>
    <x v="1"/>
    <s v="01-8696189"/>
    <m/>
    <n v="201912"/>
    <x v="4"/>
    <x v="1"/>
    <x v="4"/>
  </r>
  <r>
    <x v="2"/>
    <n v="118321.11"/>
    <x v="173"/>
    <d v="2020-11-23T00:00:00"/>
    <x v="8"/>
    <x v="11"/>
    <x v="2"/>
    <x v="3"/>
    <x v="2"/>
    <s v="20-7636879"/>
    <m/>
    <n v="202011"/>
    <x v="8"/>
    <x v="0"/>
    <x v="8"/>
  </r>
  <r>
    <x v="4"/>
    <n v="74295.81"/>
    <x v="174"/>
    <d v="2019-04-11T00:00:00"/>
    <x v="1"/>
    <x v="22"/>
    <x v="4"/>
    <x v="8"/>
    <x v="1"/>
    <s v="85-8092784"/>
    <m/>
    <n v="201904"/>
    <x v="3"/>
    <x v="1"/>
    <x v="3"/>
  </r>
  <r>
    <x v="4"/>
    <n v="152865.34"/>
    <x v="175"/>
    <d v="2020-12-06T00:00:00"/>
    <x v="2"/>
    <x v="57"/>
    <x v="4"/>
    <x v="8"/>
    <x v="1"/>
    <s v="97-5905883"/>
    <m/>
    <n v="202012"/>
    <x v="4"/>
    <x v="0"/>
    <x v="4"/>
  </r>
  <r>
    <x v="5"/>
    <n v="171458.64"/>
    <x v="176"/>
    <d v="2019-08-16T00:00:00"/>
    <x v="0"/>
    <x v="29"/>
    <x v="5"/>
    <x v="20"/>
    <x v="1"/>
    <s v="74-6473826"/>
    <m/>
    <n v="201908"/>
    <x v="5"/>
    <x v="1"/>
    <x v="5"/>
  </r>
  <r>
    <x v="4"/>
    <n v="156177.76999999999"/>
    <x v="177"/>
    <d v="2019-12-24T00:00:00"/>
    <x v="2"/>
    <x v="4"/>
    <x v="4"/>
    <x v="6"/>
    <x v="1"/>
    <s v="91-0416047"/>
    <m/>
    <n v="201912"/>
    <x v="4"/>
    <x v="1"/>
    <x v="4"/>
  </r>
  <r>
    <x v="2"/>
    <n v="116023.51"/>
    <x v="178"/>
    <d v="2020-06-02T00:00:00"/>
    <x v="6"/>
    <x v="11"/>
    <x v="2"/>
    <x v="2"/>
    <x v="1"/>
    <s v="34-0232219"/>
    <m/>
    <n v="202006"/>
    <x v="9"/>
    <x v="0"/>
    <x v="9"/>
  </r>
  <r>
    <x v="5"/>
    <n v="70657.259999999995"/>
    <x v="179"/>
    <d v="2020-09-05T00:00:00"/>
    <x v="9"/>
    <x v="12"/>
    <x v="5"/>
    <x v="7"/>
    <x v="1"/>
    <s v="34-0783331"/>
    <m/>
    <n v="202009"/>
    <x v="1"/>
    <x v="0"/>
    <x v="1"/>
  </r>
  <r>
    <x v="6"/>
    <n v="104152.15"/>
    <x v="180"/>
    <d v="2019-05-06T00:00:00"/>
    <x v="6"/>
    <x v="9"/>
    <x v="6"/>
    <x v="14"/>
    <x v="0"/>
    <s v="30-8215510"/>
    <m/>
    <n v="201905"/>
    <x v="6"/>
    <x v="1"/>
    <x v="6"/>
  </r>
  <r>
    <x v="2"/>
    <n v="84224.98"/>
    <x v="181"/>
    <d v="2019-01-21T00:00:00"/>
    <x v="5"/>
    <x v="3"/>
    <x v="2"/>
    <x v="3"/>
    <x v="0"/>
    <s v="95-3196761"/>
    <m/>
    <n v="201901"/>
    <x v="7"/>
    <x v="1"/>
    <x v="7"/>
  </r>
  <r>
    <x v="2"/>
    <n v="172505.24"/>
    <x v="182"/>
    <d v="2020-10-02T00:00:00"/>
    <x v="4"/>
    <x v="56"/>
    <x v="2"/>
    <x v="29"/>
    <x v="1"/>
    <s v="99-3651863"/>
    <m/>
    <n v="202010"/>
    <x v="11"/>
    <x v="0"/>
    <x v="11"/>
  </r>
  <r>
    <x v="2"/>
    <n v="89830.34"/>
    <x v="183"/>
    <d v="2019-04-19T00:00:00"/>
    <x v="1"/>
    <x v="4"/>
    <x v="2"/>
    <x v="3"/>
    <x v="2"/>
    <s v="94-8641337"/>
    <m/>
    <n v="201904"/>
    <x v="3"/>
    <x v="1"/>
    <x v="3"/>
  </r>
  <r>
    <x v="6"/>
    <n v="353925.06"/>
    <x v="184"/>
    <d v="2020-12-04T00:00:00"/>
    <x v="2"/>
    <x v="51"/>
    <x v="6"/>
    <x v="14"/>
    <x v="1"/>
    <s v="36-2694099"/>
    <m/>
    <n v="202012"/>
    <x v="4"/>
    <x v="0"/>
    <x v="4"/>
  </r>
  <r>
    <x v="5"/>
    <n v="141436.98000000001"/>
    <x v="185"/>
    <d v="2019-05-26T00:00:00"/>
    <x v="7"/>
    <x v="32"/>
    <x v="5"/>
    <x v="7"/>
    <x v="1"/>
    <s v="40-5308505"/>
    <m/>
    <n v="201905"/>
    <x v="6"/>
    <x v="1"/>
    <x v="6"/>
  </r>
  <r>
    <x v="4"/>
    <n v="178465.4"/>
    <x v="186"/>
    <d v="2020-04-27T00:00:00"/>
    <x v="4"/>
    <x v="56"/>
    <x v="4"/>
    <x v="6"/>
    <x v="1"/>
    <s v="68-8279682"/>
    <m/>
    <n v="202004"/>
    <x v="3"/>
    <x v="0"/>
    <x v="3"/>
  </r>
  <r>
    <x v="0"/>
    <n v="110092.84"/>
    <x v="187"/>
    <d v="2020-06-29T00:00:00"/>
    <x v="9"/>
    <x v="12"/>
    <x v="0"/>
    <x v="9"/>
    <x v="2"/>
    <s v="50-2481520"/>
    <m/>
    <n v="202006"/>
    <x v="9"/>
    <x v="0"/>
    <x v="9"/>
  </r>
  <r>
    <x v="4"/>
    <n v="154715.49"/>
    <x v="188"/>
    <d v="2020-10-23T00:00:00"/>
    <x v="8"/>
    <x v="37"/>
    <x v="4"/>
    <x v="8"/>
    <x v="1"/>
    <s v="46-1054213"/>
    <m/>
    <n v="202010"/>
    <x v="11"/>
    <x v="0"/>
    <x v="11"/>
  </r>
  <r>
    <x v="0"/>
    <n v="92877.57"/>
    <x v="189"/>
    <d v="2020-04-05T00:00:00"/>
    <x v="8"/>
    <x v="10"/>
    <x v="0"/>
    <x v="0"/>
    <x v="0"/>
    <s v="40-9497268"/>
    <m/>
    <n v="202004"/>
    <x v="3"/>
    <x v="0"/>
    <x v="3"/>
  </r>
  <r>
    <x v="5"/>
    <n v="66141.13"/>
    <x v="190"/>
    <d v="2019-05-26T00:00:00"/>
    <x v="2"/>
    <x v="58"/>
    <x v="5"/>
    <x v="21"/>
    <x v="1"/>
    <s v="54-5107115"/>
    <m/>
    <n v="201905"/>
    <x v="6"/>
    <x v="1"/>
    <x v="6"/>
  </r>
  <r>
    <x v="12"/>
    <n v="241782.39"/>
    <x v="191"/>
    <d v="2020-06-09T00:00:00"/>
    <x v="5"/>
    <x v="4"/>
    <x v="12"/>
    <x v="28"/>
    <x v="1"/>
    <s v="15-7053450"/>
    <m/>
    <n v="202006"/>
    <x v="9"/>
    <x v="0"/>
    <x v="9"/>
  </r>
  <r>
    <x v="2"/>
    <n v="211872.69"/>
    <x v="192"/>
    <d v="2019-07-23T00:00:00"/>
    <x v="1"/>
    <x v="4"/>
    <x v="2"/>
    <x v="15"/>
    <x v="0"/>
    <s v="36-2012010"/>
    <m/>
    <n v="201907"/>
    <x v="2"/>
    <x v="1"/>
    <x v="2"/>
  </r>
  <r>
    <x v="2"/>
    <n v="170408.23"/>
    <x v="193"/>
    <d v="2020-11-03T00:00:00"/>
    <x v="2"/>
    <x v="56"/>
    <x v="2"/>
    <x v="3"/>
    <x v="0"/>
    <s v="61-7521706"/>
    <m/>
    <n v="202011"/>
    <x v="8"/>
    <x v="0"/>
    <x v="8"/>
  </r>
  <r>
    <x v="0"/>
    <n v="157683.41"/>
    <x v="194"/>
    <d v="2019-06-08T00:00:00"/>
    <x v="8"/>
    <x v="35"/>
    <x v="0"/>
    <x v="13"/>
    <x v="2"/>
    <s v="17-0893784"/>
    <m/>
    <n v="201906"/>
    <x v="9"/>
    <x v="1"/>
    <x v="9"/>
  </r>
  <r>
    <x v="2"/>
    <n v="116157.89"/>
    <x v="195"/>
    <d v="2019-11-14T00:00:00"/>
    <x v="1"/>
    <x v="59"/>
    <x v="2"/>
    <x v="15"/>
    <x v="1"/>
    <s v="23-5766200"/>
    <m/>
    <n v="201911"/>
    <x v="8"/>
    <x v="1"/>
    <x v="8"/>
  </r>
  <r>
    <x v="5"/>
    <n v="56106.13"/>
    <x v="196"/>
    <d v="2020-03-12T00:00:00"/>
    <x v="8"/>
    <x v="12"/>
    <x v="5"/>
    <x v="10"/>
    <x v="1"/>
    <s v="24-3140242"/>
    <m/>
    <n v="202003"/>
    <x v="10"/>
    <x v="0"/>
    <x v="10"/>
  </r>
  <r>
    <x v="0"/>
    <n v="40385.449999999997"/>
    <x v="197"/>
    <d v="2020-07-15T00:00:00"/>
    <x v="6"/>
    <x v="17"/>
    <x v="0"/>
    <x v="25"/>
    <x v="1"/>
    <s v="81-0573181"/>
    <m/>
    <n v="202007"/>
    <x v="2"/>
    <x v="0"/>
    <x v="2"/>
  </r>
  <r>
    <x v="4"/>
    <n v="112491.58"/>
    <x v="198"/>
    <d v="2019-10-24T00:00:00"/>
    <x v="5"/>
    <x v="3"/>
    <x v="4"/>
    <x v="8"/>
    <x v="0"/>
    <s v="13-1936536"/>
    <m/>
    <n v="201910"/>
    <x v="11"/>
    <x v="1"/>
    <x v="11"/>
  </r>
  <r>
    <x v="1"/>
    <n v="200635.57"/>
    <x v="199"/>
    <d v="2019-12-11T00:00:00"/>
    <x v="2"/>
    <x v="2"/>
    <x v="1"/>
    <x v="1"/>
    <x v="1"/>
    <s v="94-8026718"/>
    <m/>
    <n v="201912"/>
    <x v="4"/>
    <x v="1"/>
    <x v="4"/>
  </r>
  <r>
    <x v="2"/>
    <n v="243176.92"/>
    <x v="200"/>
    <d v="2020-07-03T00:00:00"/>
    <x v="5"/>
    <x v="8"/>
    <x v="2"/>
    <x v="15"/>
    <x v="1"/>
    <s v="81-5976459"/>
    <m/>
    <n v="202007"/>
    <x v="2"/>
    <x v="0"/>
    <x v="2"/>
  </r>
  <r>
    <x v="2"/>
    <n v="52227.07"/>
    <x v="201"/>
    <d v="2019-03-14T00:00:00"/>
    <x v="0"/>
    <x v="5"/>
    <x v="2"/>
    <x v="12"/>
    <x v="1"/>
    <s v="28-6038070"/>
    <m/>
    <n v="201903"/>
    <x v="10"/>
    <x v="1"/>
    <x v="10"/>
  </r>
  <r>
    <x v="8"/>
    <n v="147672.87"/>
    <x v="202"/>
    <d v="2019-10-15T00:00:00"/>
    <x v="8"/>
    <x v="60"/>
    <x v="8"/>
    <x v="24"/>
    <x v="1"/>
    <s v="81-7970957"/>
    <m/>
    <n v="201910"/>
    <x v="11"/>
    <x v="1"/>
    <x v="11"/>
  </r>
  <r>
    <x v="5"/>
    <n v="149500.60999999999"/>
    <x v="203"/>
    <d v="2020-07-24T00:00:00"/>
    <x v="1"/>
    <x v="29"/>
    <x v="5"/>
    <x v="20"/>
    <x v="1"/>
    <s v="60-8646184"/>
    <m/>
    <n v="202007"/>
    <x v="2"/>
    <x v="0"/>
    <x v="2"/>
  </r>
  <r>
    <x v="5"/>
    <n v="53089.52"/>
    <x v="204"/>
    <d v="2019-08-24T00:00:00"/>
    <x v="3"/>
    <x v="0"/>
    <x v="5"/>
    <x v="20"/>
    <x v="1"/>
    <s v="32-2114915"/>
    <m/>
    <n v="201908"/>
    <x v="5"/>
    <x v="1"/>
    <x v="5"/>
  </r>
  <r>
    <x v="5"/>
    <n v="85223.07"/>
    <x v="205"/>
    <d v="2019-09-15T00:00:00"/>
    <x v="3"/>
    <x v="27"/>
    <x v="5"/>
    <x v="7"/>
    <x v="1"/>
    <s v="58-7865136"/>
    <m/>
    <n v="201909"/>
    <x v="1"/>
    <x v="1"/>
    <x v="1"/>
  </r>
  <r>
    <x v="13"/>
    <n v="58948.52"/>
    <x v="206"/>
    <d v="2020-05-20T00:00:00"/>
    <x v="2"/>
    <x v="10"/>
    <x v="13"/>
    <x v="30"/>
    <x v="1"/>
    <s v="98-9112505"/>
    <m/>
    <n v="202005"/>
    <x v="6"/>
    <x v="0"/>
    <x v="6"/>
  </r>
  <r>
    <x v="2"/>
    <n v="165696.9"/>
    <x v="207"/>
    <d v="2020-10-22T00:00:00"/>
    <x v="8"/>
    <x v="15"/>
    <x v="2"/>
    <x v="3"/>
    <x v="1"/>
    <s v="03-0455038"/>
    <m/>
    <n v="202010"/>
    <x v="11"/>
    <x v="0"/>
    <x v="11"/>
  </r>
  <r>
    <x v="0"/>
    <n v="177993.88"/>
    <x v="208"/>
    <d v="2019-12-02T00:00:00"/>
    <x v="7"/>
    <x v="4"/>
    <x v="0"/>
    <x v="13"/>
    <x v="2"/>
    <s v="71-0122842"/>
    <m/>
    <n v="201912"/>
    <x v="4"/>
    <x v="1"/>
    <x v="4"/>
  </r>
  <r>
    <x v="5"/>
    <n v="108713.83"/>
    <x v="209"/>
    <d v="2020-03-09T00:00:00"/>
    <x v="2"/>
    <x v="3"/>
    <x v="5"/>
    <x v="10"/>
    <x v="1"/>
    <s v="55-1395838"/>
    <m/>
    <n v="202003"/>
    <x v="10"/>
    <x v="0"/>
    <x v="10"/>
  </r>
  <r>
    <x v="1"/>
    <n v="25816.05"/>
    <x v="210"/>
    <d v="2019-09-08T00:00:00"/>
    <x v="2"/>
    <x v="37"/>
    <x v="1"/>
    <x v="31"/>
    <x v="0"/>
    <s v="95-7886861"/>
    <m/>
    <n v="201909"/>
    <x v="1"/>
    <x v="1"/>
    <x v="1"/>
  </r>
  <r>
    <x v="2"/>
    <n v="154072.89000000001"/>
    <x v="211"/>
    <d v="2020-09-30T00:00:00"/>
    <x v="3"/>
    <x v="12"/>
    <x v="2"/>
    <x v="2"/>
    <x v="1"/>
    <s v="19-3013452"/>
    <m/>
    <n v="202009"/>
    <x v="1"/>
    <x v="0"/>
    <x v="1"/>
  </r>
  <r>
    <x v="1"/>
    <n v="194962.05"/>
    <x v="212"/>
    <d v="2020-07-05T00:00:00"/>
    <x v="5"/>
    <x v="12"/>
    <x v="1"/>
    <x v="31"/>
    <x v="1"/>
    <s v="54-5082146"/>
    <m/>
    <n v="202007"/>
    <x v="2"/>
    <x v="0"/>
    <x v="2"/>
  </r>
  <r>
    <x v="2"/>
    <n v="60744.83"/>
    <x v="213"/>
    <d v="2020-03-19T00:00:00"/>
    <x v="6"/>
    <x v="8"/>
    <x v="2"/>
    <x v="29"/>
    <x v="1"/>
    <s v="69-4462108"/>
    <m/>
    <n v="202003"/>
    <x v="10"/>
    <x v="0"/>
    <x v="10"/>
  </r>
  <r>
    <x v="0"/>
    <n v="39313.39"/>
    <x v="214"/>
    <d v="2020-10-10T00:00:00"/>
    <x v="3"/>
    <x v="51"/>
    <x v="0"/>
    <x v="9"/>
    <x v="0"/>
    <s v="68-3731565"/>
    <m/>
    <n v="202010"/>
    <x v="11"/>
    <x v="0"/>
    <x v="11"/>
  </r>
  <r>
    <x v="5"/>
    <n v="119820.82"/>
    <x v="215"/>
    <d v="2019-06-16T00:00:00"/>
    <x v="5"/>
    <x v="19"/>
    <x v="5"/>
    <x v="10"/>
    <x v="1"/>
    <s v="82-2972108"/>
    <m/>
    <n v="201906"/>
    <x v="9"/>
    <x v="1"/>
    <x v="9"/>
  </r>
  <r>
    <x v="4"/>
    <n v="129485.51"/>
    <x v="216"/>
    <d v="2019-01-05T00:00:00"/>
    <x v="5"/>
    <x v="40"/>
    <x v="4"/>
    <x v="11"/>
    <x v="1"/>
    <s v="15-2503493"/>
    <m/>
    <n v="201901"/>
    <x v="7"/>
    <x v="1"/>
    <x v="7"/>
  </r>
  <r>
    <x v="10"/>
    <n v="163203.64000000001"/>
    <x v="217"/>
    <d v="2019-06-21T00:00:00"/>
    <x v="6"/>
    <x v="9"/>
    <x v="10"/>
    <x v="22"/>
    <x v="1"/>
    <s v="37-0857161"/>
    <m/>
    <n v="201906"/>
    <x v="9"/>
    <x v="1"/>
    <x v="9"/>
  </r>
  <r>
    <x v="5"/>
    <n v="62788.04"/>
    <x v="218"/>
    <d v="2020-02-13T00:00:00"/>
    <x v="5"/>
    <x v="34"/>
    <x v="5"/>
    <x v="23"/>
    <x v="1"/>
    <s v="71-2709641"/>
    <m/>
    <n v="202002"/>
    <x v="0"/>
    <x v="0"/>
    <x v="0"/>
  </r>
  <r>
    <x v="2"/>
    <n v="148037.71"/>
    <x v="219"/>
    <d v="2020-04-14T00:00:00"/>
    <x v="8"/>
    <x v="14"/>
    <x v="2"/>
    <x v="12"/>
    <x v="1"/>
    <s v="10-5899580"/>
    <m/>
    <n v="202004"/>
    <x v="3"/>
    <x v="0"/>
    <x v="3"/>
  </r>
  <r>
    <x v="11"/>
    <n v="55539.67"/>
    <x v="220"/>
    <d v="2020-03-21T00:00:00"/>
    <x v="8"/>
    <x v="34"/>
    <x v="11"/>
    <x v="27"/>
    <x v="1"/>
    <s v="10-9241948"/>
    <m/>
    <n v="202003"/>
    <x v="10"/>
    <x v="0"/>
    <x v="10"/>
  </r>
  <r>
    <x v="5"/>
    <n v="150135"/>
    <x v="221"/>
    <d v="2020-09-09T00:00:00"/>
    <x v="6"/>
    <x v="2"/>
    <x v="5"/>
    <x v="23"/>
    <x v="1"/>
    <s v="68-0080728"/>
    <m/>
    <n v="202009"/>
    <x v="1"/>
    <x v="0"/>
    <x v="1"/>
  </r>
  <r>
    <x v="11"/>
    <n v="85294.3"/>
    <x v="222"/>
    <d v="2020-03-25T00:00:00"/>
    <x v="3"/>
    <x v="38"/>
    <x v="11"/>
    <x v="26"/>
    <x v="1"/>
    <s v="47-0640313"/>
    <m/>
    <n v="202003"/>
    <x v="10"/>
    <x v="0"/>
    <x v="10"/>
  </r>
  <r>
    <x v="9"/>
    <n v="136079.62"/>
    <x v="223"/>
    <d v="2019-08-29T00:00:00"/>
    <x v="1"/>
    <x v="42"/>
    <x v="9"/>
    <x v="18"/>
    <x v="1"/>
    <s v="37-6597365"/>
    <m/>
    <n v="201908"/>
    <x v="5"/>
    <x v="1"/>
    <x v="5"/>
  </r>
  <r>
    <x v="1"/>
    <n v="186397.6"/>
    <x v="224"/>
    <d v="2020-12-04T00:00:00"/>
    <x v="5"/>
    <x v="61"/>
    <x v="1"/>
    <x v="31"/>
    <x v="0"/>
    <s v="13-0833129"/>
    <m/>
    <n v="202012"/>
    <x v="4"/>
    <x v="0"/>
    <x v="4"/>
  </r>
  <r>
    <x v="12"/>
    <n v="32695.37"/>
    <x v="225"/>
    <d v="2020-11-28T00:00:00"/>
    <x v="4"/>
    <x v="4"/>
    <x v="12"/>
    <x v="28"/>
    <x v="0"/>
    <s v="15-2994585"/>
    <m/>
    <n v="202011"/>
    <x v="8"/>
    <x v="0"/>
    <x v="8"/>
  </r>
  <r>
    <x v="5"/>
    <n v="86077.83"/>
    <x v="226"/>
    <d v="2019-11-03T00:00:00"/>
    <x v="5"/>
    <x v="4"/>
    <x v="5"/>
    <x v="10"/>
    <x v="1"/>
    <s v="85-7784608"/>
    <m/>
    <n v="201911"/>
    <x v="8"/>
    <x v="1"/>
    <x v="8"/>
  </r>
  <r>
    <x v="0"/>
    <n v="72885.55"/>
    <x v="227"/>
    <d v="2020-12-29T00:00:00"/>
    <x v="2"/>
    <x v="4"/>
    <x v="0"/>
    <x v="9"/>
    <x v="1"/>
    <s v="22-3969127"/>
    <m/>
    <n v="202012"/>
    <x v="4"/>
    <x v="0"/>
    <x v="4"/>
  </r>
  <r>
    <x v="2"/>
    <n v="100469.75"/>
    <x v="228"/>
    <d v="2019-05-17T00:00:00"/>
    <x v="8"/>
    <x v="4"/>
    <x v="2"/>
    <x v="3"/>
    <x v="1"/>
    <s v="80-2242820"/>
    <m/>
    <n v="201905"/>
    <x v="6"/>
    <x v="1"/>
    <x v="6"/>
  </r>
  <r>
    <x v="0"/>
    <n v="40831.519999999997"/>
    <x v="229"/>
    <d v="2019-04-26T00:00:00"/>
    <x v="5"/>
    <x v="24"/>
    <x v="0"/>
    <x v="0"/>
    <x v="1"/>
    <s v="35-1705563"/>
    <m/>
    <n v="201904"/>
    <x v="3"/>
    <x v="1"/>
    <x v="3"/>
  </r>
  <r>
    <x v="10"/>
    <n v="142353.07"/>
    <x v="230"/>
    <d v="2019-07-24T00:00:00"/>
    <x v="0"/>
    <x v="23"/>
    <x v="10"/>
    <x v="22"/>
    <x v="1"/>
    <s v="93-9941140"/>
    <m/>
    <n v="201907"/>
    <x v="2"/>
    <x v="1"/>
    <x v="2"/>
  </r>
  <r>
    <x v="0"/>
    <n v="250315.06"/>
    <x v="231"/>
    <d v="2019-07-08T00:00:00"/>
    <x v="3"/>
    <x v="40"/>
    <x v="0"/>
    <x v="13"/>
    <x v="1"/>
    <s v="36-2366573"/>
    <m/>
    <n v="201907"/>
    <x v="2"/>
    <x v="1"/>
    <x v="2"/>
  </r>
  <r>
    <x v="4"/>
    <n v="100094.97"/>
    <x v="232"/>
    <d v="2020-11-08T00:00:00"/>
    <x v="1"/>
    <x v="9"/>
    <x v="4"/>
    <x v="8"/>
    <x v="1"/>
    <s v="10-9932801"/>
    <m/>
    <n v="202011"/>
    <x v="8"/>
    <x v="0"/>
    <x v="8"/>
  </r>
  <r>
    <x v="4"/>
    <n v="77128.75"/>
    <x v="233"/>
    <d v="2020-08-09T00:00:00"/>
    <x v="0"/>
    <x v="46"/>
    <x v="4"/>
    <x v="11"/>
    <x v="0"/>
    <s v="70-8991739"/>
    <m/>
    <n v="202008"/>
    <x v="5"/>
    <x v="0"/>
    <x v="5"/>
  </r>
  <r>
    <x v="5"/>
    <n v="176114.73"/>
    <x v="234"/>
    <d v="2020-11-24T00:00:00"/>
    <x v="8"/>
    <x v="4"/>
    <x v="5"/>
    <x v="7"/>
    <x v="1"/>
    <s v="97-4830372"/>
    <m/>
    <n v="202011"/>
    <x v="8"/>
    <x v="0"/>
    <x v="8"/>
  </r>
  <r>
    <x v="5"/>
    <n v="146325.53"/>
    <x v="235"/>
    <d v="2020-08-09T00:00:00"/>
    <x v="1"/>
    <x v="62"/>
    <x v="5"/>
    <x v="20"/>
    <x v="1"/>
    <s v="95-8015610"/>
    <m/>
    <n v="202008"/>
    <x v="5"/>
    <x v="0"/>
    <x v="5"/>
  </r>
  <r>
    <x v="12"/>
    <n v="161823.46"/>
    <x v="236"/>
    <d v="2020-07-20T00:00:00"/>
    <x v="2"/>
    <x v="21"/>
    <x v="12"/>
    <x v="28"/>
    <x v="1"/>
    <s v="84-1062113"/>
    <m/>
    <n v="202007"/>
    <x v="2"/>
    <x v="0"/>
    <x v="2"/>
  </r>
  <r>
    <x v="0"/>
    <n v="132632.97"/>
    <x v="237"/>
    <d v="2019-04-23T00:00:00"/>
    <x v="8"/>
    <x v="22"/>
    <x v="0"/>
    <x v="9"/>
    <x v="1"/>
    <s v="05-5082715"/>
    <m/>
    <n v="201904"/>
    <x v="3"/>
    <x v="1"/>
    <x v="3"/>
  </r>
  <r>
    <x v="2"/>
    <n v="107232.99"/>
    <x v="238"/>
    <d v="2020-03-08T00:00:00"/>
    <x v="5"/>
    <x v="3"/>
    <x v="2"/>
    <x v="2"/>
    <x v="1"/>
    <s v="35-6942653"/>
    <m/>
    <n v="202003"/>
    <x v="10"/>
    <x v="0"/>
    <x v="10"/>
  </r>
  <r>
    <x v="0"/>
    <n v="120763.23"/>
    <x v="239"/>
    <d v="2020-04-14T00:00:00"/>
    <x v="2"/>
    <x v="18"/>
    <x v="0"/>
    <x v="9"/>
    <x v="1"/>
    <s v="79-6623911"/>
    <m/>
    <n v="202004"/>
    <x v="3"/>
    <x v="0"/>
    <x v="3"/>
  </r>
  <r>
    <x v="8"/>
    <n v="278731.90000000002"/>
    <x v="240"/>
    <d v="2019-12-05T00:00:00"/>
    <x v="5"/>
    <x v="42"/>
    <x v="8"/>
    <x v="24"/>
    <x v="1"/>
    <s v="48-7662634"/>
    <m/>
    <n v="201912"/>
    <x v="4"/>
    <x v="1"/>
    <x v="4"/>
  </r>
  <r>
    <x v="8"/>
    <n v="138153.70000000001"/>
    <x v="241"/>
    <d v="2019-02-14T00:00:00"/>
    <x v="1"/>
    <x v="29"/>
    <x v="8"/>
    <x v="24"/>
    <x v="1"/>
    <s v="46-5888587"/>
    <m/>
    <n v="201902"/>
    <x v="0"/>
    <x v="1"/>
    <x v="0"/>
  </r>
  <r>
    <x v="11"/>
    <n v="68802.13"/>
    <x v="242"/>
    <d v="2020-09-15T00:00:00"/>
    <x v="3"/>
    <x v="20"/>
    <x v="11"/>
    <x v="26"/>
    <x v="1"/>
    <s v="17-3178991"/>
    <m/>
    <n v="202009"/>
    <x v="1"/>
    <x v="0"/>
    <x v="1"/>
  </r>
  <r>
    <x v="1"/>
    <n v="35619.279999999999"/>
    <x v="243"/>
    <d v="2019-01-08T00:00:00"/>
    <x v="8"/>
    <x v="18"/>
    <x v="1"/>
    <x v="1"/>
    <x v="1"/>
    <s v="18-8528486"/>
    <m/>
    <n v="201901"/>
    <x v="7"/>
    <x v="1"/>
    <x v="7"/>
  </r>
  <r>
    <x v="4"/>
    <n v="65014.84"/>
    <x v="244"/>
    <d v="2020-03-27T00:00:00"/>
    <x v="7"/>
    <x v="46"/>
    <x v="4"/>
    <x v="8"/>
    <x v="0"/>
    <s v="55-4588115"/>
    <m/>
    <n v="202003"/>
    <x v="10"/>
    <x v="0"/>
    <x v="10"/>
  </r>
  <r>
    <x v="12"/>
    <n v="48922.42"/>
    <x v="245"/>
    <d v="2020-10-19T00:00:00"/>
    <x v="7"/>
    <x v="18"/>
    <x v="12"/>
    <x v="28"/>
    <x v="2"/>
    <s v="19-9073616"/>
    <m/>
    <n v="202010"/>
    <x v="11"/>
    <x v="0"/>
    <x v="11"/>
  </r>
  <r>
    <x v="5"/>
    <n v="165262.34"/>
    <x v="246"/>
    <d v="2020-05-19T00:00:00"/>
    <x v="8"/>
    <x v="34"/>
    <x v="5"/>
    <x v="10"/>
    <x v="0"/>
    <s v="96-0020600"/>
    <m/>
    <n v="202005"/>
    <x v="6"/>
    <x v="0"/>
    <x v="6"/>
  </r>
  <r>
    <x v="2"/>
    <n v="164117.24"/>
    <x v="247"/>
    <d v="2020-05-28T00:00:00"/>
    <x v="8"/>
    <x v="38"/>
    <x v="2"/>
    <x v="12"/>
    <x v="1"/>
    <s v="88-7664123"/>
    <m/>
    <n v="202005"/>
    <x v="6"/>
    <x v="0"/>
    <x v="6"/>
  </r>
  <r>
    <x v="2"/>
    <n v="238085.99"/>
    <x v="248"/>
    <d v="2020-07-16T00:00:00"/>
    <x v="2"/>
    <x v="12"/>
    <x v="2"/>
    <x v="15"/>
    <x v="1"/>
    <s v="17-8884817"/>
    <m/>
    <n v="202007"/>
    <x v="2"/>
    <x v="0"/>
    <x v="2"/>
  </r>
  <r>
    <x v="0"/>
    <n v="117733.51"/>
    <x v="249"/>
    <d v="2019-07-13T00:00:00"/>
    <x v="8"/>
    <x v="63"/>
    <x v="0"/>
    <x v="25"/>
    <x v="1"/>
    <s v="45-5509135"/>
    <m/>
    <n v="201907"/>
    <x v="2"/>
    <x v="1"/>
    <x v="2"/>
  </r>
  <r>
    <x v="5"/>
    <n v="26713.46"/>
    <x v="250"/>
    <d v="2020-10-12T00:00:00"/>
    <x v="3"/>
    <x v="10"/>
    <x v="5"/>
    <x v="21"/>
    <x v="1"/>
    <s v="81-4176165"/>
    <m/>
    <n v="202010"/>
    <x v="11"/>
    <x v="0"/>
    <x v="11"/>
  </r>
  <r>
    <x v="5"/>
    <n v="49664.17"/>
    <x v="251"/>
    <d v="2019-10-30T00:00:00"/>
    <x v="0"/>
    <x v="9"/>
    <x v="5"/>
    <x v="10"/>
    <x v="1"/>
    <s v="24-9702599"/>
    <m/>
    <n v="201910"/>
    <x v="11"/>
    <x v="1"/>
    <x v="11"/>
  </r>
  <r>
    <x v="0"/>
    <n v="162101.93"/>
    <x v="252"/>
    <d v="2019-12-19T00:00:00"/>
    <x v="6"/>
    <x v="12"/>
    <x v="0"/>
    <x v="25"/>
    <x v="1"/>
    <s v="24-4272786"/>
    <m/>
    <n v="201912"/>
    <x v="4"/>
    <x v="1"/>
    <x v="4"/>
  </r>
  <r>
    <x v="5"/>
    <n v="118027.37"/>
    <x v="253"/>
    <d v="2019-04-06T00:00:00"/>
    <x v="3"/>
    <x v="4"/>
    <x v="5"/>
    <x v="21"/>
    <x v="1"/>
    <s v="77-3656041"/>
    <m/>
    <n v="201904"/>
    <x v="3"/>
    <x v="1"/>
    <x v="3"/>
  </r>
  <r>
    <x v="0"/>
    <n v="147994.63"/>
    <x v="254"/>
    <d v="2019-01-27T00:00:00"/>
    <x v="1"/>
    <x v="13"/>
    <x v="0"/>
    <x v="13"/>
    <x v="1"/>
    <s v="47-7207206"/>
    <m/>
    <n v="201901"/>
    <x v="7"/>
    <x v="1"/>
    <x v="7"/>
  </r>
  <r>
    <x v="1"/>
    <n v="48946.74"/>
    <x v="255"/>
    <d v="2019-04-19T00:00:00"/>
    <x v="4"/>
    <x v="9"/>
    <x v="1"/>
    <x v="31"/>
    <x v="1"/>
    <s v="65-2022928"/>
    <m/>
    <n v="201904"/>
    <x v="3"/>
    <x v="1"/>
    <x v="3"/>
  </r>
  <r>
    <x v="0"/>
    <n v="73860.570000000007"/>
    <x v="256"/>
    <d v="2020-11-13T00:00:00"/>
    <x v="2"/>
    <x v="40"/>
    <x v="0"/>
    <x v="0"/>
    <x v="1"/>
    <s v="16-5837761"/>
    <m/>
    <n v="202011"/>
    <x v="8"/>
    <x v="0"/>
    <x v="8"/>
  </r>
  <r>
    <x v="2"/>
    <n v="86083.27"/>
    <x v="257"/>
    <d v="2019-11-30T00:00:00"/>
    <x v="8"/>
    <x v="63"/>
    <x v="2"/>
    <x v="15"/>
    <x v="1"/>
    <s v="80-7090422"/>
    <m/>
    <n v="201911"/>
    <x v="8"/>
    <x v="1"/>
    <x v="8"/>
  </r>
  <r>
    <x v="1"/>
    <n v="72385.53"/>
    <x v="258"/>
    <d v="2019-09-10T00:00:00"/>
    <x v="2"/>
    <x v="4"/>
    <x v="1"/>
    <x v="1"/>
    <x v="1"/>
    <s v="66-8222460"/>
    <m/>
    <n v="201909"/>
    <x v="1"/>
    <x v="1"/>
    <x v="1"/>
  </r>
  <r>
    <x v="2"/>
    <n v="120332.26"/>
    <x v="259"/>
    <d v="2020-01-14T00:00:00"/>
    <x v="2"/>
    <x v="59"/>
    <x v="2"/>
    <x v="15"/>
    <x v="2"/>
    <s v="44-0527427"/>
    <m/>
    <n v="202001"/>
    <x v="7"/>
    <x v="0"/>
    <x v="7"/>
  </r>
  <r>
    <x v="0"/>
    <n v="81262.34"/>
    <x v="260"/>
    <d v="2019-09-06T00:00:00"/>
    <x v="0"/>
    <x v="4"/>
    <x v="0"/>
    <x v="9"/>
    <x v="0"/>
    <s v="75-9517276"/>
    <m/>
    <n v="201909"/>
    <x v="1"/>
    <x v="1"/>
    <x v="1"/>
  </r>
  <r>
    <x v="14"/>
    <n v="139075.59"/>
    <x v="261"/>
    <d v="2020-12-16T00:00:00"/>
    <x v="1"/>
    <x v="18"/>
    <x v="14"/>
    <x v="32"/>
    <x v="1"/>
    <s v="24-2403756"/>
    <m/>
    <n v="202012"/>
    <x v="4"/>
    <x v="0"/>
    <x v="4"/>
  </r>
  <r>
    <x v="5"/>
    <n v="50516.2"/>
    <x v="262"/>
    <d v="2019-03-22T00:00:00"/>
    <x v="8"/>
    <x v="25"/>
    <x v="5"/>
    <x v="7"/>
    <x v="1"/>
    <s v="50-1986322"/>
    <m/>
    <n v="201903"/>
    <x v="10"/>
    <x v="1"/>
    <x v="10"/>
  </r>
  <r>
    <x v="0"/>
    <n v="112228.82"/>
    <x v="263"/>
    <d v="2019-09-15T00:00:00"/>
    <x v="7"/>
    <x v="8"/>
    <x v="0"/>
    <x v="0"/>
    <x v="1"/>
    <s v="75-9585763"/>
    <m/>
    <n v="201909"/>
    <x v="1"/>
    <x v="1"/>
    <x v="1"/>
  </r>
  <r>
    <x v="5"/>
    <n v="79833.600000000006"/>
    <x v="264"/>
    <d v="2019-06-15T00:00:00"/>
    <x v="5"/>
    <x v="29"/>
    <x v="5"/>
    <x v="23"/>
    <x v="1"/>
    <s v="86-6760202"/>
    <m/>
    <n v="201906"/>
    <x v="9"/>
    <x v="1"/>
    <x v="9"/>
  </r>
  <r>
    <x v="1"/>
    <n v="135629.35999999999"/>
    <x v="265"/>
    <d v="2020-08-12T00:00:00"/>
    <x v="1"/>
    <x v="11"/>
    <x v="1"/>
    <x v="31"/>
    <x v="1"/>
    <s v="66-7717800"/>
    <m/>
    <n v="202008"/>
    <x v="5"/>
    <x v="0"/>
    <x v="5"/>
  </r>
  <r>
    <x v="9"/>
    <n v="175332.04"/>
    <x v="266"/>
    <d v="2020-09-24T00:00:00"/>
    <x v="4"/>
    <x v="35"/>
    <x v="9"/>
    <x v="18"/>
    <x v="1"/>
    <s v="89-8942175"/>
    <m/>
    <n v="202009"/>
    <x v="1"/>
    <x v="0"/>
    <x v="1"/>
  </r>
  <r>
    <x v="2"/>
    <n v="101923.36"/>
    <x v="267"/>
    <d v="2019-01-19T00:00:00"/>
    <x v="3"/>
    <x v="43"/>
    <x v="2"/>
    <x v="29"/>
    <x v="0"/>
    <s v="38-0584273"/>
    <m/>
    <n v="201901"/>
    <x v="7"/>
    <x v="1"/>
    <x v="7"/>
  </r>
  <r>
    <x v="12"/>
    <n v="190100.96"/>
    <x v="268"/>
    <d v="2019-12-20T00:00:00"/>
    <x v="8"/>
    <x v="32"/>
    <x v="12"/>
    <x v="28"/>
    <x v="1"/>
    <s v="38-8840357"/>
    <m/>
    <n v="201912"/>
    <x v="4"/>
    <x v="1"/>
    <x v="4"/>
  </r>
  <r>
    <x v="6"/>
    <n v="152771.9"/>
    <x v="269"/>
    <d v="2020-05-02T00:00:00"/>
    <x v="2"/>
    <x v="47"/>
    <x v="6"/>
    <x v="14"/>
    <x v="1"/>
    <s v="82-4495901"/>
    <m/>
    <n v="202005"/>
    <x v="6"/>
    <x v="0"/>
    <x v="6"/>
  </r>
  <r>
    <x v="5"/>
    <n v="52805.94"/>
    <x v="270"/>
    <d v="2020-06-22T00:00:00"/>
    <x v="6"/>
    <x v="49"/>
    <x v="5"/>
    <x v="10"/>
    <x v="1"/>
    <s v="81-2373308"/>
    <m/>
    <n v="202006"/>
    <x v="9"/>
    <x v="0"/>
    <x v="9"/>
  </r>
  <r>
    <x v="2"/>
    <n v="51416.24"/>
    <x v="271"/>
    <d v="2020-04-15T00:00:00"/>
    <x v="6"/>
    <x v="30"/>
    <x v="2"/>
    <x v="3"/>
    <x v="1"/>
    <s v="15-0224516"/>
    <m/>
    <n v="202004"/>
    <x v="3"/>
    <x v="0"/>
    <x v="3"/>
  </r>
  <r>
    <x v="9"/>
    <n v="76426.539999999994"/>
    <x v="272"/>
    <d v="2019-03-16T00:00:00"/>
    <x v="2"/>
    <x v="41"/>
    <x v="9"/>
    <x v="18"/>
    <x v="1"/>
    <s v="95-6935153"/>
    <m/>
    <n v="201903"/>
    <x v="10"/>
    <x v="1"/>
    <x v="10"/>
  </r>
  <r>
    <x v="5"/>
    <n v="118021.59"/>
    <x v="273"/>
    <d v="2019-04-21T00:00:00"/>
    <x v="3"/>
    <x v="44"/>
    <x v="5"/>
    <x v="7"/>
    <x v="1"/>
    <s v="60-8661261"/>
    <m/>
    <n v="201904"/>
    <x v="3"/>
    <x v="1"/>
    <x v="3"/>
  </r>
  <r>
    <x v="2"/>
    <n v="59378.97"/>
    <x v="274"/>
    <d v="2020-04-25T00:00:00"/>
    <x v="5"/>
    <x v="6"/>
    <x v="2"/>
    <x v="12"/>
    <x v="1"/>
    <s v="56-2783503"/>
    <m/>
    <n v="202004"/>
    <x v="3"/>
    <x v="0"/>
    <x v="3"/>
  </r>
  <r>
    <x v="3"/>
    <n v="61325.25"/>
    <x v="275"/>
    <d v="2020-07-29T00:00:00"/>
    <x v="3"/>
    <x v="3"/>
    <x v="3"/>
    <x v="33"/>
    <x v="2"/>
    <s v="95-1516475"/>
    <m/>
    <n v="202007"/>
    <x v="2"/>
    <x v="0"/>
    <x v="2"/>
  </r>
  <r>
    <x v="5"/>
    <n v="80431.34"/>
    <x v="276"/>
    <d v="2019-07-22T00:00:00"/>
    <x v="3"/>
    <x v="3"/>
    <x v="5"/>
    <x v="20"/>
    <x v="1"/>
    <s v="32-5562588"/>
    <m/>
    <n v="201907"/>
    <x v="2"/>
    <x v="1"/>
    <x v="2"/>
  </r>
  <r>
    <x v="2"/>
    <n v="177919.14"/>
    <x v="277"/>
    <d v="2020-06-07T00:00:00"/>
    <x v="3"/>
    <x v="32"/>
    <x v="2"/>
    <x v="3"/>
    <x v="1"/>
    <s v="70-7769332"/>
    <m/>
    <n v="202006"/>
    <x v="9"/>
    <x v="0"/>
    <x v="9"/>
  </r>
  <r>
    <x v="11"/>
    <n v="37520.089999999997"/>
    <x v="278"/>
    <d v="2020-05-27T00:00:00"/>
    <x v="2"/>
    <x v="49"/>
    <x v="11"/>
    <x v="26"/>
    <x v="0"/>
    <s v="07-6200800"/>
    <m/>
    <n v="202005"/>
    <x v="6"/>
    <x v="0"/>
    <x v="6"/>
  </r>
  <r>
    <x v="3"/>
    <n v="68745.86"/>
    <x v="279"/>
    <d v="2019-04-09T00:00:00"/>
    <x v="8"/>
    <x v="24"/>
    <x v="3"/>
    <x v="33"/>
    <x v="1"/>
    <s v="11-2988171"/>
    <m/>
    <n v="201904"/>
    <x v="3"/>
    <x v="1"/>
    <x v="3"/>
  </r>
  <r>
    <x v="13"/>
    <n v="69017.42"/>
    <x v="280"/>
    <d v="2020-04-02T00:00:00"/>
    <x v="8"/>
    <x v="35"/>
    <x v="13"/>
    <x v="30"/>
    <x v="1"/>
    <s v="38-3894304"/>
    <m/>
    <n v="202004"/>
    <x v="3"/>
    <x v="0"/>
    <x v="3"/>
  </r>
  <r>
    <x v="5"/>
    <n v="48850.38"/>
    <x v="281"/>
    <d v="2019-03-31T00:00:00"/>
    <x v="5"/>
    <x v="30"/>
    <x v="5"/>
    <x v="20"/>
    <x v="1"/>
    <s v="33-6126082"/>
    <m/>
    <n v="201903"/>
    <x v="10"/>
    <x v="1"/>
    <x v="10"/>
  </r>
  <r>
    <x v="6"/>
    <n v="253291.55"/>
    <x v="282"/>
    <d v="2020-06-12T00:00:00"/>
    <x v="0"/>
    <x v="34"/>
    <x v="6"/>
    <x v="14"/>
    <x v="1"/>
    <s v="25-4970452"/>
    <m/>
    <n v="202006"/>
    <x v="9"/>
    <x v="0"/>
    <x v="9"/>
  </r>
  <r>
    <x v="2"/>
    <n v="47186.74"/>
    <x v="283"/>
    <d v="2019-07-28T00:00:00"/>
    <x v="8"/>
    <x v="64"/>
    <x v="2"/>
    <x v="3"/>
    <x v="1"/>
    <s v="34-8903845"/>
    <m/>
    <n v="201907"/>
    <x v="2"/>
    <x v="1"/>
    <x v="2"/>
  </r>
  <r>
    <x v="2"/>
    <n v="59670.68"/>
    <x v="284"/>
    <d v="2019-09-10T00:00:00"/>
    <x v="5"/>
    <x v="43"/>
    <x v="2"/>
    <x v="3"/>
    <x v="1"/>
    <s v="32-2110689"/>
    <m/>
    <n v="201909"/>
    <x v="1"/>
    <x v="1"/>
    <x v="1"/>
  </r>
  <r>
    <x v="2"/>
    <n v="228961.3"/>
    <x v="285"/>
    <d v="2020-06-01T00:00:00"/>
    <x v="5"/>
    <x v="4"/>
    <x v="2"/>
    <x v="15"/>
    <x v="1"/>
    <s v="37-8204282"/>
    <m/>
    <n v="202006"/>
    <x v="9"/>
    <x v="0"/>
    <x v="9"/>
  </r>
  <r>
    <x v="5"/>
    <n v="165259.57999999999"/>
    <x v="286"/>
    <d v="2020-06-26T00:00:00"/>
    <x v="7"/>
    <x v="17"/>
    <x v="5"/>
    <x v="20"/>
    <x v="1"/>
    <s v="46-1318487"/>
    <m/>
    <n v="202006"/>
    <x v="9"/>
    <x v="0"/>
    <x v="9"/>
  </r>
  <r>
    <x v="5"/>
    <n v="219911.81"/>
    <x v="287"/>
    <d v="2019-07-05T00:00:00"/>
    <x v="2"/>
    <x v="37"/>
    <x v="5"/>
    <x v="20"/>
    <x v="1"/>
    <s v="99-3971751"/>
    <m/>
    <n v="201907"/>
    <x v="2"/>
    <x v="1"/>
    <x v="2"/>
  </r>
  <r>
    <x v="1"/>
    <n v="55882.12"/>
    <x v="288"/>
    <d v="2020-05-20T00:00:00"/>
    <x v="2"/>
    <x v="18"/>
    <x v="1"/>
    <x v="31"/>
    <x v="1"/>
    <s v="24-7985425"/>
    <m/>
    <n v="202005"/>
    <x v="6"/>
    <x v="0"/>
    <x v="6"/>
  </r>
  <r>
    <x v="5"/>
    <n v="16388.900000000001"/>
    <x v="289"/>
    <d v="2020-03-15T00:00:00"/>
    <x v="8"/>
    <x v="42"/>
    <x v="5"/>
    <x v="20"/>
    <x v="1"/>
    <s v="30-9690927"/>
    <m/>
    <n v="202003"/>
    <x v="10"/>
    <x v="0"/>
    <x v="10"/>
  </r>
  <r>
    <x v="3"/>
    <n v="85927.37"/>
    <x v="290"/>
    <d v="2019-04-15T00:00:00"/>
    <x v="2"/>
    <x v="64"/>
    <x v="3"/>
    <x v="5"/>
    <x v="1"/>
    <s v="37-5025811"/>
    <m/>
    <n v="201904"/>
    <x v="3"/>
    <x v="1"/>
    <x v="3"/>
  </r>
  <r>
    <x v="5"/>
    <n v="161212.39000000001"/>
    <x v="291"/>
    <d v="2020-07-04T00:00:00"/>
    <x v="4"/>
    <x v="1"/>
    <x v="5"/>
    <x v="20"/>
    <x v="1"/>
    <s v="21-6670877"/>
    <m/>
    <n v="202007"/>
    <x v="2"/>
    <x v="0"/>
    <x v="2"/>
  </r>
  <r>
    <x v="5"/>
    <n v="66678.38"/>
    <x v="292"/>
    <d v="2019-03-04T00:00:00"/>
    <x v="6"/>
    <x v="32"/>
    <x v="5"/>
    <x v="10"/>
    <x v="1"/>
    <s v="34-3119010"/>
    <m/>
    <n v="201903"/>
    <x v="10"/>
    <x v="1"/>
    <x v="10"/>
  </r>
  <r>
    <x v="0"/>
    <n v="148243.04999999999"/>
    <x v="293"/>
    <d v="2020-12-07T00:00:00"/>
    <x v="3"/>
    <x v="4"/>
    <x v="0"/>
    <x v="0"/>
    <x v="1"/>
    <s v="54-7503816"/>
    <m/>
    <n v="202012"/>
    <x v="4"/>
    <x v="0"/>
    <x v="4"/>
  </r>
  <r>
    <x v="11"/>
    <n v="126523.36"/>
    <x v="294"/>
    <d v="2020-05-14T00:00:00"/>
    <x v="1"/>
    <x v="65"/>
    <x v="11"/>
    <x v="26"/>
    <x v="1"/>
    <s v="96-1698894"/>
    <m/>
    <n v="202005"/>
    <x v="6"/>
    <x v="0"/>
    <x v="6"/>
  </r>
  <r>
    <x v="11"/>
    <n v="63373.72"/>
    <x v="295"/>
    <d v="2020-03-03T00:00:00"/>
    <x v="2"/>
    <x v="46"/>
    <x v="11"/>
    <x v="26"/>
    <x v="1"/>
    <s v="92-0523700"/>
    <m/>
    <n v="202003"/>
    <x v="10"/>
    <x v="0"/>
    <x v="10"/>
  </r>
  <r>
    <x v="11"/>
    <n v="76767.77"/>
    <x v="296"/>
    <d v="2020-01-22T00:00:00"/>
    <x v="1"/>
    <x v="30"/>
    <x v="11"/>
    <x v="26"/>
    <x v="1"/>
    <s v="15-3657248"/>
    <m/>
    <n v="202001"/>
    <x v="7"/>
    <x v="0"/>
    <x v="7"/>
  </r>
  <r>
    <x v="2"/>
    <n v="78938.820000000007"/>
    <x v="297"/>
    <d v="2019-04-24T00:00:00"/>
    <x v="1"/>
    <x v="28"/>
    <x v="2"/>
    <x v="29"/>
    <x v="1"/>
    <s v="16-3423161"/>
    <m/>
    <n v="201904"/>
    <x v="3"/>
    <x v="1"/>
    <x v="3"/>
  </r>
  <r>
    <x v="5"/>
    <n v="131864.04"/>
    <x v="298"/>
    <d v="2019-04-09T00:00:00"/>
    <x v="5"/>
    <x v="18"/>
    <x v="5"/>
    <x v="21"/>
    <x v="1"/>
    <s v="67-2684209"/>
    <m/>
    <n v="201904"/>
    <x v="3"/>
    <x v="1"/>
    <x v="3"/>
  </r>
  <r>
    <x v="2"/>
    <n v="116774.43"/>
    <x v="299"/>
    <d v="2019-04-21T00:00:00"/>
    <x v="4"/>
    <x v="24"/>
    <x v="2"/>
    <x v="15"/>
    <x v="0"/>
    <s v="21-7344983"/>
    <m/>
    <n v="201904"/>
    <x v="3"/>
    <x v="1"/>
    <x v="3"/>
  </r>
  <r>
    <x v="5"/>
    <n v="141112.84"/>
    <x v="300"/>
    <d v="2020-08-08T00:00:00"/>
    <x v="8"/>
    <x v="8"/>
    <x v="5"/>
    <x v="23"/>
    <x v="0"/>
    <s v="47-9701762"/>
    <m/>
    <n v="202008"/>
    <x v="5"/>
    <x v="0"/>
    <x v="5"/>
  </r>
  <r>
    <x v="8"/>
    <n v="33210.559999999998"/>
    <x v="301"/>
    <d v="2020-11-20T00:00:00"/>
    <x v="0"/>
    <x v="3"/>
    <x v="8"/>
    <x v="24"/>
    <x v="1"/>
    <s v="86-3876359"/>
    <m/>
    <n v="202011"/>
    <x v="8"/>
    <x v="0"/>
    <x v="8"/>
  </r>
  <r>
    <x v="5"/>
    <n v="174392.33"/>
    <x v="302"/>
    <d v="2020-08-03T00:00:00"/>
    <x v="6"/>
    <x v="24"/>
    <x v="5"/>
    <x v="21"/>
    <x v="1"/>
    <s v="34-4313860"/>
    <m/>
    <n v="202008"/>
    <x v="5"/>
    <x v="0"/>
    <x v="5"/>
  </r>
  <r>
    <x v="0"/>
    <n v="204484.61"/>
    <x v="303"/>
    <d v="2019-06-16T00:00:00"/>
    <x v="1"/>
    <x v="7"/>
    <x v="0"/>
    <x v="19"/>
    <x v="2"/>
    <s v="71-4782689"/>
    <m/>
    <n v="201906"/>
    <x v="9"/>
    <x v="1"/>
    <x v="9"/>
  </r>
  <r>
    <x v="12"/>
    <n v="80986.100000000006"/>
    <x v="304"/>
    <d v="2019-12-02T00:00:00"/>
    <x v="5"/>
    <x v="46"/>
    <x v="12"/>
    <x v="28"/>
    <x v="0"/>
    <s v="85-3690127"/>
    <m/>
    <n v="201912"/>
    <x v="4"/>
    <x v="1"/>
    <x v="4"/>
  </r>
  <r>
    <x v="0"/>
    <n v="179179.73"/>
    <x v="305"/>
    <d v="2019-10-22T00:00:00"/>
    <x v="0"/>
    <x v="38"/>
    <x v="0"/>
    <x v="9"/>
    <x v="1"/>
    <s v="66-5810051"/>
    <m/>
    <n v="201910"/>
    <x v="11"/>
    <x v="1"/>
    <x v="11"/>
  </r>
  <r>
    <x v="6"/>
    <n v="99731.4"/>
    <x v="306"/>
    <d v="2020-01-12T00:00:00"/>
    <x v="8"/>
    <x v="37"/>
    <x v="6"/>
    <x v="14"/>
    <x v="1"/>
    <s v="81-9170157"/>
    <m/>
    <n v="202001"/>
    <x v="7"/>
    <x v="0"/>
    <x v="7"/>
  </r>
  <r>
    <x v="5"/>
    <n v="32661.62"/>
    <x v="307"/>
    <d v="2020-02-08T00:00:00"/>
    <x v="8"/>
    <x v="38"/>
    <x v="5"/>
    <x v="10"/>
    <x v="1"/>
    <s v="24-7300640"/>
    <m/>
    <n v="202002"/>
    <x v="0"/>
    <x v="0"/>
    <x v="0"/>
  </r>
  <r>
    <x v="0"/>
    <n v="30166.93"/>
    <x v="308"/>
    <d v="2019-11-29T00:00:00"/>
    <x v="5"/>
    <x v="51"/>
    <x v="0"/>
    <x v="25"/>
    <x v="1"/>
    <s v="97-1288901"/>
    <m/>
    <n v="201911"/>
    <x v="8"/>
    <x v="1"/>
    <x v="8"/>
  </r>
  <r>
    <x v="12"/>
    <n v="36747.24"/>
    <x v="309"/>
    <d v="2019-01-19T00:00:00"/>
    <x v="4"/>
    <x v="4"/>
    <x v="12"/>
    <x v="28"/>
    <x v="1"/>
    <s v="81-9757849"/>
    <m/>
    <n v="201901"/>
    <x v="7"/>
    <x v="1"/>
    <x v="7"/>
  </r>
  <r>
    <x v="5"/>
    <n v="66884.7"/>
    <x v="310"/>
    <d v="2020-01-19T00:00:00"/>
    <x v="6"/>
    <x v="10"/>
    <x v="5"/>
    <x v="20"/>
    <x v="1"/>
    <s v="44-9179070"/>
    <m/>
    <n v="202001"/>
    <x v="7"/>
    <x v="0"/>
    <x v="7"/>
  </r>
  <r>
    <x v="2"/>
    <n v="165305.70000000001"/>
    <x v="311"/>
    <d v="2019-07-13T00:00:00"/>
    <x v="1"/>
    <x v="33"/>
    <x v="2"/>
    <x v="3"/>
    <x v="1"/>
    <s v="55-2137809"/>
    <m/>
    <n v="201907"/>
    <x v="2"/>
    <x v="1"/>
    <x v="2"/>
  </r>
  <r>
    <x v="0"/>
    <n v="50618.21"/>
    <x v="312"/>
    <d v="2019-03-05T00:00:00"/>
    <x v="3"/>
    <x v="35"/>
    <x v="0"/>
    <x v="25"/>
    <x v="1"/>
    <s v="56-1063618"/>
    <m/>
    <n v="201903"/>
    <x v="10"/>
    <x v="1"/>
    <x v="10"/>
  </r>
  <r>
    <x v="0"/>
    <n v="82116.31"/>
    <x v="313"/>
    <d v="2020-05-30T00:00:00"/>
    <x v="3"/>
    <x v="38"/>
    <x v="0"/>
    <x v="19"/>
    <x v="2"/>
    <s v="01-8080546"/>
    <m/>
    <n v="202005"/>
    <x v="6"/>
    <x v="0"/>
    <x v="6"/>
  </r>
  <r>
    <x v="0"/>
    <n v="106142.65"/>
    <x v="314"/>
    <d v="2019-06-04T00:00:00"/>
    <x v="1"/>
    <x v="66"/>
    <x v="0"/>
    <x v="9"/>
    <x v="1"/>
    <s v="29-5632797"/>
    <m/>
    <n v="201906"/>
    <x v="9"/>
    <x v="1"/>
    <x v="9"/>
  </r>
  <r>
    <x v="2"/>
    <n v="149514"/>
    <x v="315"/>
    <d v="2020-10-18T00:00:00"/>
    <x v="1"/>
    <x v="39"/>
    <x v="2"/>
    <x v="2"/>
    <x v="0"/>
    <s v="20-1191256"/>
    <m/>
    <n v="202010"/>
    <x v="11"/>
    <x v="0"/>
    <x v="11"/>
  </r>
  <r>
    <x v="0"/>
    <n v="30975.79"/>
    <x v="316"/>
    <d v="2020-03-15T00:00:00"/>
    <x v="2"/>
    <x v="29"/>
    <x v="0"/>
    <x v="25"/>
    <x v="1"/>
    <s v="33-4022317"/>
    <m/>
    <n v="202003"/>
    <x v="10"/>
    <x v="0"/>
    <x v="10"/>
  </r>
  <r>
    <x v="5"/>
    <n v="165118.74"/>
    <x v="317"/>
    <d v="2019-11-02T00:00:00"/>
    <x v="2"/>
    <x v="37"/>
    <x v="5"/>
    <x v="10"/>
    <x v="1"/>
    <s v="59-5892824"/>
    <m/>
    <n v="201911"/>
    <x v="8"/>
    <x v="1"/>
    <x v="8"/>
  </r>
  <r>
    <x v="12"/>
    <n v="76652.73"/>
    <x v="318"/>
    <d v="2020-08-04T00:00:00"/>
    <x v="4"/>
    <x v="5"/>
    <x v="12"/>
    <x v="28"/>
    <x v="1"/>
    <s v="52-3394023"/>
    <m/>
    <n v="202008"/>
    <x v="5"/>
    <x v="0"/>
    <x v="5"/>
  </r>
  <r>
    <x v="4"/>
    <n v="151632.32999999999"/>
    <x v="319"/>
    <d v="2020-07-14T00:00:00"/>
    <x v="2"/>
    <x v="17"/>
    <x v="4"/>
    <x v="6"/>
    <x v="1"/>
    <s v="89-5350599"/>
    <m/>
    <n v="202007"/>
    <x v="2"/>
    <x v="0"/>
    <x v="2"/>
  </r>
  <r>
    <x v="5"/>
    <n v="35289.75"/>
    <x v="320"/>
    <d v="2019-02-26T00:00:00"/>
    <x v="6"/>
    <x v="17"/>
    <x v="5"/>
    <x v="7"/>
    <x v="1"/>
    <s v="92-6298656"/>
    <m/>
    <n v="201902"/>
    <x v="0"/>
    <x v="1"/>
    <x v="0"/>
  </r>
  <r>
    <x v="5"/>
    <n v="77043.839999999997"/>
    <x v="321"/>
    <d v="2020-02-08T00:00:00"/>
    <x v="7"/>
    <x v="17"/>
    <x v="5"/>
    <x v="23"/>
    <x v="1"/>
    <s v="91-7317758"/>
    <m/>
    <n v="202002"/>
    <x v="0"/>
    <x v="0"/>
    <x v="0"/>
  </r>
  <r>
    <x v="2"/>
    <n v="59691.71"/>
    <x v="322"/>
    <d v="2019-06-17T00:00:00"/>
    <x v="9"/>
    <x v="32"/>
    <x v="2"/>
    <x v="15"/>
    <x v="1"/>
    <s v="60-6055725"/>
    <m/>
    <n v="201906"/>
    <x v="9"/>
    <x v="1"/>
    <x v="9"/>
  </r>
  <r>
    <x v="2"/>
    <n v="181882.43"/>
    <x v="323"/>
    <d v="2019-07-28T00:00:00"/>
    <x v="0"/>
    <x v="47"/>
    <x v="2"/>
    <x v="12"/>
    <x v="1"/>
    <s v="33-2816759"/>
    <m/>
    <n v="201907"/>
    <x v="2"/>
    <x v="1"/>
    <x v="2"/>
  </r>
  <r>
    <x v="2"/>
    <n v="50796.04"/>
    <x v="324"/>
    <d v="2019-09-21T00:00:00"/>
    <x v="0"/>
    <x v="5"/>
    <x v="2"/>
    <x v="15"/>
    <x v="1"/>
    <s v="05-2359767"/>
    <m/>
    <n v="201909"/>
    <x v="1"/>
    <x v="1"/>
    <x v="1"/>
  </r>
  <r>
    <x v="6"/>
    <n v="73981.77"/>
    <x v="325"/>
    <d v="2019-11-18T00:00:00"/>
    <x v="2"/>
    <x v="27"/>
    <x v="6"/>
    <x v="14"/>
    <x v="1"/>
    <s v="73-9492768"/>
    <m/>
    <n v="201911"/>
    <x v="8"/>
    <x v="1"/>
    <x v="8"/>
  </r>
  <r>
    <x v="4"/>
    <n v="105686.13"/>
    <x v="326"/>
    <d v="2019-10-13T00:00:00"/>
    <x v="7"/>
    <x v="4"/>
    <x v="4"/>
    <x v="8"/>
    <x v="1"/>
    <s v="31-6770318"/>
    <m/>
    <n v="201910"/>
    <x v="11"/>
    <x v="1"/>
    <x v="11"/>
  </r>
  <r>
    <x v="0"/>
    <n v="149376.26"/>
    <x v="327"/>
    <d v="2020-01-31T00:00:00"/>
    <x v="9"/>
    <x v="28"/>
    <x v="0"/>
    <x v="13"/>
    <x v="1"/>
    <s v="52-0695511"/>
    <m/>
    <n v="202001"/>
    <x v="7"/>
    <x v="0"/>
    <x v="7"/>
  </r>
  <r>
    <x v="6"/>
    <n v="85237.91"/>
    <x v="328"/>
    <d v="2020-03-18T00:00:00"/>
    <x v="6"/>
    <x v="17"/>
    <x v="6"/>
    <x v="14"/>
    <x v="1"/>
    <s v="45-8314773"/>
    <m/>
    <n v="202003"/>
    <x v="10"/>
    <x v="0"/>
    <x v="10"/>
  </r>
  <r>
    <x v="9"/>
    <n v="104743.22"/>
    <x v="329"/>
    <d v="2019-03-24T00:00:00"/>
    <x v="8"/>
    <x v="4"/>
    <x v="9"/>
    <x v="18"/>
    <x v="0"/>
    <s v="53-0205940"/>
    <m/>
    <n v="201903"/>
    <x v="10"/>
    <x v="1"/>
    <x v="10"/>
  </r>
  <r>
    <x v="2"/>
    <n v="290551.74"/>
    <x v="330"/>
    <d v="2020-12-14T00:00:00"/>
    <x v="9"/>
    <x v="3"/>
    <x v="2"/>
    <x v="29"/>
    <x v="1"/>
    <s v="53-1660551"/>
    <m/>
    <n v="202012"/>
    <x v="4"/>
    <x v="0"/>
    <x v="4"/>
  </r>
  <r>
    <x v="5"/>
    <n v="72314.73"/>
    <x v="331"/>
    <d v="2019-08-27T00:00:00"/>
    <x v="5"/>
    <x v="4"/>
    <x v="5"/>
    <x v="21"/>
    <x v="1"/>
    <s v="70-5394452"/>
    <m/>
    <n v="201908"/>
    <x v="5"/>
    <x v="1"/>
    <x v="5"/>
  </r>
  <r>
    <x v="6"/>
    <n v="119858.15"/>
    <x v="332"/>
    <d v="2020-11-19T00:00:00"/>
    <x v="8"/>
    <x v="40"/>
    <x v="6"/>
    <x v="14"/>
    <x v="1"/>
    <s v="10-0386535"/>
    <m/>
    <n v="202011"/>
    <x v="8"/>
    <x v="0"/>
    <x v="8"/>
  </r>
  <r>
    <x v="2"/>
    <n v="119937.47"/>
    <x v="333"/>
    <d v="2019-08-13T00:00:00"/>
    <x v="1"/>
    <x v="64"/>
    <x v="2"/>
    <x v="3"/>
    <x v="1"/>
    <s v="56-8476539"/>
    <m/>
    <n v="201908"/>
    <x v="5"/>
    <x v="1"/>
    <x v="5"/>
  </r>
  <r>
    <x v="5"/>
    <n v="60592.4"/>
    <x v="334"/>
    <d v="2019-02-22T00:00:00"/>
    <x v="4"/>
    <x v="12"/>
    <x v="5"/>
    <x v="20"/>
    <x v="1"/>
    <s v="04-7976277"/>
    <m/>
    <n v="201902"/>
    <x v="0"/>
    <x v="1"/>
    <x v="0"/>
  </r>
  <r>
    <x v="11"/>
    <n v="31966.82"/>
    <x v="335"/>
    <d v="2020-08-24T00:00:00"/>
    <x v="5"/>
    <x v="4"/>
    <x v="11"/>
    <x v="27"/>
    <x v="1"/>
    <s v="21-2965409"/>
    <m/>
    <n v="202008"/>
    <x v="5"/>
    <x v="0"/>
    <x v="5"/>
  </r>
  <r>
    <x v="2"/>
    <n v="83226.45"/>
    <x v="336"/>
    <d v="2020-11-22T00:00:00"/>
    <x v="3"/>
    <x v="9"/>
    <x v="2"/>
    <x v="12"/>
    <x v="1"/>
    <s v="04-2788693"/>
    <m/>
    <n v="202011"/>
    <x v="8"/>
    <x v="0"/>
    <x v="8"/>
  </r>
  <r>
    <x v="12"/>
    <n v="51407.3"/>
    <x v="337"/>
    <d v="2019-05-02T00:00:00"/>
    <x v="2"/>
    <x v="34"/>
    <x v="12"/>
    <x v="28"/>
    <x v="2"/>
    <s v="20-6477396"/>
    <m/>
    <n v="201905"/>
    <x v="6"/>
    <x v="1"/>
    <x v="6"/>
  </r>
  <r>
    <x v="12"/>
    <n v="61968.26"/>
    <x v="338"/>
    <d v="2020-12-27T00:00:00"/>
    <x v="8"/>
    <x v="14"/>
    <x v="12"/>
    <x v="28"/>
    <x v="1"/>
    <s v="22-7259031"/>
    <m/>
    <n v="202012"/>
    <x v="4"/>
    <x v="0"/>
    <x v="4"/>
  </r>
  <r>
    <x v="11"/>
    <n v="271465.15000000002"/>
    <x v="339"/>
    <d v="2019-07-03T00:00:00"/>
    <x v="8"/>
    <x v="51"/>
    <x v="11"/>
    <x v="26"/>
    <x v="0"/>
    <s v="44-9239029"/>
    <m/>
    <n v="201907"/>
    <x v="2"/>
    <x v="1"/>
    <x v="2"/>
  </r>
  <r>
    <x v="0"/>
    <n v="86854.64"/>
    <x v="340"/>
    <d v="2020-02-04T00:00:00"/>
    <x v="0"/>
    <x v="11"/>
    <x v="0"/>
    <x v="25"/>
    <x v="1"/>
    <s v="77-4566105"/>
    <m/>
    <n v="202002"/>
    <x v="0"/>
    <x v="0"/>
    <x v="0"/>
  </r>
  <r>
    <x v="11"/>
    <n v="119819.37"/>
    <x v="341"/>
    <d v="2020-12-07T00:00:00"/>
    <x v="6"/>
    <x v="23"/>
    <x v="11"/>
    <x v="27"/>
    <x v="1"/>
    <s v="29-3662564"/>
    <m/>
    <n v="202012"/>
    <x v="4"/>
    <x v="0"/>
    <x v="4"/>
  </r>
  <r>
    <x v="4"/>
    <n v="160763.9"/>
    <x v="342"/>
    <d v="2019-04-18T00:00:00"/>
    <x v="5"/>
    <x v="40"/>
    <x v="4"/>
    <x v="8"/>
    <x v="1"/>
    <s v="73-8057834"/>
    <m/>
    <n v="201904"/>
    <x v="3"/>
    <x v="1"/>
    <x v="3"/>
  </r>
  <r>
    <x v="0"/>
    <n v="44029.07"/>
    <x v="343"/>
    <d v="2019-09-09T00:00:00"/>
    <x v="9"/>
    <x v="29"/>
    <x v="0"/>
    <x v="13"/>
    <x v="1"/>
    <s v="87-9980890"/>
    <m/>
    <n v="201909"/>
    <x v="1"/>
    <x v="1"/>
    <x v="1"/>
  </r>
  <r>
    <x v="5"/>
    <n v="86628.32"/>
    <x v="344"/>
    <d v="2019-11-06T00:00:00"/>
    <x v="5"/>
    <x v="49"/>
    <x v="5"/>
    <x v="20"/>
    <x v="1"/>
    <s v="98-8250897"/>
    <m/>
    <n v="201911"/>
    <x v="8"/>
    <x v="1"/>
    <x v="8"/>
  </r>
  <r>
    <x v="2"/>
    <n v="97641.25"/>
    <x v="345"/>
    <d v="2020-10-17T00:00:00"/>
    <x v="0"/>
    <x v="53"/>
    <x v="2"/>
    <x v="29"/>
    <x v="1"/>
    <s v="98-3051699"/>
    <m/>
    <n v="202010"/>
    <x v="11"/>
    <x v="0"/>
    <x v="11"/>
  </r>
  <r>
    <x v="2"/>
    <n v="98746.66"/>
    <x v="346"/>
    <d v="2020-02-10T00:00:00"/>
    <x v="5"/>
    <x v="19"/>
    <x v="2"/>
    <x v="2"/>
    <x v="1"/>
    <s v="75-7291972"/>
    <m/>
    <n v="202002"/>
    <x v="0"/>
    <x v="0"/>
    <x v="0"/>
  </r>
  <r>
    <x v="5"/>
    <n v="109562.5"/>
    <x v="347"/>
    <d v="2020-08-05T00:00:00"/>
    <x v="5"/>
    <x v="46"/>
    <x v="5"/>
    <x v="7"/>
    <x v="1"/>
    <s v="67-3672347"/>
    <m/>
    <n v="202008"/>
    <x v="5"/>
    <x v="0"/>
    <x v="5"/>
  </r>
  <r>
    <x v="4"/>
    <n v="60301.96"/>
    <x v="348"/>
    <d v="2019-02-08T00:00:00"/>
    <x v="3"/>
    <x v="25"/>
    <x v="4"/>
    <x v="11"/>
    <x v="1"/>
    <s v="75-1785229"/>
    <m/>
    <n v="201902"/>
    <x v="0"/>
    <x v="1"/>
    <x v="0"/>
  </r>
  <r>
    <x v="5"/>
    <n v="80781.62"/>
    <x v="349"/>
    <d v="2019-01-19T00:00:00"/>
    <x v="6"/>
    <x v="40"/>
    <x v="5"/>
    <x v="21"/>
    <x v="0"/>
    <s v="53-1426071"/>
    <m/>
    <n v="201901"/>
    <x v="7"/>
    <x v="1"/>
    <x v="7"/>
  </r>
  <r>
    <x v="5"/>
    <n v="238659.41"/>
    <x v="350"/>
    <d v="2019-12-23T00:00:00"/>
    <x v="5"/>
    <x v="51"/>
    <x v="5"/>
    <x v="10"/>
    <x v="2"/>
    <s v="49-7167664"/>
    <m/>
    <n v="201912"/>
    <x v="4"/>
    <x v="1"/>
    <x v="4"/>
  </r>
  <r>
    <x v="4"/>
    <n v="165631.75"/>
    <x v="351"/>
    <d v="2019-09-03T00:00:00"/>
    <x v="5"/>
    <x v="4"/>
    <x v="4"/>
    <x v="11"/>
    <x v="1"/>
    <s v="07-7047482"/>
    <m/>
    <n v="201909"/>
    <x v="1"/>
    <x v="1"/>
    <x v="1"/>
  </r>
  <r>
    <x v="0"/>
    <n v="126682.79"/>
    <x v="352"/>
    <d v="2019-06-11T00:00:00"/>
    <x v="6"/>
    <x v="18"/>
    <x v="0"/>
    <x v="0"/>
    <x v="1"/>
    <s v="57-1931933"/>
    <m/>
    <n v="201906"/>
    <x v="9"/>
    <x v="1"/>
    <x v="9"/>
  </r>
  <r>
    <x v="0"/>
    <n v="145558"/>
    <x v="353"/>
    <d v="2019-12-20T00:00:00"/>
    <x v="2"/>
    <x v="57"/>
    <x v="0"/>
    <x v="25"/>
    <x v="2"/>
    <s v="15-5167065"/>
    <m/>
    <n v="201912"/>
    <x v="4"/>
    <x v="1"/>
    <x v="4"/>
  </r>
  <r>
    <x v="3"/>
    <n v="59163.79"/>
    <x v="354"/>
    <d v="2019-03-11T00:00:00"/>
    <x v="6"/>
    <x v="47"/>
    <x v="3"/>
    <x v="5"/>
    <x v="0"/>
    <s v="98-9382686"/>
    <m/>
    <n v="201903"/>
    <x v="10"/>
    <x v="1"/>
    <x v="10"/>
  </r>
  <r>
    <x v="0"/>
    <n v="140352.81"/>
    <x v="355"/>
    <d v="2019-12-01T00:00:00"/>
    <x v="6"/>
    <x v="1"/>
    <x v="0"/>
    <x v="19"/>
    <x v="1"/>
    <s v="47-5733147"/>
    <m/>
    <n v="201912"/>
    <x v="4"/>
    <x v="1"/>
    <x v="4"/>
  </r>
  <r>
    <x v="5"/>
    <n v="163401.23000000001"/>
    <x v="356"/>
    <d v="2019-04-22T00:00:00"/>
    <x v="2"/>
    <x v="10"/>
    <x v="5"/>
    <x v="23"/>
    <x v="1"/>
    <s v="98-2104934"/>
    <m/>
    <n v="201904"/>
    <x v="3"/>
    <x v="1"/>
    <x v="3"/>
  </r>
  <r>
    <x v="0"/>
    <n v="177867.3"/>
    <x v="357"/>
    <d v="2020-10-03T00:00:00"/>
    <x v="6"/>
    <x v="32"/>
    <x v="0"/>
    <x v="9"/>
    <x v="1"/>
    <s v="30-6005742"/>
    <m/>
    <n v="202010"/>
    <x v="11"/>
    <x v="0"/>
    <x v="11"/>
  </r>
  <r>
    <x v="12"/>
    <n v="58416.81"/>
    <x v="358"/>
    <d v="2019-02-07T00:00:00"/>
    <x v="2"/>
    <x v="53"/>
    <x v="12"/>
    <x v="28"/>
    <x v="1"/>
    <s v="21-7461655"/>
    <m/>
    <n v="201902"/>
    <x v="0"/>
    <x v="1"/>
    <x v="0"/>
  </r>
  <r>
    <x v="12"/>
    <n v="169544.95"/>
    <x v="359"/>
    <d v="2020-04-12T00:00:00"/>
    <x v="5"/>
    <x v="22"/>
    <x v="12"/>
    <x v="28"/>
    <x v="0"/>
    <s v="96-7625873"/>
    <m/>
    <n v="202004"/>
    <x v="3"/>
    <x v="0"/>
    <x v="3"/>
  </r>
  <r>
    <x v="9"/>
    <n v="74732.789999999994"/>
    <x v="360"/>
    <d v="2020-02-24T00:00:00"/>
    <x v="3"/>
    <x v="47"/>
    <x v="9"/>
    <x v="18"/>
    <x v="1"/>
    <s v="53-2132479"/>
    <m/>
    <n v="202002"/>
    <x v="0"/>
    <x v="0"/>
    <x v="0"/>
  </r>
  <r>
    <x v="2"/>
    <n v="55166.78"/>
    <x v="361"/>
    <d v="2020-04-13T00:00:00"/>
    <x v="0"/>
    <x v="8"/>
    <x v="2"/>
    <x v="15"/>
    <x v="1"/>
    <s v="70-4650708"/>
    <m/>
    <n v="202004"/>
    <x v="3"/>
    <x v="0"/>
    <x v="3"/>
  </r>
  <r>
    <x v="5"/>
    <n v="99319.33"/>
    <x v="362"/>
    <d v="2020-05-26T00:00:00"/>
    <x v="1"/>
    <x v="3"/>
    <x v="5"/>
    <x v="10"/>
    <x v="1"/>
    <s v="53-3037652"/>
    <m/>
    <n v="202005"/>
    <x v="6"/>
    <x v="0"/>
    <x v="6"/>
  </r>
  <r>
    <x v="0"/>
    <n v="118982.14"/>
    <x v="363"/>
    <d v="2020-01-15T00:00:00"/>
    <x v="2"/>
    <x v="62"/>
    <x v="0"/>
    <x v="19"/>
    <x v="0"/>
    <s v="76-0774122"/>
    <m/>
    <n v="202001"/>
    <x v="7"/>
    <x v="0"/>
    <x v="7"/>
  </r>
  <r>
    <x v="11"/>
    <n v="157007.51999999999"/>
    <x v="364"/>
    <d v="2019-08-31T00:00:00"/>
    <x v="3"/>
    <x v="21"/>
    <x v="11"/>
    <x v="26"/>
    <x v="1"/>
    <s v="72-3928347"/>
    <m/>
    <n v="201908"/>
    <x v="5"/>
    <x v="1"/>
    <x v="5"/>
  </r>
  <r>
    <x v="5"/>
    <n v="49374.25"/>
    <x v="365"/>
    <d v="2019-05-21T00:00:00"/>
    <x v="0"/>
    <x v="58"/>
    <x v="5"/>
    <x v="21"/>
    <x v="1"/>
    <s v="87-1399932"/>
    <m/>
    <n v="201905"/>
    <x v="6"/>
    <x v="1"/>
    <x v="6"/>
  </r>
  <r>
    <x v="2"/>
    <n v="123891.6"/>
    <x v="366"/>
    <d v="2019-07-23T00:00:00"/>
    <x v="1"/>
    <x v="35"/>
    <x v="2"/>
    <x v="2"/>
    <x v="1"/>
    <s v="25-1045028"/>
    <m/>
    <n v="201907"/>
    <x v="2"/>
    <x v="1"/>
    <x v="2"/>
  </r>
  <r>
    <x v="5"/>
    <n v="234340.31"/>
    <x v="367"/>
    <d v="2020-12-13T00:00:00"/>
    <x v="2"/>
    <x v="3"/>
    <x v="5"/>
    <x v="23"/>
    <x v="1"/>
    <s v="70-0364033"/>
    <m/>
    <n v="202012"/>
    <x v="4"/>
    <x v="0"/>
    <x v="4"/>
  </r>
  <r>
    <x v="6"/>
    <n v="95575.75"/>
    <x v="368"/>
    <d v="2020-12-23T00:00:00"/>
    <x v="0"/>
    <x v="3"/>
    <x v="6"/>
    <x v="14"/>
    <x v="1"/>
    <s v="35-9372764"/>
    <m/>
    <n v="202012"/>
    <x v="4"/>
    <x v="0"/>
    <x v="4"/>
  </r>
  <r>
    <x v="1"/>
    <n v="125280.28"/>
    <x v="369"/>
    <d v="2019-10-18T00:00:00"/>
    <x v="3"/>
    <x v="14"/>
    <x v="1"/>
    <x v="1"/>
    <x v="1"/>
    <s v="36-1142710"/>
    <m/>
    <n v="201910"/>
    <x v="11"/>
    <x v="1"/>
    <x v="11"/>
  </r>
  <r>
    <x v="2"/>
    <n v="127482.28"/>
    <x v="370"/>
    <d v="2020-08-26T00:00:00"/>
    <x v="3"/>
    <x v="1"/>
    <x v="2"/>
    <x v="3"/>
    <x v="1"/>
    <s v="75-6291395"/>
    <m/>
    <n v="202008"/>
    <x v="5"/>
    <x v="0"/>
    <x v="5"/>
  </r>
  <r>
    <x v="2"/>
    <n v="120453.52"/>
    <x v="371"/>
    <d v="2019-02-11T00:00:00"/>
    <x v="3"/>
    <x v="50"/>
    <x v="2"/>
    <x v="29"/>
    <x v="1"/>
    <s v="00-3338378"/>
    <m/>
    <n v="201902"/>
    <x v="0"/>
    <x v="1"/>
    <x v="0"/>
  </r>
  <r>
    <x v="2"/>
    <n v="120152.33"/>
    <x v="372"/>
    <d v="2019-09-29T00:00:00"/>
    <x v="7"/>
    <x v="14"/>
    <x v="2"/>
    <x v="2"/>
    <x v="1"/>
    <s v="55-1904761"/>
    <m/>
    <n v="201909"/>
    <x v="1"/>
    <x v="1"/>
    <x v="1"/>
  </r>
  <r>
    <x v="2"/>
    <n v="95410.97"/>
    <x v="373"/>
    <d v="2020-09-22T00:00:00"/>
    <x v="0"/>
    <x v="18"/>
    <x v="2"/>
    <x v="15"/>
    <x v="0"/>
    <s v="70-9736399"/>
    <m/>
    <n v="202009"/>
    <x v="1"/>
    <x v="0"/>
    <x v="1"/>
  </r>
  <r>
    <x v="5"/>
    <n v="128804.51"/>
    <x v="374"/>
    <d v="2019-09-13T00:00:00"/>
    <x v="5"/>
    <x v="63"/>
    <x v="5"/>
    <x v="10"/>
    <x v="2"/>
    <s v="20-3125420"/>
    <m/>
    <n v="201909"/>
    <x v="1"/>
    <x v="1"/>
    <x v="1"/>
  </r>
  <r>
    <x v="10"/>
    <n v="26899.97"/>
    <x v="375"/>
    <d v="2019-03-19T00:00:00"/>
    <x v="1"/>
    <x v="3"/>
    <x v="10"/>
    <x v="22"/>
    <x v="1"/>
    <s v="57-2968987"/>
    <m/>
    <n v="201903"/>
    <x v="10"/>
    <x v="1"/>
    <x v="10"/>
  </r>
  <r>
    <x v="4"/>
    <n v="123751.91"/>
    <x v="376"/>
    <d v="2019-11-18T00:00:00"/>
    <x v="6"/>
    <x v="4"/>
    <x v="4"/>
    <x v="11"/>
    <x v="1"/>
    <s v="76-2146784"/>
    <m/>
    <n v="201911"/>
    <x v="8"/>
    <x v="1"/>
    <x v="8"/>
  </r>
  <r>
    <x v="0"/>
    <n v="37081.31"/>
    <x v="377"/>
    <d v="2019-03-11T00:00:00"/>
    <x v="3"/>
    <x v="40"/>
    <x v="0"/>
    <x v="9"/>
    <x v="1"/>
    <s v="19-3129154"/>
    <m/>
    <n v="201903"/>
    <x v="10"/>
    <x v="1"/>
    <x v="10"/>
  </r>
  <r>
    <x v="5"/>
    <n v="133905.54999999999"/>
    <x v="378"/>
    <d v="2020-08-01T00:00:00"/>
    <x v="0"/>
    <x v="22"/>
    <x v="5"/>
    <x v="23"/>
    <x v="0"/>
    <s v="79-0973971"/>
    <m/>
    <n v="202008"/>
    <x v="5"/>
    <x v="0"/>
    <x v="5"/>
  </r>
  <r>
    <x v="5"/>
    <n v="63298.61"/>
    <x v="379"/>
    <d v="2020-04-10T00:00:00"/>
    <x v="5"/>
    <x v="50"/>
    <x v="5"/>
    <x v="23"/>
    <x v="0"/>
    <s v="65-5376517"/>
    <m/>
    <n v="202004"/>
    <x v="3"/>
    <x v="0"/>
    <x v="3"/>
  </r>
  <r>
    <x v="5"/>
    <n v="274242.36"/>
    <x v="380"/>
    <d v="2020-12-09T00:00:00"/>
    <x v="7"/>
    <x v="3"/>
    <x v="5"/>
    <x v="10"/>
    <x v="0"/>
    <s v="80-5258827"/>
    <m/>
    <n v="202012"/>
    <x v="4"/>
    <x v="0"/>
    <x v="4"/>
  </r>
  <r>
    <x v="9"/>
    <n v="312928.71999999997"/>
    <x v="381"/>
    <d v="2019-12-12T00:00:00"/>
    <x v="3"/>
    <x v="34"/>
    <x v="9"/>
    <x v="18"/>
    <x v="2"/>
    <s v="98-5257166"/>
    <m/>
    <n v="201912"/>
    <x v="4"/>
    <x v="1"/>
    <x v="4"/>
  </r>
  <r>
    <x v="5"/>
    <n v="119156.18"/>
    <x v="382"/>
    <d v="2019-08-20T00:00:00"/>
    <x v="3"/>
    <x v="4"/>
    <x v="5"/>
    <x v="21"/>
    <x v="1"/>
    <s v="19-5610175"/>
    <m/>
    <n v="201908"/>
    <x v="5"/>
    <x v="1"/>
    <x v="5"/>
  </r>
  <r>
    <x v="5"/>
    <n v="162123.74"/>
    <x v="383"/>
    <d v="2020-04-14T00:00:00"/>
    <x v="3"/>
    <x v="4"/>
    <x v="5"/>
    <x v="7"/>
    <x v="1"/>
    <s v="94-3509391"/>
    <m/>
    <n v="202004"/>
    <x v="3"/>
    <x v="0"/>
    <x v="3"/>
  </r>
  <r>
    <x v="11"/>
    <n v="65831.42"/>
    <x v="384"/>
    <d v="2019-01-12T00:00:00"/>
    <x v="8"/>
    <x v="33"/>
    <x v="11"/>
    <x v="27"/>
    <x v="1"/>
    <s v="43-5417299"/>
    <m/>
    <n v="201901"/>
    <x v="7"/>
    <x v="1"/>
    <x v="7"/>
  </r>
  <r>
    <x v="5"/>
    <n v="180515.09"/>
    <x v="385"/>
    <d v="2019-12-26T00:00:00"/>
    <x v="0"/>
    <x v="15"/>
    <x v="5"/>
    <x v="10"/>
    <x v="1"/>
    <s v="68-6141868"/>
    <m/>
    <n v="201912"/>
    <x v="4"/>
    <x v="1"/>
    <x v="4"/>
  </r>
  <r>
    <x v="4"/>
    <n v="99114.91"/>
    <x v="386"/>
    <d v="2020-04-04T00:00:00"/>
    <x v="2"/>
    <x v="4"/>
    <x v="4"/>
    <x v="6"/>
    <x v="1"/>
    <s v="29-8979189"/>
    <m/>
    <n v="202004"/>
    <x v="3"/>
    <x v="0"/>
    <x v="3"/>
  </r>
  <r>
    <x v="2"/>
    <n v="171884"/>
    <x v="387"/>
    <d v="2019-10-13T00:00:00"/>
    <x v="1"/>
    <x v="4"/>
    <x v="2"/>
    <x v="2"/>
    <x v="1"/>
    <s v="58-9821508"/>
    <m/>
    <n v="201910"/>
    <x v="11"/>
    <x v="1"/>
    <x v="11"/>
  </r>
  <r>
    <x v="13"/>
    <n v="26745.94"/>
    <x v="388"/>
    <d v="2019-11-10T00:00:00"/>
    <x v="5"/>
    <x v="2"/>
    <x v="13"/>
    <x v="30"/>
    <x v="1"/>
    <s v="49-1493117"/>
    <m/>
    <n v="201911"/>
    <x v="8"/>
    <x v="1"/>
    <x v="8"/>
  </r>
  <r>
    <x v="2"/>
    <n v="77087.839999999997"/>
    <x v="389"/>
    <d v="2020-05-17T00:00:00"/>
    <x v="9"/>
    <x v="12"/>
    <x v="2"/>
    <x v="3"/>
    <x v="1"/>
    <s v="51-5334556"/>
    <m/>
    <n v="202005"/>
    <x v="6"/>
    <x v="0"/>
    <x v="6"/>
  </r>
  <r>
    <x v="5"/>
    <n v="87404"/>
    <x v="390"/>
    <d v="2019-12-26T00:00:00"/>
    <x v="8"/>
    <x v="4"/>
    <x v="5"/>
    <x v="7"/>
    <x v="1"/>
    <s v="79-3154360"/>
    <m/>
    <n v="201912"/>
    <x v="4"/>
    <x v="1"/>
    <x v="4"/>
  </r>
  <r>
    <x v="5"/>
    <n v="47680.2"/>
    <x v="391"/>
    <d v="2019-07-08T00:00:00"/>
    <x v="2"/>
    <x v="23"/>
    <x v="5"/>
    <x v="20"/>
    <x v="1"/>
    <s v="11-6024248"/>
    <m/>
    <n v="201907"/>
    <x v="2"/>
    <x v="1"/>
    <x v="2"/>
  </r>
  <r>
    <x v="1"/>
    <n v="27824.83"/>
    <x v="392"/>
    <d v="2019-09-06T00:00:00"/>
    <x v="1"/>
    <x v="47"/>
    <x v="1"/>
    <x v="1"/>
    <x v="1"/>
    <s v="61-4610981"/>
    <m/>
    <n v="201909"/>
    <x v="1"/>
    <x v="1"/>
    <x v="1"/>
  </r>
  <r>
    <x v="2"/>
    <n v="106516.4"/>
    <x v="393"/>
    <d v="2019-03-21T00:00:00"/>
    <x v="2"/>
    <x v="64"/>
    <x v="2"/>
    <x v="2"/>
    <x v="1"/>
    <s v="12-4509008"/>
    <m/>
    <n v="201903"/>
    <x v="10"/>
    <x v="1"/>
    <x v="10"/>
  </r>
  <r>
    <x v="5"/>
    <n v="141948.10999999999"/>
    <x v="394"/>
    <d v="2020-04-25T00:00:00"/>
    <x v="0"/>
    <x v="58"/>
    <x v="5"/>
    <x v="7"/>
    <x v="1"/>
    <s v="46-5576111"/>
    <m/>
    <n v="202004"/>
    <x v="3"/>
    <x v="0"/>
    <x v="3"/>
  </r>
  <r>
    <x v="11"/>
    <n v="226021.18"/>
    <x v="395"/>
    <d v="2019-07-18T00:00:00"/>
    <x v="4"/>
    <x v="50"/>
    <x v="11"/>
    <x v="27"/>
    <x v="1"/>
    <s v="44-6718687"/>
    <m/>
    <n v="201907"/>
    <x v="2"/>
    <x v="1"/>
    <x v="2"/>
  </r>
  <r>
    <x v="10"/>
    <n v="44232.84"/>
    <x v="396"/>
    <d v="2020-02-20T00:00:00"/>
    <x v="0"/>
    <x v="4"/>
    <x v="10"/>
    <x v="22"/>
    <x v="2"/>
    <s v="67-7432229"/>
    <m/>
    <n v="202002"/>
    <x v="0"/>
    <x v="0"/>
    <x v="0"/>
  </r>
  <r>
    <x v="11"/>
    <n v="135344.51999999999"/>
    <x v="397"/>
    <d v="2019-01-17T00:00:00"/>
    <x v="1"/>
    <x v="11"/>
    <x v="11"/>
    <x v="27"/>
    <x v="1"/>
    <s v="17-4401585"/>
    <m/>
    <n v="201901"/>
    <x v="7"/>
    <x v="1"/>
    <x v="7"/>
  </r>
  <r>
    <x v="5"/>
    <n v="271411.92"/>
    <x v="398"/>
    <d v="2019-12-09T00:00:00"/>
    <x v="2"/>
    <x v="3"/>
    <x v="5"/>
    <x v="10"/>
    <x v="2"/>
    <s v="56-9241023"/>
    <m/>
    <n v="201912"/>
    <x v="4"/>
    <x v="1"/>
    <x v="4"/>
  </r>
  <r>
    <x v="2"/>
    <n v="125253.59"/>
    <x v="399"/>
    <d v="2020-02-17T00:00:00"/>
    <x v="6"/>
    <x v="18"/>
    <x v="2"/>
    <x v="12"/>
    <x v="1"/>
    <s v="90-2194359"/>
    <m/>
    <n v="202002"/>
    <x v="0"/>
    <x v="0"/>
    <x v="0"/>
  </r>
  <r>
    <x v="0"/>
    <n v="15100.57"/>
    <x v="400"/>
    <d v="2019-02-20T00:00:00"/>
    <x v="1"/>
    <x v="18"/>
    <x v="0"/>
    <x v="25"/>
    <x v="1"/>
    <s v="89-2424262"/>
    <m/>
    <n v="201902"/>
    <x v="0"/>
    <x v="1"/>
    <x v="0"/>
  </r>
  <r>
    <x v="5"/>
    <n v="157932.84"/>
    <x v="401"/>
    <d v="2020-01-31T00:00:00"/>
    <x v="1"/>
    <x v="50"/>
    <x v="5"/>
    <x v="10"/>
    <x v="1"/>
    <s v="30-2982340"/>
    <m/>
    <n v="202001"/>
    <x v="7"/>
    <x v="0"/>
    <x v="7"/>
  </r>
  <r>
    <x v="2"/>
    <n v="64192.86"/>
    <x v="402"/>
    <d v="2020-04-12T00:00:00"/>
    <x v="5"/>
    <x v="4"/>
    <x v="2"/>
    <x v="29"/>
    <x v="1"/>
    <s v="10-4704941"/>
    <m/>
    <n v="202004"/>
    <x v="3"/>
    <x v="0"/>
    <x v="3"/>
  </r>
  <r>
    <x v="0"/>
    <n v="156453.01"/>
    <x v="403"/>
    <d v="2020-10-04T00:00:00"/>
    <x v="2"/>
    <x v="4"/>
    <x v="0"/>
    <x v="0"/>
    <x v="1"/>
    <s v="48-3484986"/>
    <m/>
    <n v="202010"/>
    <x v="11"/>
    <x v="0"/>
    <x v="11"/>
  </r>
  <r>
    <x v="1"/>
    <n v="53616.06"/>
    <x v="404"/>
    <d v="2020-01-03T00:00:00"/>
    <x v="5"/>
    <x v="49"/>
    <x v="1"/>
    <x v="1"/>
    <x v="1"/>
    <s v="84-4478396"/>
    <m/>
    <n v="202001"/>
    <x v="7"/>
    <x v="0"/>
    <x v="7"/>
  </r>
  <r>
    <x v="1"/>
    <n v="163967.89000000001"/>
    <x v="405"/>
    <d v="2019-05-30T00:00:00"/>
    <x v="5"/>
    <x v="21"/>
    <x v="1"/>
    <x v="1"/>
    <x v="2"/>
    <s v="28-0849652"/>
    <m/>
    <n v="201905"/>
    <x v="6"/>
    <x v="1"/>
    <x v="6"/>
  </r>
  <r>
    <x v="0"/>
    <n v="171748.56"/>
    <x v="406"/>
    <d v="2020-11-20T00:00:00"/>
    <x v="1"/>
    <x v="32"/>
    <x v="0"/>
    <x v="0"/>
    <x v="1"/>
    <s v="74-0214938"/>
    <m/>
    <n v="202011"/>
    <x v="8"/>
    <x v="0"/>
    <x v="8"/>
  </r>
  <r>
    <x v="5"/>
    <n v="26103.94"/>
    <x v="407"/>
    <d v="2020-08-31T00:00:00"/>
    <x v="5"/>
    <x v="28"/>
    <x v="5"/>
    <x v="21"/>
    <x v="2"/>
    <s v="89-0187996"/>
    <m/>
    <n v="202008"/>
    <x v="5"/>
    <x v="0"/>
    <x v="5"/>
  </r>
  <r>
    <x v="2"/>
    <n v="140337.34"/>
    <x v="408"/>
    <d v="2020-09-04T00:00:00"/>
    <x v="5"/>
    <x v="35"/>
    <x v="2"/>
    <x v="12"/>
    <x v="1"/>
    <s v="65-8218141"/>
    <m/>
    <n v="202009"/>
    <x v="1"/>
    <x v="0"/>
    <x v="1"/>
  </r>
  <r>
    <x v="0"/>
    <n v="33617.03"/>
    <x v="409"/>
    <d v="2020-04-07T00:00:00"/>
    <x v="5"/>
    <x v="34"/>
    <x v="0"/>
    <x v="0"/>
    <x v="1"/>
    <s v="49-8489293"/>
    <m/>
    <n v="202004"/>
    <x v="3"/>
    <x v="0"/>
    <x v="3"/>
  </r>
  <r>
    <x v="2"/>
    <n v="187874.45"/>
    <x v="410"/>
    <d v="2019-06-26T00:00:00"/>
    <x v="4"/>
    <x v="4"/>
    <x v="2"/>
    <x v="15"/>
    <x v="1"/>
    <s v="91-8142232"/>
    <m/>
    <n v="201906"/>
    <x v="9"/>
    <x v="1"/>
    <x v="9"/>
  </r>
  <r>
    <x v="1"/>
    <n v="41675.01"/>
    <x v="411"/>
    <d v="2019-06-25T00:00:00"/>
    <x v="3"/>
    <x v="27"/>
    <x v="1"/>
    <x v="1"/>
    <x v="1"/>
    <s v="75-5380350"/>
    <m/>
    <n v="201906"/>
    <x v="9"/>
    <x v="1"/>
    <x v="9"/>
  </r>
  <r>
    <x v="2"/>
    <n v="34930.080000000002"/>
    <x v="412"/>
    <d v="2019-11-01T00:00:00"/>
    <x v="5"/>
    <x v="49"/>
    <x v="2"/>
    <x v="2"/>
    <x v="1"/>
    <s v="35-4551515"/>
    <m/>
    <n v="201911"/>
    <x v="8"/>
    <x v="1"/>
    <x v="8"/>
  </r>
  <r>
    <x v="1"/>
    <n v="127994.87"/>
    <x v="413"/>
    <d v="2020-09-01T00:00:00"/>
    <x v="0"/>
    <x v="35"/>
    <x v="1"/>
    <x v="31"/>
    <x v="1"/>
    <s v="73-2763209"/>
    <m/>
    <n v="202009"/>
    <x v="1"/>
    <x v="0"/>
    <x v="1"/>
  </r>
  <r>
    <x v="2"/>
    <n v="162637.68"/>
    <x v="414"/>
    <d v="2019-09-27T00:00:00"/>
    <x v="2"/>
    <x v="2"/>
    <x v="2"/>
    <x v="12"/>
    <x v="1"/>
    <s v="56-0800364"/>
    <m/>
    <n v="201909"/>
    <x v="1"/>
    <x v="1"/>
    <x v="1"/>
  </r>
  <r>
    <x v="2"/>
    <n v="40728.28"/>
    <x v="415"/>
    <d v="2019-09-22T00:00:00"/>
    <x v="3"/>
    <x v="56"/>
    <x v="2"/>
    <x v="15"/>
    <x v="0"/>
    <s v="42-7027181"/>
    <m/>
    <n v="201909"/>
    <x v="1"/>
    <x v="1"/>
    <x v="1"/>
  </r>
  <r>
    <x v="1"/>
    <n v="293767.28000000003"/>
    <x v="416"/>
    <d v="2020-06-05T00:00:00"/>
    <x v="1"/>
    <x v="42"/>
    <x v="1"/>
    <x v="1"/>
    <x v="1"/>
    <s v="29-0601002"/>
    <m/>
    <n v="202006"/>
    <x v="9"/>
    <x v="0"/>
    <x v="9"/>
  </r>
  <r>
    <x v="0"/>
    <n v="57913.36"/>
    <x v="417"/>
    <d v="2019-09-11T00:00:00"/>
    <x v="1"/>
    <x v="18"/>
    <x v="0"/>
    <x v="13"/>
    <x v="1"/>
    <s v="90-2797129"/>
    <m/>
    <n v="201909"/>
    <x v="1"/>
    <x v="1"/>
    <x v="1"/>
  </r>
  <r>
    <x v="4"/>
    <n v="63979.040000000001"/>
    <x v="418"/>
    <d v="2019-10-22T00:00:00"/>
    <x v="1"/>
    <x v="6"/>
    <x v="4"/>
    <x v="8"/>
    <x v="1"/>
    <s v="27-3437546"/>
    <m/>
    <n v="201910"/>
    <x v="11"/>
    <x v="1"/>
    <x v="11"/>
  </r>
  <r>
    <x v="5"/>
    <n v="102255.86"/>
    <x v="419"/>
    <d v="2020-11-12T00:00:00"/>
    <x v="6"/>
    <x v="45"/>
    <x v="5"/>
    <x v="23"/>
    <x v="1"/>
    <s v="78-3726363"/>
    <m/>
    <n v="202011"/>
    <x v="8"/>
    <x v="0"/>
    <x v="8"/>
  </r>
  <r>
    <x v="1"/>
    <n v="107271.94"/>
    <x v="420"/>
    <d v="2020-08-23T00:00:00"/>
    <x v="1"/>
    <x v="4"/>
    <x v="1"/>
    <x v="1"/>
    <x v="1"/>
    <s v="78-8990131"/>
    <m/>
    <n v="202008"/>
    <x v="5"/>
    <x v="0"/>
    <x v="5"/>
  </r>
  <r>
    <x v="14"/>
    <n v="51090.76"/>
    <x v="421"/>
    <d v="2020-03-12T00:00:00"/>
    <x v="8"/>
    <x v="37"/>
    <x v="14"/>
    <x v="32"/>
    <x v="1"/>
    <s v="85-2223377"/>
    <m/>
    <n v="202003"/>
    <x v="10"/>
    <x v="0"/>
    <x v="10"/>
  </r>
  <r>
    <x v="0"/>
    <n v="102299.92"/>
    <x v="422"/>
    <d v="2019-08-22T00:00:00"/>
    <x v="3"/>
    <x v="12"/>
    <x v="0"/>
    <x v="13"/>
    <x v="1"/>
    <s v="73-9246627"/>
    <m/>
    <n v="201908"/>
    <x v="5"/>
    <x v="1"/>
    <x v="5"/>
  </r>
  <r>
    <x v="5"/>
    <n v="144204.85999999999"/>
    <x v="423"/>
    <d v="2020-11-08T00:00:00"/>
    <x v="0"/>
    <x v="47"/>
    <x v="5"/>
    <x v="10"/>
    <x v="1"/>
    <s v="56-7910696"/>
    <m/>
    <n v="202011"/>
    <x v="8"/>
    <x v="0"/>
    <x v="8"/>
  </r>
  <r>
    <x v="5"/>
    <n v="36183.97"/>
    <x v="424"/>
    <d v="2020-08-09T00:00:00"/>
    <x v="0"/>
    <x v="39"/>
    <x v="5"/>
    <x v="23"/>
    <x v="0"/>
    <s v="91-4296427"/>
    <m/>
    <n v="202008"/>
    <x v="5"/>
    <x v="0"/>
    <x v="5"/>
  </r>
  <r>
    <x v="4"/>
    <n v="47771.76"/>
    <x v="425"/>
    <d v="2019-05-29T00:00:00"/>
    <x v="3"/>
    <x v="23"/>
    <x v="4"/>
    <x v="8"/>
    <x v="1"/>
    <s v="70-8181545"/>
    <m/>
    <n v="201905"/>
    <x v="6"/>
    <x v="1"/>
    <x v="6"/>
  </r>
  <r>
    <x v="3"/>
    <n v="44038.31"/>
    <x v="426"/>
    <d v="2020-01-24T00:00:00"/>
    <x v="8"/>
    <x v="51"/>
    <x v="3"/>
    <x v="33"/>
    <x v="1"/>
    <s v="94-0775004"/>
    <m/>
    <n v="202001"/>
    <x v="7"/>
    <x v="0"/>
    <x v="7"/>
  </r>
  <r>
    <x v="0"/>
    <n v="116469.33"/>
    <x v="427"/>
    <d v="2020-01-31T00:00:00"/>
    <x v="7"/>
    <x v="7"/>
    <x v="0"/>
    <x v="19"/>
    <x v="1"/>
    <s v="89-3466746"/>
    <m/>
    <n v="202001"/>
    <x v="7"/>
    <x v="0"/>
    <x v="7"/>
  </r>
  <r>
    <x v="4"/>
    <n v="227856.66"/>
    <x v="428"/>
    <d v="2020-07-20T00:00:00"/>
    <x v="8"/>
    <x v="22"/>
    <x v="4"/>
    <x v="11"/>
    <x v="1"/>
    <s v="11-5257937"/>
    <m/>
    <n v="202007"/>
    <x v="2"/>
    <x v="0"/>
    <x v="2"/>
  </r>
  <r>
    <x v="0"/>
    <n v="67161.990000000005"/>
    <x v="429"/>
    <d v="2019-09-20T00:00:00"/>
    <x v="8"/>
    <x v="44"/>
    <x v="0"/>
    <x v="25"/>
    <x v="1"/>
    <s v="22-7587128"/>
    <m/>
    <n v="201909"/>
    <x v="1"/>
    <x v="1"/>
    <x v="1"/>
  </r>
  <r>
    <x v="11"/>
    <n v="168178.03"/>
    <x v="430"/>
    <d v="2020-04-29T00:00:00"/>
    <x v="2"/>
    <x v="32"/>
    <x v="11"/>
    <x v="26"/>
    <x v="1"/>
    <s v="36-7597839"/>
    <m/>
    <n v="202004"/>
    <x v="3"/>
    <x v="0"/>
    <x v="3"/>
  </r>
  <r>
    <x v="0"/>
    <n v="42611.78"/>
    <x v="431"/>
    <d v="2020-03-12T00:00:00"/>
    <x v="2"/>
    <x v="32"/>
    <x v="0"/>
    <x v="25"/>
    <x v="0"/>
    <s v="16-2824654"/>
    <m/>
    <n v="202003"/>
    <x v="10"/>
    <x v="0"/>
    <x v="10"/>
  </r>
  <r>
    <x v="0"/>
    <n v="166507.76"/>
    <x v="432"/>
    <d v="2020-08-27T00:00:00"/>
    <x v="4"/>
    <x v="24"/>
    <x v="0"/>
    <x v="0"/>
    <x v="1"/>
    <s v="49-1743669"/>
    <m/>
    <n v="202008"/>
    <x v="5"/>
    <x v="0"/>
    <x v="5"/>
  </r>
  <r>
    <x v="3"/>
    <n v="131409.9"/>
    <x v="433"/>
    <d v="2020-11-15T00:00:00"/>
    <x v="8"/>
    <x v="47"/>
    <x v="3"/>
    <x v="4"/>
    <x v="1"/>
    <s v="48-7252604"/>
    <m/>
    <n v="202011"/>
    <x v="8"/>
    <x v="0"/>
    <x v="8"/>
  </r>
  <r>
    <x v="2"/>
    <n v="133072"/>
    <x v="434"/>
    <d v="2020-10-28T00:00:00"/>
    <x v="7"/>
    <x v="41"/>
    <x v="2"/>
    <x v="12"/>
    <x v="1"/>
    <s v="07-1769568"/>
    <m/>
    <n v="202010"/>
    <x v="11"/>
    <x v="0"/>
    <x v="11"/>
  </r>
  <r>
    <x v="1"/>
    <n v="180250.02"/>
    <x v="435"/>
    <d v="2019-06-03T00:00:00"/>
    <x v="8"/>
    <x v="64"/>
    <x v="1"/>
    <x v="31"/>
    <x v="1"/>
    <s v="57-5645459"/>
    <m/>
    <n v="201906"/>
    <x v="9"/>
    <x v="1"/>
    <x v="9"/>
  </r>
  <r>
    <x v="2"/>
    <n v="48090.78"/>
    <x v="436"/>
    <d v="2020-03-19T00:00:00"/>
    <x v="0"/>
    <x v="49"/>
    <x v="2"/>
    <x v="12"/>
    <x v="1"/>
    <s v="13-0740797"/>
    <m/>
    <n v="202003"/>
    <x v="10"/>
    <x v="0"/>
    <x v="10"/>
  </r>
  <r>
    <x v="0"/>
    <n v="168530.22"/>
    <x v="437"/>
    <d v="2020-05-16T00:00:00"/>
    <x v="5"/>
    <x v="42"/>
    <x v="0"/>
    <x v="25"/>
    <x v="1"/>
    <s v="34-9966345"/>
    <m/>
    <n v="202005"/>
    <x v="6"/>
    <x v="0"/>
    <x v="6"/>
  </r>
  <r>
    <x v="0"/>
    <n v="36785.279999999999"/>
    <x v="438"/>
    <d v="2019-08-31T00:00:00"/>
    <x v="5"/>
    <x v="4"/>
    <x v="0"/>
    <x v="9"/>
    <x v="1"/>
    <s v="91-6738094"/>
    <m/>
    <n v="201908"/>
    <x v="5"/>
    <x v="1"/>
    <x v="5"/>
  </r>
  <r>
    <x v="11"/>
    <n v="126409.18"/>
    <x v="439"/>
    <d v="2020-10-04T00:00:00"/>
    <x v="6"/>
    <x v="23"/>
    <x v="11"/>
    <x v="26"/>
    <x v="1"/>
    <s v="32-9007470"/>
    <m/>
    <n v="202010"/>
    <x v="11"/>
    <x v="0"/>
    <x v="11"/>
  </r>
  <r>
    <x v="2"/>
    <n v="49990.720000000001"/>
    <x v="440"/>
    <d v="2020-01-04T00:00:00"/>
    <x v="8"/>
    <x v="12"/>
    <x v="2"/>
    <x v="2"/>
    <x v="1"/>
    <s v="68-6382353"/>
    <m/>
    <n v="202001"/>
    <x v="7"/>
    <x v="0"/>
    <x v="7"/>
  </r>
  <r>
    <x v="0"/>
    <n v="36644.050000000003"/>
    <x v="441"/>
    <d v="2020-11-20T00:00:00"/>
    <x v="2"/>
    <x v="2"/>
    <x v="0"/>
    <x v="19"/>
    <x v="1"/>
    <s v="88-5406813"/>
    <m/>
    <n v="202011"/>
    <x v="8"/>
    <x v="0"/>
    <x v="8"/>
  </r>
  <r>
    <x v="0"/>
    <n v="115226.8"/>
    <x v="442"/>
    <d v="2019-05-15T00:00:00"/>
    <x v="3"/>
    <x v="10"/>
    <x v="0"/>
    <x v="25"/>
    <x v="1"/>
    <s v="42-2765593"/>
    <m/>
    <n v="201905"/>
    <x v="6"/>
    <x v="1"/>
    <x v="6"/>
  </r>
  <r>
    <x v="1"/>
    <n v="154078.75"/>
    <x v="443"/>
    <d v="2020-09-05T00:00:00"/>
    <x v="0"/>
    <x v="52"/>
    <x v="1"/>
    <x v="1"/>
    <x v="1"/>
    <s v="76-0724533"/>
    <m/>
    <n v="202009"/>
    <x v="1"/>
    <x v="0"/>
    <x v="1"/>
  </r>
  <r>
    <x v="8"/>
    <n v="80328.160000000003"/>
    <x v="444"/>
    <d v="2020-09-23T00:00:00"/>
    <x v="1"/>
    <x v="7"/>
    <x v="8"/>
    <x v="24"/>
    <x v="1"/>
    <s v="45-3965395"/>
    <m/>
    <n v="202009"/>
    <x v="1"/>
    <x v="0"/>
    <x v="1"/>
  </r>
  <r>
    <x v="2"/>
    <n v="99832.12"/>
    <x v="445"/>
    <d v="2019-05-15T00:00:00"/>
    <x v="5"/>
    <x v="56"/>
    <x v="2"/>
    <x v="3"/>
    <x v="1"/>
    <s v="46-6126203"/>
    <m/>
    <n v="201905"/>
    <x v="6"/>
    <x v="1"/>
    <x v="6"/>
  </r>
  <r>
    <x v="1"/>
    <n v="133057.07"/>
    <x v="446"/>
    <d v="2020-05-03T00:00:00"/>
    <x v="9"/>
    <x v="14"/>
    <x v="1"/>
    <x v="1"/>
    <x v="1"/>
    <s v="27-7554919"/>
    <m/>
    <n v="202005"/>
    <x v="6"/>
    <x v="0"/>
    <x v="6"/>
  </r>
  <r>
    <x v="11"/>
    <n v="80719.44"/>
    <x v="447"/>
    <d v="2019-02-09T00:00:00"/>
    <x v="5"/>
    <x v="4"/>
    <x v="11"/>
    <x v="26"/>
    <x v="1"/>
    <s v="59-1230573"/>
    <m/>
    <n v="201902"/>
    <x v="0"/>
    <x v="1"/>
    <x v="0"/>
  </r>
  <r>
    <x v="5"/>
    <n v="124534.96"/>
    <x v="448"/>
    <d v="2020-07-18T00:00:00"/>
    <x v="0"/>
    <x v="46"/>
    <x v="5"/>
    <x v="7"/>
    <x v="1"/>
    <s v="45-2229786"/>
    <m/>
    <n v="202007"/>
    <x v="2"/>
    <x v="0"/>
    <x v="2"/>
  </r>
  <r>
    <x v="0"/>
    <n v="67611.539999999994"/>
    <x v="449"/>
    <d v="2019-10-30T00:00:00"/>
    <x v="2"/>
    <x v="49"/>
    <x v="0"/>
    <x v="19"/>
    <x v="1"/>
    <s v="62-7218897"/>
    <m/>
    <n v="201910"/>
    <x v="11"/>
    <x v="1"/>
    <x v="11"/>
  </r>
  <r>
    <x v="5"/>
    <n v="132760.25"/>
    <x v="450"/>
    <d v="2020-01-07T00:00:00"/>
    <x v="3"/>
    <x v="9"/>
    <x v="5"/>
    <x v="20"/>
    <x v="1"/>
    <s v="55-4161787"/>
    <m/>
    <n v="202001"/>
    <x v="7"/>
    <x v="0"/>
    <x v="7"/>
  </r>
  <r>
    <x v="5"/>
    <n v="177802.7"/>
    <x v="451"/>
    <d v="2019-07-18T00:00:00"/>
    <x v="9"/>
    <x v="2"/>
    <x v="5"/>
    <x v="10"/>
    <x v="1"/>
    <s v="56-2537757"/>
    <m/>
    <n v="201907"/>
    <x v="2"/>
    <x v="1"/>
    <x v="2"/>
  </r>
  <r>
    <x v="8"/>
    <n v="98963.03"/>
    <x v="452"/>
    <d v="2020-10-12T00:00:00"/>
    <x v="4"/>
    <x v="67"/>
    <x v="8"/>
    <x v="24"/>
    <x v="1"/>
    <s v="20-0021649"/>
    <m/>
    <n v="202010"/>
    <x v="11"/>
    <x v="0"/>
    <x v="11"/>
  </r>
  <r>
    <x v="8"/>
    <n v="126582.5"/>
    <x v="453"/>
    <d v="2020-02-17T00:00:00"/>
    <x v="3"/>
    <x v="12"/>
    <x v="8"/>
    <x v="24"/>
    <x v="1"/>
    <s v="93-2627296"/>
    <m/>
    <n v="202002"/>
    <x v="0"/>
    <x v="0"/>
    <x v="0"/>
  </r>
  <r>
    <x v="2"/>
    <n v="141965.10999999999"/>
    <x v="454"/>
    <d v="2019-09-18T00:00:00"/>
    <x v="3"/>
    <x v="61"/>
    <x v="2"/>
    <x v="15"/>
    <x v="1"/>
    <s v="56-2408571"/>
    <m/>
    <n v="201909"/>
    <x v="1"/>
    <x v="1"/>
    <x v="1"/>
  </r>
  <r>
    <x v="11"/>
    <n v="167301.51999999999"/>
    <x v="455"/>
    <d v="2019-05-06T00:00:00"/>
    <x v="7"/>
    <x v="33"/>
    <x v="11"/>
    <x v="26"/>
    <x v="1"/>
    <s v="80-3206606"/>
    <m/>
    <n v="201905"/>
    <x v="6"/>
    <x v="1"/>
    <x v="6"/>
  </r>
  <r>
    <x v="5"/>
    <n v="133985.91"/>
    <x v="456"/>
    <d v="2019-01-15T00:00:00"/>
    <x v="2"/>
    <x v="49"/>
    <x v="5"/>
    <x v="10"/>
    <x v="1"/>
    <s v="48-3190394"/>
    <m/>
    <n v="201901"/>
    <x v="7"/>
    <x v="1"/>
    <x v="7"/>
  </r>
  <r>
    <x v="5"/>
    <n v="91540.03"/>
    <x v="457"/>
    <d v="2019-09-09T00:00:00"/>
    <x v="2"/>
    <x v="49"/>
    <x v="5"/>
    <x v="21"/>
    <x v="1"/>
    <s v="38-6130023"/>
    <m/>
    <n v="201909"/>
    <x v="1"/>
    <x v="1"/>
    <x v="1"/>
  </r>
  <r>
    <x v="4"/>
    <n v="146055.04999999999"/>
    <x v="458"/>
    <d v="2019-10-07T00:00:00"/>
    <x v="2"/>
    <x v="64"/>
    <x v="4"/>
    <x v="6"/>
    <x v="2"/>
    <s v="38-2969743"/>
    <m/>
    <n v="201910"/>
    <x v="11"/>
    <x v="1"/>
    <x v="11"/>
  </r>
  <r>
    <x v="0"/>
    <n v="113586.11"/>
    <x v="459"/>
    <d v="2019-02-19T00:00:00"/>
    <x v="7"/>
    <x v="24"/>
    <x v="0"/>
    <x v="25"/>
    <x v="0"/>
    <s v="48-8166416"/>
    <m/>
    <n v="201902"/>
    <x v="0"/>
    <x v="1"/>
    <x v="0"/>
  </r>
  <r>
    <x v="11"/>
    <n v="135662.46"/>
    <x v="460"/>
    <d v="2020-05-02T00:00:00"/>
    <x v="3"/>
    <x v="51"/>
    <x v="11"/>
    <x v="27"/>
    <x v="1"/>
    <s v="33-4102367"/>
    <m/>
    <n v="202005"/>
    <x v="6"/>
    <x v="0"/>
    <x v="6"/>
  </r>
  <r>
    <x v="2"/>
    <n v="113781.45"/>
    <x v="461"/>
    <d v="2019-10-08T00:00:00"/>
    <x v="0"/>
    <x v="39"/>
    <x v="2"/>
    <x v="3"/>
    <x v="1"/>
    <s v="44-5240815"/>
    <m/>
    <n v="201910"/>
    <x v="11"/>
    <x v="1"/>
    <x v="11"/>
  </r>
  <r>
    <x v="5"/>
    <n v="111462.88"/>
    <x v="462"/>
    <d v="2020-09-03T00:00:00"/>
    <x v="7"/>
    <x v="14"/>
    <x v="5"/>
    <x v="23"/>
    <x v="2"/>
    <s v="70-9378988"/>
    <m/>
    <n v="202009"/>
    <x v="1"/>
    <x v="0"/>
    <x v="1"/>
  </r>
  <r>
    <x v="4"/>
    <n v="34748.75"/>
    <x v="463"/>
    <d v="2020-09-27T00:00:00"/>
    <x v="6"/>
    <x v="25"/>
    <x v="4"/>
    <x v="8"/>
    <x v="2"/>
    <s v="84-9385946"/>
    <m/>
    <n v="202009"/>
    <x v="1"/>
    <x v="0"/>
    <x v="1"/>
  </r>
  <r>
    <x v="4"/>
    <n v="137306.45000000001"/>
    <x v="464"/>
    <d v="2020-09-04T00:00:00"/>
    <x v="0"/>
    <x v="8"/>
    <x v="4"/>
    <x v="6"/>
    <x v="1"/>
    <s v="00-1210718"/>
    <m/>
    <n v="202009"/>
    <x v="1"/>
    <x v="0"/>
    <x v="1"/>
  </r>
  <r>
    <x v="2"/>
    <n v="148212.23000000001"/>
    <x v="465"/>
    <d v="2019-09-10T00:00:00"/>
    <x v="2"/>
    <x v="51"/>
    <x v="2"/>
    <x v="29"/>
    <x v="1"/>
    <s v="92-7917751"/>
    <m/>
    <n v="201909"/>
    <x v="1"/>
    <x v="1"/>
    <x v="1"/>
  </r>
  <r>
    <x v="2"/>
    <n v="159057.92000000001"/>
    <x v="466"/>
    <d v="2020-10-24T00:00:00"/>
    <x v="6"/>
    <x v="4"/>
    <x v="2"/>
    <x v="29"/>
    <x v="1"/>
    <s v="91-3344544"/>
    <m/>
    <n v="202010"/>
    <x v="11"/>
    <x v="0"/>
    <x v="11"/>
  </r>
  <r>
    <x v="0"/>
    <n v="146226.35999999999"/>
    <x v="467"/>
    <d v="2020-10-18T00:00:00"/>
    <x v="6"/>
    <x v="5"/>
    <x v="0"/>
    <x v="13"/>
    <x v="1"/>
    <s v="28-1840061"/>
    <m/>
    <n v="202010"/>
    <x v="11"/>
    <x v="0"/>
    <x v="11"/>
  </r>
  <r>
    <x v="2"/>
    <n v="201537.12"/>
    <x v="468"/>
    <d v="2020-06-10T00:00:00"/>
    <x v="7"/>
    <x v="63"/>
    <x v="2"/>
    <x v="29"/>
    <x v="1"/>
    <s v="20-7532198"/>
    <m/>
    <n v="202006"/>
    <x v="9"/>
    <x v="0"/>
    <x v="9"/>
  </r>
  <r>
    <x v="2"/>
    <n v="242192.19"/>
    <x v="469"/>
    <d v="2019-07-02T00:00:00"/>
    <x v="4"/>
    <x v="50"/>
    <x v="2"/>
    <x v="2"/>
    <x v="1"/>
    <s v="96-7618409"/>
    <m/>
    <n v="201907"/>
    <x v="2"/>
    <x v="1"/>
    <x v="2"/>
  </r>
  <r>
    <x v="9"/>
    <n v="172397.66"/>
    <x v="470"/>
    <d v="2019-01-27T00:00:00"/>
    <x v="2"/>
    <x v="4"/>
    <x v="9"/>
    <x v="18"/>
    <x v="1"/>
    <s v="47-8186791"/>
    <m/>
    <n v="201901"/>
    <x v="7"/>
    <x v="1"/>
    <x v="7"/>
  </r>
  <r>
    <x v="7"/>
    <n v="152370.57"/>
    <x v="471"/>
    <d v="2019-11-20T00:00:00"/>
    <x v="1"/>
    <x v="9"/>
    <x v="7"/>
    <x v="16"/>
    <x v="1"/>
    <s v="61-8262308"/>
    <m/>
    <n v="201911"/>
    <x v="8"/>
    <x v="1"/>
    <x v="8"/>
  </r>
  <r>
    <x v="2"/>
    <n v="137419.29999999999"/>
    <x v="472"/>
    <d v="2020-05-15T00:00:00"/>
    <x v="1"/>
    <x v="48"/>
    <x v="2"/>
    <x v="2"/>
    <x v="0"/>
    <s v="39-1945268"/>
    <m/>
    <n v="202005"/>
    <x v="6"/>
    <x v="0"/>
    <x v="6"/>
  </r>
  <r>
    <x v="5"/>
    <n v="67594.100000000006"/>
    <x v="473"/>
    <d v="2019-09-26T00:00:00"/>
    <x v="9"/>
    <x v="12"/>
    <x v="5"/>
    <x v="10"/>
    <x v="1"/>
    <s v="70-1769929"/>
    <m/>
    <n v="201909"/>
    <x v="1"/>
    <x v="1"/>
    <x v="1"/>
  </r>
  <r>
    <x v="9"/>
    <n v="72002.259999999995"/>
    <x v="474"/>
    <d v="2019-01-17T00:00:00"/>
    <x v="5"/>
    <x v="40"/>
    <x v="9"/>
    <x v="18"/>
    <x v="1"/>
    <s v="65-0414599"/>
    <m/>
    <n v="201901"/>
    <x v="7"/>
    <x v="1"/>
    <x v="7"/>
  </r>
  <r>
    <x v="5"/>
    <n v="159926.16"/>
    <x v="475"/>
    <d v="2020-09-12T00:00:00"/>
    <x v="3"/>
    <x v="40"/>
    <x v="5"/>
    <x v="21"/>
    <x v="0"/>
    <s v="44-0517932"/>
    <m/>
    <n v="202009"/>
    <x v="1"/>
    <x v="0"/>
    <x v="1"/>
  </r>
  <r>
    <x v="5"/>
    <n v="65193.88"/>
    <x v="476"/>
    <d v="2019-10-04T00:00:00"/>
    <x v="3"/>
    <x v="61"/>
    <x v="5"/>
    <x v="7"/>
    <x v="1"/>
    <s v="74-1131921"/>
    <m/>
    <n v="201910"/>
    <x v="11"/>
    <x v="1"/>
    <x v="11"/>
  </r>
  <r>
    <x v="2"/>
    <n v="105374.44"/>
    <x v="477"/>
    <d v="2020-02-18T00:00:00"/>
    <x v="8"/>
    <x v="58"/>
    <x v="2"/>
    <x v="29"/>
    <x v="1"/>
    <s v="74-8625042"/>
    <m/>
    <n v="202002"/>
    <x v="0"/>
    <x v="0"/>
    <x v="0"/>
  </r>
  <r>
    <x v="4"/>
    <n v="83097.399999999994"/>
    <x v="478"/>
    <d v="2019-03-22T00:00:00"/>
    <x v="2"/>
    <x v="51"/>
    <x v="4"/>
    <x v="11"/>
    <x v="2"/>
    <s v="36-0185776"/>
    <m/>
    <n v="201903"/>
    <x v="10"/>
    <x v="1"/>
    <x v="10"/>
  </r>
  <r>
    <x v="0"/>
    <n v="139682.07"/>
    <x v="479"/>
    <d v="2020-01-18T00:00:00"/>
    <x v="1"/>
    <x v="54"/>
    <x v="0"/>
    <x v="9"/>
    <x v="1"/>
    <s v="98-4157323"/>
    <m/>
    <n v="202001"/>
    <x v="7"/>
    <x v="0"/>
    <x v="7"/>
  </r>
  <r>
    <x v="5"/>
    <n v="81095.39"/>
    <x v="480"/>
    <d v="2020-09-08T00:00:00"/>
    <x v="1"/>
    <x v="18"/>
    <x v="5"/>
    <x v="23"/>
    <x v="1"/>
    <s v="36-8783637"/>
    <m/>
    <n v="202009"/>
    <x v="1"/>
    <x v="0"/>
    <x v="1"/>
  </r>
  <r>
    <x v="8"/>
    <n v="91108.56"/>
    <x v="481"/>
    <d v="2020-06-24T00:00:00"/>
    <x v="5"/>
    <x v="58"/>
    <x v="8"/>
    <x v="17"/>
    <x v="1"/>
    <s v="34-0286364"/>
    <m/>
    <n v="202006"/>
    <x v="9"/>
    <x v="0"/>
    <x v="9"/>
  </r>
  <r>
    <x v="9"/>
    <n v="47182.43"/>
    <x v="482"/>
    <d v="2020-02-21T00:00:00"/>
    <x v="6"/>
    <x v="20"/>
    <x v="9"/>
    <x v="18"/>
    <x v="1"/>
    <s v="82-0533747"/>
    <m/>
    <n v="202002"/>
    <x v="0"/>
    <x v="0"/>
    <x v="0"/>
  </r>
  <r>
    <x v="1"/>
    <n v="161984.91"/>
    <x v="483"/>
    <d v="2020-06-08T00:00:00"/>
    <x v="5"/>
    <x v="14"/>
    <x v="1"/>
    <x v="31"/>
    <x v="1"/>
    <s v="59-9184649"/>
    <m/>
    <n v="202006"/>
    <x v="9"/>
    <x v="0"/>
    <x v="9"/>
  </r>
  <r>
    <x v="0"/>
    <n v="116548.17"/>
    <x v="484"/>
    <d v="2020-05-05T00:00:00"/>
    <x v="2"/>
    <x v="4"/>
    <x v="0"/>
    <x v="9"/>
    <x v="1"/>
    <s v="03-3136289"/>
    <m/>
    <n v="202005"/>
    <x v="6"/>
    <x v="0"/>
    <x v="6"/>
  </r>
  <r>
    <x v="2"/>
    <n v="138764.6"/>
    <x v="485"/>
    <d v="2020-05-10T00:00:00"/>
    <x v="5"/>
    <x v="4"/>
    <x v="2"/>
    <x v="29"/>
    <x v="1"/>
    <s v="79-6676714"/>
    <m/>
    <n v="202005"/>
    <x v="6"/>
    <x v="0"/>
    <x v="6"/>
  </r>
  <r>
    <x v="5"/>
    <n v="148405.47"/>
    <x v="486"/>
    <d v="2019-10-27T00:00:00"/>
    <x v="8"/>
    <x v="4"/>
    <x v="5"/>
    <x v="10"/>
    <x v="1"/>
    <s v="82-1082124"/>
    <m/>
    <n v="201910"/>
    <x v="11"/>
    <x v="1"/>
    <x v="11"/>
  </r>
  <r>
    <x v="6"/>
    <n v="138249.76999999999"/>
    <x v="487"/>
    <d v="2019-08-09T00:00:00"/>
    <x v="1"/>
    <x v="3"/>
    <x v="6"/>
    <x v="14"/>
    <x v="1"/>
    <s v="79-1331359"/>
    <m/>
    <n v="201908"/>
    <x v="5"/>
    <x v="1"/>
    <x v="5"/>
  </r>
  <r>
    <x v="2"/>
    <n v="115718.87"/>
    <x v="488"/>
    <d v="2019-04-24T00:00:00"/>
    <x v="8"/>
    <x v="1"/>
    <x v="2"/>
    <x v="3"/>
    <x v="1"/>
    <s v="84-7042200"/>
    <m/>
    <n v="201904"/>
    <x v="3"/>
    <x v="1"/>
    <x v="3"/>
  </r>
  <r>
    <x v="2"/>
    <n v="194326.7"/>
    <x v="489"/>
    <d v="2019-07-07T00:00:00"/>
    <x v="0"/>
    <x v="4"/>
    <x v="2"/>
    <x v="15"/>
    <x v="0"/>
    <s v="42-5303223"/>
    <m/>
    <n v="201907"/>
    <x v="2"/>
    <x v="1"/>
    <x v="2"/>
  </r>
  <r>
    <x v="5"/>
    <n v="38648.720000000001"/>
    <x v="490"/>
    <d v="2020-12-04T00:00:00"/>
    <x v="3"/>
    <x v="36"/>
    <x v="5"/>
    <x v="20"/>
    <x v="2"/>
    <s v="04-6732680"/>
    <m/>
    <n v="202012"/>
    <x v="4"/>
    <x v="0"/>
    <x v="4"/>
  </r>
  <r>
    <x v="0"/>
    <n v="58010.14"/>
    <x v="491"/>
    <d v="2019-09-11T00:00:00"/>
    <x v="5"/>
    <x v="39"/>
    <x v="0"/>
    <x v="25"/>
    <x v="1"/>
    <s v="84-9167618"/>
    <m/>
    <n v="201909"/>
    <x v="1"/>
    <x v="1"/>
    <x v="1"/>
  </r>
  <r>
    <x v="5"/>
    <n v="82697.53"/>
    <x v="492"/>
    <d v="2020-08-12T00:00:00"/>
    <x v="1"/>
    <x v="49"/>
    <x v="5"/>
    <x v="23"/>
    <x v="1"/>
    <s v="47-5319780"/>
    <m/>
    <n v="202008"/>
    <x v="5"/>
    <x v="0"/>
    <x v="5"/>
  </r>
  <r>
    <x v="0"/>
    <n v="68086.960000000006"/>
    <x v="493"/>
    <d v="2019-11-26T00:00:00"/>
    <x v="8"/>
    <x v="68"/>
    <x v="0"/>
    <x v="25"/>
    <x v="1"/>
    <s v="20-1013432"/>
    <m/>
    <n v="201911"/>
    <x v="8"/>
    <x v="1"/>
    <x v="8"/>
  </r>
  <r>
    <x v="8"/>
    <n v="111106.06"/>
    <x v="494"/>
    <d v="2020-11-11T00:00:00"/>
    <x v="1"/>
    <x v="7"/>
    <x v="8"/>
    <x v="24"/>
    <x v="1"/>
    <s v="87-5540520"/>
    <m/>
    <n v="202011"/>
    <x v="8"/>
    <x v="0"/>
    <x v="8"/>
  </r>
  <r>
    <x v="2"/>
    <n v="227830.33"/>
    <x v="495"/>
    <d v="2020-06-10T00:00:00"/>
    <x v="0"/>
    <x v="41"/>
    <x v="2"/>
    <x v="3"/>
    <x v="1"/>
    <s v="59-3526945"/>
    <m/>
    <n v="202006"/>
    <x v="9"/>
    <x v="0"/>
    <x v="9"/>
  </r>
  <r>
    <x v="5"/>
    <n v="87355.7"/>
    <x v="496"/>
    <d v="2019-02-03T00:00:00"/>
    <x v="6"/>
    <x v="37"/>
    <x v="5"/>
    <x v="20"/>
    <x v="1"/>
    <s v="33-4706706"/>
    <m/>
    <n v="201902"/>
    <x v="0"/>
    <x v="1"/>
    <x v="0"/>
  </r>
  <r>
    <x v="5"/>
    <n v="164267.72"/>
    <x v="497"/>
    <d v="2020-10-08T00:00:00"/>
    <x v="5"/>
    <x v="1"/>
    <x v="5"/>
    <x v="20"/>
    <x v="1"/>
    <s v="51-9052860"/>
    <m/>
    <n v="202010"/>
    <x v="11"/>
    <x v="0"/>
    <x v="11"/>
  </r>
  <r>
    <x v="4"/>
    <n v="92179.76"/>
    <x v="498"/>
    <d v="2020-07-25T00:00:00"/>
    <x v="3"/>
    <x v="46"/>
    <x v="4"/>
    <x v="11"/>
    <x v="2"/>
    <s v="99-9021526"/>
    <m/>
    <n v="202007"/>
    <x v="2"/>
    <x v="0"/>
    <x v="2"/>
  </r>
  <r>
    <x v="0"/>
    <n v="124093.75999999999"/>
    <x v="499"/>
    <d v="2019-10-15T00:00:00"/>
    <x v="8"/>
    <x v="17"/>
    <x v="0"/>
    <x v="9"/>
    <x v="1"/>
    <s v="87-0122224"/>
    <m/>
    <n v="201910"/>
    <x v="11"/>
    <x v="1"/>
    <x v="11"/>
  </r>
  <r>
    <x v="4"/>
    <n v="66391.58"/>
    <x v="500"/>
    <d v="2019-12-04T00:00:00"/>
    <x v="2"/>
    <x v="61"/>
    <x v="4"/>
    <x v="6"/>
    <x v="0"/>
    <s v="88-1711226"/>
    <m/>
    <n v="201912"/>
    <x v="4"/>
    <x v="1"/>
    <x v="4"/>
  </r>
  <r>
    <x v="5"/>
    <n v="197471.1"/>
    <x v="501"/>
    <d v="2019-06-28T00:00:00"/>
    <x v="5"/>
    <x v="4"/>
    <x v="5"/>
    <x v="20"/>
    <x v="1"/>
    <s v="59-5711012"/>
    <m/>
    <n v="201906"/>
    <x v="9"/>
    <x v="1"/>
    <x v="9"/>
  </r>
  <r>
    <x v="4"/>
    <n v="122627.2"/>
    <x v="502"/>
    <d v="2019-05-12T00:00:00"/>
    <x v="2"/>
    <x v="25"/>
    <x v="4"/>
    <x v="6"/>
    <x v="1"/>
    <s v="65-0792739"/>
    <m/>
    <n v="201905"/>
    <x v="6"/>
    <x v="1"/>
    <x v="6"/>
  </r>
  <r>
    <x v="4"/>
    <n v="159052.70000000001"/>
    <x v="503"/>
    <d v="2019-06-01T00:00:00"/>
    <x v="1"/>
    <x v="13"/>
    <x v="4"/>
    <x v="8"/>
    <x v="1"/>
    <s v="75-7245546"/>
    <m/>
    <n v="201906"/>
    <x v="9"/>
    <x v="1"/>
    <x v="9"/>
  </r>
  <r>
    <x v="2"/>
    <n v="85515.6"/>
    <x v="504"/>
    <d v="2019-10-13T00:00:00"/>
    <x v="1"/>
    <x v="2"/>
    <x v="2"/>
    <x v="29"/>
    <x v="1"/>
    <s v="05-0243828"/>
    <m/>
    <n v="201910"/>
    <x v="11"/>
    <x v="1"/>
    <x v="11"/>
  </r>
  <r>
    <x v="2"/>
    <n v="42847.46"/>
    <x v="505"/>
    <d v="2020-10-22T00:00:00"/>
    <x v="4"/>
    <x v="53"/>
    <x v="2"/>
    <x v="3"/>
    <x v="1"/>
    <s v="14-9919657"/>
    <m/>
    <n v="202010"/>
    <x v="11"/>
    <x v="0"/>
    <x v="11"/>
  </r>
  <r>
    <x v="5"/>
    <n v="125499.82"/>
    <x v="506"/>
    <d v="2019-04-08T00:00:00"/>
    <x v="3"/>
    <x v="30"/>
    <x v="5"/>
    <x v="21"/>
    <x v="1"/>
    <s v="47-9191500"/>
    <m/>
    <n v="201904"/>
    <x v="3"/>
    <x v="1"/>
    <x v="3"/>
  </r>
  <r>
    <x v="1"/>
    <n v="222379.49"/>
    <x v="507"/>
    <d v="2019-07-10T00:00:00"/>
    <x v="3"/>
    <x v="24"/>
    <x v="1"/>
    <x v="31"/>
    <x v="0"/>
    <s v="51-3543971"/>
    <m/>
    <n v="201907"/>
    <x v="2"/>
    <x v="1"/>
    <x v="2"/>
  </r>
  <r>
    <x v="2"/>
    <n v="85390.17"/>
    <x v="508"/>
    <d v="2019-01-25T00:00:00"/>
    <x v="8"/>
    <x v="68"/>
    <x v="2"/>
    <x v="29"/>
    <x v="1"/>
    <s v="14-4225824"/>
    <m/>
    <n v="201901"/>
    <x v="7"/>
    <x v="1"/>
    <x v="7"/>
  </r>
  <r>
    <x v="2"/>
    <n v="97514.7"/>
    <x v="509"/>
    <d v="2020-02-12T00:00:00"/>
    <x v="5"/>
    <x v="11"/>
    <x v="2"/>
    <x v="15"/>
    <x v="1"/>
    <s v="88-1349718"/>
    <m/>
    <n v="202002"/>
    <x v="0"/>
    <x v="0"/>
    <x v="0"/>
  </r>
  <r>
    <x v="4"/>
    <n v="87321.89"/>
    <x v="510"/>
    <d v="2019-01-17T00:00:00"/>
    <x v="8"/>
    <x v="11"/>
    <x v="4"/>
    <x v="6"/>
    <x v="0"/>
    <s v="62-5120016"/>
    <m/>
    <n v="201901"/>
    <x v="7"/>
    <x v="1"/>
    <x v="7"/>
  </r>
  <r>
    <x v="0"/>
    <n v="205059.8"/>
    <x v="511"/>
    <d v="2020-06-23T00:00:00"/>
    <x v="8"/>
    <x v="62"/>
    <x v="0"/>
    <x v="19"/>
    <x v="1"/>
    <s v="19-4538571"/>
    <m/>
    <n v="202006"/>
    <x v="9"/>
    <x v="0"/>
    <x v="9"/>
  </r>
  <r>
    <x v="2"/>
    <n v="105833.52"/>
    <x v="512"/>
    <d v="2019-03-20T00:00:00"/>
    <x v="6"/>
    <x v="40"/>
    <x v="2"/>
    <x v="12"/>
    <x v="1"/>
    <s v="01-1212783"/>
    <m/>
    <n v="201903"/>
    <x v="10"/>
    <x v="1"/>
    <x v="10"/>
  </r>
  <r>
    <x v="5"/>
    <n v="40043.11"/>
    <x v="513"/>
    <d v="2020-09-07T00:00:00"/>
    <x v="5"/>
    <x v="56"/>
    <x v="5"/>
    <x v="21"/>
    <x v="1"/>
    <s v="58-8728288"/>
    <m/>
    <n v="202009"/>
    <x v="1"/>
    <x v="0"/>
    <x v="1"/>
  </r>
  <r>
    <x v="2"/>
    <n v="57859.08"/>
    <x v="514"/>
    <d v="2019-12-08T00:00:00"/>
    <x v="0"/>
    <x v="3"/>
    <x v="2"/>
    <x v="3"/>
    <x v="0"/>
    <s v="95-2190016"/>
    <m/>
    <n v="201912"/>
    <x v="4"/>
    <x v="1"/>
    <x v="4"/>
  </r>
  <r>
    <x v="5"/>
    <n v="132235.46"/>
    <x v="515"/>
    <d v="2020-06-01T00:00:00"/>
    <x v="0"/>
    <x v="38"/>
    <x v="5"/>
    <x v="21"/>
    <x v="1"/>
    <s v="95-4388709"/>
    <m/>
    <n v="202006"/>
    <x v="9"/>
    <x v="0"/>
    <x v="9"/>
  </r>
  <r>
    <x v="4"/>
    <n v="33724.53"/>
    <x v="516"/>
    <d v="2020-01-30T00:00:00"/>
    <x v="3"/>
    <x v="69"/>
    <x v="4"/>
    <x v="6"/>
    <x v="0"/>
    <s v="57-8678621"/>
    <m/>
    <n v="202001"/>
    <x v="7"/>
    <x v="0"/>
    <x v="7"/>
  </r>
  <r>
    <x v="11"/>
    <n v="36070.76"/>
    <x v="517"/>
    <d v="2019-05-17T00:00:00"/>
    <x v="9"/>
    <x v="21"/>
    <x v="11"/>
    <x v="26"/>
    <x v="0"/>
    <s v="22-4278602"/>
    <m/>
    <n v="201905"/>
    <x v="6"/>
    <x v="1"/>
    <x v="6"/>
  </r>
  <r>
    <x v="0"/>
    <n v="39457.339999999997"/>
    <x v="518"/>
    <d v="2020-10-20T00:00:00"/>
    <x v="3"/>
    <x v="53"/>
    <x v="0"/>
    <x v="9"/>
    <x v="1"/>
    <s v="98-3280428"/>
    <m/>
    <n v="202010"/>
    <x v="11"/>
    <x v="0"/>
    <x v="11"/>
  </r>
  <r>
    <x v="10"/>
    <n v="38536.92"/>
    <x v="519"/>
    <d v="2020-05-28T00:00:00"/>
    <x v="0"/>
    <x v="30"/>
    <x v="10"/>
    <x v="22"/>
    <x v="0"/>
    <s v="61-4366487"/>
    <m/>
    <n v="202005"/>
    <x v="6"/>
    <x v="0"/>
    <x v="6"/>
  </r>
  <r>
    <x v="5"/>
    <n v="173829.96"/>
    <x v="520"/>
    <d v="2019-09-23T00:00:00"/>
    <x v="3"/>
    <x v="23"/>
    <x v="5"/>
    <x v="10"/>
    <x v="1"/>
    <s v="55-2128150"/>
    <m/>
    <n v="201909"/>
    <x v="1"/>
    <x v="1"/>
    <x v="1"/>
  </r>
  <r>
    <x v="2"/>
    <n v="37521.39"/>
    <x v="521"/>
    <d v="2020-01-18T00:00:00"/>
    <x v="3"/>
    <x v="21"/>
    <x v="2"/>
    <x v="15"/>
    <x v="1"/>
    <s v="60-0610487"/>
    <m/>
    <n v="202001"/>
    <x v="7"/>
    <x v="0"/>
    <x v="7"/>
  </r>
  <r>
    <x v="2"/>
    <n v="119409.43"/>
    <x v="522"/>
    <d v="2019-06-25T00:00:00"/>
    <x v="8"/>
    <x v="30"/>
    <x v="2"/>
    <x v="15"/>
    <x v="1"/>
    <s v="02-9253490"/>
    <m/>
    <n v="201906"/>
    <x v="9"/>
    <x v="1"/>
    <x v="9"/>
  </r>
  <r>
    <x v="13"/>
    <n v="248261.86"/>
    <x v="523"/>
    <d v="2019-12-22T00:00:00"/>
    <x v="6"/>
    <x v="65"/>
    <x v="13"/>
    <x v="30"/>
    <x v="1"/>
    <s v="65-2343846"/>
    <m/>
    <n v="201912"/>
    <x v="4"/>
    <x v="1"/>
    <x v="4"/>
  </r>
  <r>
    <x v="4"/>
    <n v="96669.92"/>
    <x v="524"/>
    <d v="2020-12-27T00:00:00"/>
    <x v="5"/>
    <x v="4"/>
    <x v="4"/>
    <x v="6"/>
    <x v="0"/>
    <s v="20-0499139"/>
    <m/>
    <n v="202012"/>
    <x v="4"/>
    <x v="0"/>
    <x v="4"/>
  </r>
  <r>
    <x v="5"/>
    <n v="264149.90999999997"/>
    <x v="525"/>
    <d v="2020-12-20T00:00:00"/>
    <x v="6"/>
    <x v="26"/>
    <x v="5"/>
    <x v="23"/>
    <x v="1"/>
    <s v="32-3994860"/>
    <m/>
    <n v="202012"/>
    <x v="4"/>
    <x v="0"/>
    <x v="4"/>
  </r>
  <r>
    <x v="2"/>
    <n v="216863.04"/>
    <x v="526"/>
    <d v="2019-07-24T00:00:00"/>
    <x v="3"/>
    <x v="46"/>
    <x v="2"/>
    <x v="12"/>
    <x v="2"/>
    <s v="72-7973717"/>
    <m/>
    <n v="201907"/>
    <x v="2"/>
    <x v="1"/>
    <x v="2"/>
  </r>
  <r>
    <x v="5"/>
    <n v="140943.88"/>
    <x v="527"/>
    <d v="2020-05-28T00:00:00"/>
    <x v="5"/>
    <x v="17"/>
    <x v="5"/>
    <x v="23"/>
    <x v="2"/>
    <s v="77-0650807"/>
    <m/>
    <n v="202005"/>
    <x v="6"/>
    <x v="0"/>
    <x v="6"/>
  </r>
  <r>
    <x v="9"/>
    <n v="82525.61"/>
    <x v="528"/>
    <d v="2019-03-01T00:00:00"/>
    <x v="2"/>
    <x v="4"/>
    <x v="9"/>
    <x v="18"/>
    <x v="1"/>
    <s v="34-5150360"/>
    <m/>
    <n v="201903"/>
    <x v="10"/>
    <x v="1"/>
    <x v="10"/>
  </r>
  <r>
    <x v="2"/>
    <n v="19622.59"/>
    <x v="529"/>
    <d v="2020-03-06T00:00:00"/>
    <x v="2"/>
    <x v="28"/>
    <x v="2"/>
    <x v="3"/>
    <x v="1"/>
    <s v="73-4726386"/>
    <m/>
    <n v="202003"/>
    <x v="10"/>
    <x v="0"/>
    <x v="10"/>
  </r>
  <r>
    <x v="0"/>
    <n v="263713.12"/>
    <x v="530"/>
    <d v="2020-06-30T00:00:00"/>
    <x v="8"/>
    <x v="26"/>
    <x v="0"/>
    <x v="25"/>
    <x v="1"/>
    <s v="78-6165949"/>
    <m/>
    <n v="202006"/>
    <x v="9"/>
    <x v="0"/>
    <x v="9"/>
  </r>
  <r>
    <x v="2"/>
    <n v="284298.56"/>
    <x v="531"/>
    <d v="2020-07-03T00:00:00"/>
    <x v="2"/>
    <x v="58"/>
    <x v="2"/>
    <x v="12"/>
    <x v="1"/>
    <s v="74-0191565"/>
    <m/>
    <n v="202007"/>
    <x v="2"/>
    <x v="0"/>
    <x v="2"/>
  </r>
  <r>
    <x v="0"/>
    <n v="98320.37"/>
    <x v="532"/>
    <d v="2020-08-23T00:00:00"/>
    <x v="1"/>
    <x v="57"/>
    <x v="0"/>
    <x v="25"/>
    <x v="2"/>
    <s v="02-3364199"/>
    <m/>
    <n v="202008"/>
    <x v="5"/>
    <x v="0"/>
    <x v="5"/>
  </r>
  <r>
    <x v="4"/>
    <n v="128112.26"/>
    <x v="533"/>
    <d v="2020-12-09T00:00:00"/>
    <x v="0"/>
    <x v="3"/>
    <x v="4"/>
    <x v="11"/>
    <x v="1"/>
    <s v="39-8642490"/>
    <m/>
    <n v="202012"/>
    <x v="4"/>
    <x v="0"/>
    <x v="4"/>
  </r>
  <r>
    <x v="5"/>
    <n v="110878.97"/>
    <x v="534"/>
    <d v="2020-02-06T00:00:00"/>
    <x v="5"/>
    <x v="57"/>
    <x v="5"/>
    <x v="10"/>
    <x v="1"/>
    <s v="50-8357453"/>
    <m/>
    <n v="202002"/>
    <x v="0"/>
    <x v="0"/>
    <x v="0"/>
  </r>
  <r>
    <x v="0"/>
    <n v="66225.710000000006"/>
    <x v="535"/>
    <d v="2020-09-05T00:00:00"/>
    <x v="0"/>
    <x v="2"/>
    <x v="0"/>
    <x v="13"/>
    <x v="1"/>
    <s v="68-6900528"/>
    <m/>
    <n v="202009"/>
    <x v="1"/>
    <x v="0"/>
    <x v="1"/>
  </r>
  <r>
    <x v="4"/>
    <n v="73727.91"/>
    <x v="536"/>
    <d v="2020-10-11T00:00:00"/>
    <x v="0"/>
    <x v="56"/>
    <x v="4"/>
    <x v="6"/>
    <x v="1"/>
    <s v="92-5154775"/>
    <m/>
    <n v="202010"/>
    <x v="11"/>
    <x v="0"/>
    <x v="11"/>
  </r>
  <r>
    <x v="13"/>
    <n v="22164.959999999999"/>
    <x v="537"/>
    <d v="2019-03-14T00:00:00"/>
    <x v="0"/>
    <x v="67"/>
    <x v="13"/>
    <x v="30"/>
    <x v="1"/>
    <s v="60-7777080"/>
    <m/>
    <n v="201903"/>
    <x v="10"/>
    <x v="1"/>
    <x v="10"/>
  </r>
  <r>
    <x v="5"/>
    <n v="151855.04000000001"/>
    <x v="538"/>
    <d v="2019-01-16T00:00:00"/>
    <x v="8"/>
    <x v="19"/>
    <x v="5"/>
    <x v="10"/>
    <x v="1"/>
    <s v="54-1473475"/>
    <m/>
    <n v="201901"/>
    <x v="7"/>
    <x v="1"/>
    <x v="7"/>
  </r>
  <r>
    <x v="1"/>
    <n v="106115.85"/>
    <x v="539"/>
    <d v="2020-02-15T00:00:00"/>
    <x v="8"/>
    <x v="4"/>
    <x v="1"/>
    <x v="31"/>
    <x v="2"/>
    <s v="51-4531731"/>
    <m/>
    <n v="202002"/>
    <x v="0"/>
    <x v="0"/>
    <x v="0"/>
  </r>
  <r>
    <x v="5"/>
    <n v="89369"/>
    <x v="540"/>
    <d v="2020-01-02T00:00:00"/>
    <x v="6"/>
    <x v="9"/>
    <x v="5"/>
    <x v="21"/>
    <x v="1"/>
    <s v="20-6735303"/>
    <m/>
    <n v="202001"/>
    <x v="7"/>
    <x v="0"/>
    <x v="7"/>
  </r>
  <r>
    <x v="0"/>
    <n v="106076.67"/>
    <x v="541"/>
    <d v="2019-10-10T00:00:00"/>
    <x v="8"/>
    <x v="56"/>
    <x v="0"/>
    <x v="0"/>
    <x v="0"/>
    <s v="97-5858605"/>
    <m/>
    <n v="201910"/>
    <x v="11"/>
    <x v="1"/>
    <x v="11"/>
  </r>
  <r>
    <x v="6"/>
    <n v="23290.84"/>
    <x v="542"/>
    <d v="2019-02-25T00:00:00"/>
    <x v="8"/>
    <x v="57"/>
    <x v="6"/>
    <x v="14"/>
    <x v="1"/>
    <s v="02-2183787"/>
    <m/>
    <n v="201902"/>
    <x v="0"/>
    <x v="1"/>
    <x v="0"/>
  </r>
  <r>
    <x v="5"/>
    <n v="83340.039999999994"/>
    <x v="543"/>
    <d v="2020-05-18T00:00:00"/>
    <x v="2"/>
    <x v="4"/>
    <x v="5"/>
    <x v="10"/>
    <x v="1"/>
    <s v="65-5818172"/>
    <m/>
    <n v="202005"/>
    <x v="6"/>
    <x v="0"/>
    <x v="6"/>
  </r>
  <r>
    <x v="13"/>
    <n v="39287.29"/>
    <x v="544"/>
    <d v="2019-03-15T00:00:00"/>
    <x v="1"/>
    <x v="11"/>
    <x v="13"/>
    <x v="34"/>
    <x v="1"/>
    <s v="03-8586261"/>
    <m/>
    <n v="201903"/>
    <x v="10"/>
    <x v="1"/>
    <x v="10"/>
  </r>
  <r>
    <x v="8"/>
    <n v="124611.61"/>
    <x v="545"/>
    <d v="2020-09-19T00:00:00"/>
    <x v="8"/>
    <x v="25"/>
    <x v="8"/>
    <x v="17"/>
    <x v="1"/>
    <s v="86-0928074"/>
    <m/>
    <n v="202009"/>
    <x v="1"/>
    <x v="0"/>
    <x v="1"/>
  </r>
  <r>
    <x v="5"/>
    <n v="147055.1"/>
    <x v="546"/>
    <d v="2019-04-15T00:00:00"/>
    <x v="1"/>
    <x v="21"/>
    <x v="5"/>
    <x v="20"/>
    <x v="1"/>
    <s v="77-1100434"/>
    <m/>
    <n v="201904"/>
    <x v="3"/>
    <x v="1"/>
    <x v="3"/>
  </r>
  <r>
    <x v="11"/>
    <n v="130242.41"/>
    <x v="547"/>
    <d v="2020-12-30T00:00:00"/>
    <x v="6"/>
    <x v="4"/>
    <x v="11"/>
    <x v="27"/>
    <x v="1"/>
    <s v="70-7426559"/>
    <m/>
    <n v="202012"/>
    <x v="4"/>
    <x v="0"/>
    <x v="4"/>
  </r>
  <r>
    <x v="5"/>
    <n v="34771.79"/>
    <x v="548"/>
    <d v="2020-03-19T00:00:00"/>
    <x v="6"/>
    <x v="12"/>
    <x v="5"/>
    <x v="7"/>
    <x v="1"/>
    <s v="45-5963143"/>
    <m/>
    <n v="202003"/>
    <x v="10"/>
    <x v="0"/>
    <x v="10"/>
  </r>
  <r>
    <x v="2"/>
    <n v="201573.23"/>
    <x v="549"/>
    <d v="2019-12-05T00:00:00"/>
    <x v="1"/>
    <x v="70"/>
    <x v="2"/>
    <x v="12"/>
    <x v="0"/>
    <s v="94-3590580"/>
    <m/>
    <n v="201912"/>
    <x v="4"/>
    <x v="1"/>
    <x v="4"/>
  </r>
  <r>
    <x v="0"/>
    <n v="71119.23"/>
    <x v="550"/>
    <d v="2019-03-09T00:00:00"/>
    <x v="0"/>
    <x v="4"/>
    <x v="0"/>
    <x v="13"/>
    <x v="1"/>
    <s v="52-5981325"/>
    <m/>
    <n v="201903"/>
    <x v="10"/>
    <x v="1"/>
    <x v="10"/>
  </r>
  <r>
    <x v="2"/>
    <n v="115538.34"/>
    <x v="551"/>
    <d v="2020-01-28T00:00:00"/>
    <x v="1"/>
    <x v="2"/>
    <x v="2"/>
    <x v="2"/>
    <x v="1"/>
    <s v="74-7472724"/>
    <m/>
    <n v="202001"/>
    <x v="7"/>
    <x v="0"/>
    <x v="7"/>
  </r>
  <r>
    <x v="2"/>
    <n v="144237.38"/>
    <x v="552"/>
    <d v="2020-11-05T00:00:00"/>
    <x v="0"/>
    <x v="4"/>
    <x v="2"/>
    <x v="15"/>
    <x v="1"/>
    <s v="03-3965480"/>
    <m/>
    <n v="202011"/>
    <x v="8"/>
    <x v="0"/>
    <x v="8"/>
  </r>
  <r>
    <x v="4"/>
    <n v="91561.49"/>
    <x v="553"/>
    <d v="2019-03-25T00:00:00"/>
    <x v="0"/>
    <x v="17"/>
    <x v="4"/>
    <x v="6"/>
    <x v="1"/>
    <s v="64-4188827"/>
    <m/>
    <n v="201903"/>
    <x v="10"/>
    <x v="1"/>
    <x v="10"/>
  </r>
  <r>
    <x v="0"/>
    <n v="233858.47"/>
    <x v="554"/>
    <d v="2020-06-02T00:00:00"/>
    <x v="3"/>
    <x v="14"/>
    <x v="0"/>
    <x v="13"/>
    <x v="1"/>
    <s v="66-5572109"/>
    <m/>
    <n v="202006"/>
    <x v="9"/>
    <x v="0"/>
    <x v="9"/>
  </r>
  <r>
    <x v="4"/>
    <n v="256388.08"/>
    <x v="555"/>
    <d v="2019-12-05T00:00:00"/>
    <x v="5"/>
    <x v="54"/>
    <x v="4"/>
    <x v="11"/>
    <x v="0"/>
    <s v="44-2994974"/>
    <m/>
    <n v="201912"/>
    <x v="4"/>
    <x v="1"/>
    <x v="4"/>
  </r>
  <r>
    <x v="4"/>
    <n v="125099.05"/>
    <x v="556"/>
    <d v="2020-03-05T00:00:00"/>
    <x v="0"/>
    <x v="23"/>
    <x v="4"/>
    <x v="8"/>
    <x v="1"/>
    <s v="30-7981953"/>
    <m/>
    <n v="202003"/>
    <x v="10"/>
    <x v="0"/>
    <x v="10"/>
  </r>
  <r>
    <x v="4"/>
    <n v="121246.32"/>
    <x v="557"/>
    <d v="2020-05-30T00:00:00"/>
    <x v="0"/>
    <x v="34"/>
    <x v="4"/>
    <x v="6"/>
    <x v="1"/>
    <s v="82-9740062"/>
    <m/>
    <n v="202005"/>
    <x v="6"/>
    <x v="0"/>
    <x v="6"/>
  </r>
  <r>
    <x v="1"/>
    <n v="28538.19"/>
    <x v="558"/>
    <d v="2019-05-27T00:00:00"/>
    <x v="1"/>
    <x v="1"/>
    <x v="1"/>
    <x v="1"/>
    <x v="1"/>
    <s v="28-7069317"/>
    <m/>
    <n v="201905"/>
    <x v="6"/>
    <x v="1"/>
    <x v="6"/>
  </r>
  <r>
    <x v="5"/>
    <n v="89930.18"/>
    <x v="559"/>
    <d v="2020-03-26T00:00:00"/>
    <x v="9"/>
    <x v="3"/>
    <x v="5"/>
    <x v="7"/>
    <x v="1"/>
    <s v="65-0441590"/>
    <m/>
    <n v="202003"/>
    <x v="10"/>
    <x v="0"/>
    <x v="10"/>
  </r>
  <r>
    <x v="0"/>
    <n v="170457.8"/>
    <x v="560"/>
    <d v="2020-08-14T00:00:00"/>
    <x v="4"/>
    <x v="43"/>
    <x v="0"/>
    <x v="9"/>
    <x v="1"/>
    <s v="60-1991659"/>
    <m/>
    <n v="202008"/>
    <x v="5"/>
    <x v="0"/>
    <x v="5"/>
  </r>
  <r>
    <x v="4"/>
    <n v="166380.74"/>
    <x v="561"/>
    <d v="2020-06-23T00:00:00"/>
    <x v="6"/>
    <x v="24"/>
    <x v="4"/>
    <x v="8"/>
    <x v="1"/>
    <s v="15-2948501"/>
    <m/>
    <n v="202006"/>
    <x v="9"/>
    <x v="0"/>
    <x v="9"/>
  </r>
  <r>
    <x v="5"/>
    <n v="116328.75"/>
    <x v="562"/>
    <d v="2019-09-27T00:00:00"/>
    <x v="5"/>
    <x v="50"/>
    <x v="5"/>
    <x v="20"/>
    <x v="1"/>
    <s v="02-6830973"/>
    <m/>
    <n v="201909"/>
    <x v="1"/>
    <x v="1"/>
    <x v="1"/>
  </r>
  <r>
    <x v="12"/>
    <n v="230765.62"/>
    <x v="563"/>
    <d v="2019-07-18T00:00:00"/>
    <x v="3"/>
    <x v="4"/>
    <x v="12"/>
    <x v="28"/>
    <x v="1"/>
    <s v="70-0112393"/>
    <m/>
    <n v="201907"/>
    <x v="2"/>
    <x v="1"/>
    <x v="2"/>
  </r>
  <r>
    <x v="2"/>
    <n v="152442.32"/>
    <x v="564"/>
    <d v="2020-10-06T00:00:00"/>
    <x v="8"/>
    <x v="4"/>
    <x v="2"/>
    <x v="3"/>
    <x v="1"/>
    <s v="04-6161825"/>
    <m/>
    <n v="202010"/>
    <x v="11"/>
    <x v="0"/>
    <x v="11"/>
  </r>
  <r>
    <x v="0"/>
    <n v="325331.99"/>
    <x v="565"/>
    <d v="2019-12-23T00:00:00"/>
    <x v="1"/>
    <x v="34"/>
    <x v="0"/>
    <x v="19"/>
    <x v="0"/>
    <s v="57-4142025"/>
    <m/>
    <n v="201912"/>
    <x v="4"/>
    <x v="1"/>
    <x v="4"/>
  </r>
  <r>
    <x v="4"/>
    <n v="56768.43"/>
    <x v="566"/>
    <d v="2019-04-22T00:00:00"/>
    <x v="1"/>
    <x v="49"/>
    <x v="4"/>
    <x v="6"/>
    <x v="1"/>
    <s v="84-9254695"/>
    <m/>
    <n v="201904"/>
    <x v="3"/>
    <x v="1"/>
    <x v="3"/>
  </r>
  <r>
    <x v="2"/>
    <n v="147895.45000000001"/>
    <x v="567"/>
    <d v="2019-07-01T00:00:00"/>
    <x v="2"/>
    <x v="10"/>
    <x v="2"/>
    <x v="15"/>
    <x v="0"/>
    <s v="17-1884075"/>
    <m/>
    <n v="201907"/>
    <x v="2"/>
    <x v="1"/>
    <x v="2"/>
  </r>
  <r>
    <x v="11"/>
    <n v="57107.26"/>
    <x v="568"/>
    <d v="2020-02-13T00:00:00"/>
    <x v="7"/>
    <x v="34"/>
    <x v="11"/>
    <x v="26"/>
    <x v="0"/>
    <s v="49-6263811"/>
    <m/>
    <n v="202002"/>
    <x v="0"/>
    <x v="0"/>
    <x v="0"/>
  </r>
  <r>
    <x v="5"/>
    <n v="85337.78"/>
    <x v="569"/>
    <d v="2020-02-04T00:00:00"/>
    <x v="5"/>
    <x v="44"/>
    <x v="5"/>
    <x v="20"/>
    <x v="0"/>
    <s v="78-6287811"/>
    <m/>
    <n v="202002"/>
    <x v="0"/>
    <x v="0"/>
    <x v="0"/>
  </r>
  <r>
    <x v="5"/>
    <n v="162199.24"/>
    <x v="570"/>
    <d v="2020-06-22T00:00:00"/>
    <x v="5"/>
    <x v="42"/>
    <x v="5"/>
    <x v="23"/>
    <x v="1"/>
    <s v="75-1807214"/>
    <m/>
    <n v="202006"/>
    <x v="9"/>
    <x v="0"/>
    <x v="9"/>
  </r>
  <r>
    <x v="0"/>
    <n v="128208.95"/>
    <x v="571"/>
    <d v="2020-07-31T00:00:00"/>
    <x v="5"/>
    <x v="23"/>
    <x v="0"/>
    <x v="13"/>
    <x v="1"/>
    <s v="72-1300449"/>
    <m/>
    <n v="202007"/>
    <x v="2"/>
    <x v="0"/>
    <x v="2"/>
  </r>
  <r>
    <x v="12"/>
    <n v="86669.23"/>
    <x v="572"/>
    <d v="2020-03-18T00:00:00"/>
    <x v="5"/>
    <x v="3"/>
    <x v="12"/>
    <x v="28"/>
    <x v="1"/>
    <s v="22-4332301"/>
    <m/>
    <n v="202003"/>
    <x v="10"/>
    <x v="0"/>
    <x v="10"/>
  </r>
  <r>
    <x v="11"/>
    <n v="117288.29"/>
    <x v="573"/>
    <d v="2019-07-04T00:00:00"/>
    <x v="2"/>
    <x v="4"/>
    <x v="11"/>
    <x v="27"/>
    <x v="1"/>
    <s v="42-2477150"/>
    <m/>
    <n v="201907"/>
    <x v="2"/>
    <x v="1"/>
    <x v="2"/>
  </r>
  <r>
    <x v="5"/>
    <n v="57292.84"/>
    <x v="574"/>
    <d v="2019-10-03T00:00:00"/>
    <x v="8"/>
    <x v="38"/>
    <x v="5"/>
    <x v="21"/>
    <x v="1"/>
    <s v="18-5234470"/>
    <m/>
    <n v="201910"/>
    <x v="11"/>
    <x v="1"/>
    <x v="11"/>
  </r>
  <r>
    <x v="2"/>
    <n v="110441.89"/>
    <x v="575"/>
    <d v="2020-01-04T00:00:00"/>
    <x v="3"/>
    <x v="71"/>
    <x v="2"/>
    <x v="15"/>
    <x v="2"/>
    <s v="74-4541594"/>
    <m/>
    <n v="202001"/>
    <x v="7"/>
    <x v="0"/>
    <x v="7"/>
  </r>
  <r>
    <x v="4"/>
    <n v="53801.73"/>
    <x v="576"/>
    <d v="2019-09-28T00:00:00"/>
    <x v="1"/>
    <x v="4"/>
    <x v="4"/>
    <x v="11"/>
    <x v="1"/>
    <s v="16-6855831"/>
    <m/>
    <n v="201909"/>
    <x v="1"/>
    <x v="1"/>
    <x v="1"/>
  </r>
  <r>
    <x v="4"/>
    <n v="308763.51"/>
    <x v="577"/>
    <d v="2020-12-04T00:00:00"/>
    <x v="7"/>
    <x v="49"/>
    <x v="4"/>
    <x v="6"/>
    <x v="1"/>
    <s v="46-5327740"/>
    <m/>
    <n v="202012"/>
    <x v="4"/>
    <x v="0"/>
    <x v="4"/>
  </r>
  <r>
    <x v="2"/>
    <n v="87409.49"/>
    <x v="578"/>
    <d v="2020-11-29T00:00:00"/>
    <x v="1"/>
    <x v="3"/>
    <x v="2"/>
    <x v="29"/>
    <x v="1"/>
    <s v="06-4416964"/>
    <m/>
    <n v="202011"/>
    <x v="8"/>
    <x v="0"/>
    <x v="8"/>
  </r>
  <r>
    <x v="13"/>
    <n v="31936.44"/>
    <x v="579"/>
    <d v="2020-09-17T00:00:00"/>
    <x v="0"/>
    <x v="64"/>
    <x v="13"/>
    <x v="34"/>
    <x v="1"/>
    <s v="46-6076582"/>
    <m/>
    <n v="202009"/>
    <x v="1"/>
    <x v="0"/>
    <x v="1"/>
  </r>
  <r>
    <x v="0"/>
    <n v="45463.65"/>
    <x v="580"/>
    <d v="2020-08-29T00:00:00"/>
    <x v="2"/>
    <x v="70"/>
    <x v="0"/>
    <x v="13"/>
    <x v="1"/>
    <s v="38-1449694"/>
    <m/>
    <n v="202008"/>
    <x v="5"/>
    <x v="0"/>
    <x v="5"/>
  </r>
  <r>
    <x v="0"/>
    <n v="112909.4"/>
    <x v="581"/>
    <d v="2019-04-25T00:00:00"/>
    <x v="2"/>
    <x v="4"/>
    <x v="0"/>
    <x v="0"/>
    <x v="1"/>
    <s v="39-3557596"/>
    <m/>
    <n v="201904"/>
    <x v="3"/>
    <x v="1"/>
    <x v="3"/>
  </r>
  <r>
    <x v="2"/>
    <n v="126346.44"/>
    <x v="582"/>
    <d v="2019-04-08T00:00:00"/>
    <x v="6"/>
    <x v="4"/>
    <x v="2"/>
    <x v="12"/>
    <x v="1"/>
    <s v="26-9990483"/>
    <m/>
    <n v="201904"/>
    <x v="3"/>
    <x v="1"/>
    <x v="3"/>
  </r>
  <r>
    <x v="2"/>
    <n v="109713.84"/>
    <x v="583"/>
    <d v="2020-05-07T00:00:00"/>
    <x v="6"/>
    <x v="39"/>
    <x v="2"/>
    <x v="3"/>
    <x v="1"/>
    <s v="31-7075495"/>
    <m/>
    <n v="202005"/>
    <x v="6"/>
    <x v="0"/>
    <x v="6"/>
  </r>
  <r>
    <x v="6"/>
    <n v="200472.46"/>
    <x v="584"/>
    <d v="2020-06-19T00:00:00"/>
    <x v="8"/>
    <x v="25"/>
    <x v="6"/>
    <x v="14"/>
    <x v="1"/>
    <s v="98-5774102"/>
    <m/>
    <n v="202006"/>
    <x v="9"/>
    <x v="0"/>
    <x v="9"/>
  </r>
  <r>
    <x v="5"/>
    <n v="35214.85"/>
    <x v="585"/>
    <d v="2019-03-13T00:00:00"/>
    <x v="8"/>
    <x v="52"/>
    <x v="5"/>
    <x v="21"/>
    <x v="1"/>
    <s v="46-5580805"/>
    <m/>
    <n v="201903"/>
    <x v="10"/>
    <x v="1"/>
    <x v="10"/>
  </r>
  <r>
    <x v="11"/>
    <n v="161630.62"/>
    <x v="586"/>
    <d v="2019-04-04T00:00:00"/>
    <x v="5"/>
    <x v="21"/>
    <x v="11"/>
    <x v="27"/>
    <x v="1"/>
    <s v="39-6568658"/>
    <m/>
    <n v="201904"/>
    <x v="3"/>
    <x v="1"/>
    <x v="3"/>
  </r>
  <r>
    <x v="2"/>
    <n v="179184.12"/>
    <x v="587"/>
    <d v="2020-05-08T00:00:00"/>
    <x v="5"/>
    <x v="27"/>
    <x v="2"/>
    <x v="29"/>
    <x v="1"/>
    <s v="85-1464621"/>
    <m/>
    <n v="202005"/>
    <x v="6"/>
    <x v="0"/>
    <x v="6"/>
  </r>
  <r>
    <x v="0"/>
    <n v="80867.179999999993"/>
    <x v="588"/>
    <d v="2019-02-12T00:00:00"/>
    <x v="0"/>
    <x v="23"/>
    <x v="0"/>
    <x v="9"/>
    <x v="1"/>
    <s v="86-6763776"/>
    <m/>
    <n v="201902"/>
    <x v="0"/>
    <x v="1"/>
    <x v="0"/>
  </r>
  <r>
    <x v="5"/>
    <n v="96613.06"/>
    <x v="589"/>
    <d v="2019-04-24T00:00:00"/>
    <x v="0"/>
    <x v="4"/>
    <x v="5"/>
    <x v="21"/>
    <x v="1"/>
    <s v="03-7559332"/>
    <m/>
    <n v="201904"/>
    <x v="3"/>
    <x v="1"/>
    <x v="3"/>
  </r>
  <r>
    <x v="2"/>
    <n v="89600.45"/>
    <x v="590"/>
    <d v="2020-01-21T00:00:00"/>
    <x v="1"/>
    <x v="10"/>
    <x v="2"/>
    <x v="2"/>
    <x v="1"/>
    <s v="36-7939842"/>
    <m/>
    <n v="202001"/>
    <x v="7"/>
    <x v="0"/>
    <x v="7"/>
  </r>
  <r>
    <x v="2"/>
    <n v="41921.61"/>
    <x v="591"/>
    <d v="2020-11-28T00:00:00"/>
    <x v="1"/>
    <x v="8"/>
    <x v="2"/>
    <x v="15"/>
    <x v="2"/>
    <s v="38-7603760"/>
    <m/>
    <n v="202011"/>
    <x v="8"/>
    <x v="0"/>
    <x v="8"/>
  </r>
  <r>
    <x v="4"/>
    <n v="151012.12"/>
    <x v="592"/>
    <d v="2020-08-25T00:00:00"/>
    <x v="4"/>
    <x v="4"/>
    <x v="4"/>
    <x v="11"/>
    <x v="1"/>
    <s v="11-5630090"/>
    <m/>
    <n v="202008"/>
    <x v="5"/>
    <x v="0"/>
    <x v="5"/>
  </r>
  <r>
    <x v="2"/>
    <n v="112481.44"/>
    <x v="593"/>
    <d v="2020-04-11T00:00:00"/>
    <x v="8"/>
    <x v="46"/>
    <x v="2"/>
    <x v="15"/>
    <x v="0"/>
    <s v="97-6414953"/>
    <m/>
    <n v="202004"/>
    <x v="3"/>
    <x v="0"/>
    <x v="3"/>
  </r>
  <r>
    <x v="5"/>
    <n v="90228.68"/>
    <x v="594"/>
    <d v="2019-01-27T00:00:00"/>
    <x v="8"/>
    <x v="25"/>
    <x v="5"/>
    <x v="23"/>
    <x v="1"/>
    <s v="64-9816105"/>
    <m/>
    <n v="201901"/>
    <x v="7"/>
    <x v="1"/>
    <x v="7"/>
  </r>
  <r>
    <x v="4"/>
    <n v="141552.4"/>
    <x v="595"/>
    <d v="2019-09-17T00:00:00"/>
    <x v="3"/>
    <x v="46"/>
    <x v="4"/>
    <x v="6"/>
    <x v="1"/>
    <s v="59-0893568"/>
    <m/>
    <n v="201909"/>
    <x v="1"/>
    <x v="1"/>
    <x v="1"/>
  </r>
  <r>
    <x v="4"/>
    <n v="29783.39"/>
    <x v="596"/>
    <d v="2019-11-27T00:00:00"/>
    <x v="0"/>
    <x v="26"/>
    <x v="4"/>
    <x v="6"/>
    <x v="1"/>
    <s v="18-0945763"/>
    <m/>
    <n v="201911"/>
    <x v="8"/>
    <x v="1"/>
    <x v="8"/>
  </r>
  <r>
    <x v="0"/>
    <n v="149938.71"/>
    <x v="597"/>
    <d v="2020-12-24T00:00:00"/>
    <x v="0"/>
    <x v="32"/>
    <x v="0"/>
    <x v="0"/>
    <x v="1"/>
    <s v="26-1771681"/>
    <m/>
    <n v="202012"/>
    <x v="4"/>
    <x v="0"/>
    <x v="4"/>
  </r>
  <r>
    <x v="0"/>
    <n v="103839.74"/>
    <x v="598"/>
    <d v="2020-08-23T00:00:00"/>
    <x v="0"/>
    <x v="6"/>
    <x v="0"/>
    <x v="25"/>
    <x v="1"/>
    <s v="57-6427586"/>
    <m/>
    <n v="202008"/>
    <x v="5"/>
    <x v="0"/>
    <x v="5"/>
  </r>
  <r>
    <x v="2"/>
    <n v="30550.32"/>
    <x v="599"/>
    <d v="2019-05-31T00:00:00"/>
    <x v="3"/>
    <x v="5"/>
    <x v="2"/>
    <x v="2"/>
    <x v="0"/>
    <s v="73-3910940"/>
    <m/>
    <n v="201905"/>
    <x v="6"/>
    <x v="1"/>
    <x v="6"/>
  </r>
  <r>
    <x v="0"/>
    <n v="24787.65"/>
    <x v="600"/>
    <d v="2019-02-12T00:00:00"/>
    <x v="9"/>
    <x v="52"/>
    <x v="0"/>
    <x v="19"/>
    <x v="1"/>
    <s v="34-8728117"/>
    <m/>
    <n v="201902"/>
    <x v="0"/>
    <x v="1"/>
    <x v="0"/>
  </r>
  <r>
    <x v="5"/>
    <n v="122468.33"/>
    <x v="601"/>
    <d v="2020-09-08T00:00:00"/>
    <x v="8"/>
    <x v="4"/>
    <x v="5"/>
    <x v="23"/>
    <x v="0"/>
    <s v="53-7680732"/>
    <m/>
    <n v="202009"/>
    <x v="1"/>
    <x v="0"/>
    <x v="1"/>
  </r>
  <r>
    <x v="0"/>
    <n v="137026.71"/>
    <x v="602"/>
    <d v="2020-08-26T00:00:00"/>
    <x v="6"/>
    <x v="29"/>
    <x v="0"/>
    <x v="9"/>
    <x v="1"/>
    <s v="86-6380587"/>
    <m/>
    <n v="202008"/>
    <x v="5"/>
    <x v="0"/>
    <x v="5"/>
  </r>
  <r>
    <x v="1"/>
    <n v="132246.48000000001"/>
    <x v="603"/>
    <d v="2019-01-02T00:00:00"/>
    <x v="1"/>
    <x v="21"/>
    <x v="1"/>
    <x v="31"/>
    <x v="1"/>
    <s v="95-1862126"/>
    <m/>
    <n v="201901"/>
    <x v="7"/>
    <x v="1"/>
    <x v="7"/>
  </r>
  <r>
    <x v="2"/>
    <n v="111551.96"/>
    <x v="604"/>
    <d v="2020-01-06T00:00:00"/>
    <x v="2"/>
    <x v="31"/>
    <x v="2"/>
    <x v="3"/>
    <x v="1"/>
    <s v="41-6241712"/>
    <m/>
    <n v="202001"/>
    <x v="7"/>
    <x v="0"/>
    <x v="7"/>
  </r>
  <r>
    <x v="5"/>
    <n v="127946.33"/>
    <x v="605"/>
    <d v="2019-09-09T00:00:00"/>
    <x v="3"/>
    <x v="27"/>
    <x v="5"/>
    <x v="20"/>
    <x v="1"/>
    <s v="32-3418936"/>
    <m/>
    <n v="201909"/>
    <x v="1"/>
    <x v="1"/>
    <x v="1"/>
  </r>
  <r>
    <x v="0"/>
    <n v="78679.600000000006"/>
    <x v="606"/>
    <d v="2019-10-12T00:00:00"/>
    <x v="1"/>
    <x v="58"/>
    <x v="0"/>
    <x v="25"/>
    <x v="1"/>
    <s v="10-1511807"/>
    <m/>
    <n v="201910"/>
    <x v="11"/>
    <x v="1"/>
    <x v="11"/>
  </r>
  <r>
    <x v="4"/>
    <n v="86071.63"/>
    <x v="607"/>
    <d v="2019-11-13T00:00:00"/>
    <x v="8"/>
    <x v="8"/>
    <x v="4"/>
    <x v="8"/>
    <x v="2"/>
    <s v="66-6360568"/>
    <m/>
    <n v="201911"/>
    <x v="8"/>
    <x v="1"/>
    <x v="8"/>
  </r>
  <r>
    <x v="2"/>
    <n v="134120.38"/>
    <x v="608"/>
    <d v="2020-04-30T00:00:00"/>
    <x v="1"/>
    <x v="29"/>
    <x v="2"/>
    <x v="29"/>
    <x v="1"/>
    <s v="63-4386955"/>
    <m/>
    <n v="202004"/>
    <x v="3"/>
    <x v="0"/>
    <x v="3"/>
  </r>
  <r>
    <x v="3"/>
    <n v="77855.47"/>
    <x v="609"/>
    <d v="2019-08-13T00:00:00"/>
    <x v="7"/>
    <x v="0"/>
    <x v="3"/>
    <x v="4"/>
    <x v="1"/>
    <s v="77-3226391"/>
    <m/>
    <n v="201908"/>
    <x v="5"/>
    <x v="1"/>
    <x v="5"/>
  </r>
  <r>
    <x v="4"/>
    <n v="176080.36"/>
    <x v="610"/>
    <d v="2019-11-13T00:00:00"/>
    <x v="3"/>
    <x v="11"/>
    <x v="4"/>
    <x v="11"/>
    <x v="1"/>
    <s v="74-9554997"/>
    <m/>
    <n v="201911"/>
    <x v="8"/>
    <x v="1"/>
    <x v="8"/>
  </r>
  <r>
    <x v="2"/>
    <n v="159514.03"/>
    <x v="611"/>
    <d v="2020-09-23T00:00:00"/>
    <x v="2"/>
    <x v="3"/>
    <x v="2"/>
    <x v="3"/>
    <x v="1"/>
    <s v="37-0756560"/>
    <m/>
    <n v="202009"/>
    <x v="1"/>
    <x v="0"/>
    <x v="1"/>
  </r>
  <r>
    <x v="5"/>
    <n v="238850.25"/>
    <x v="612"/>
    <d v="2019-06-30T00:00:00"/>
    <x v="5"/>
    <x v="12"/>
    <x v="5"/>
    <x v="21"/>
    <x v="1"/>
    <s v="19-9649739"/>
    <m/>
    <n v="201906"/>
    <x v="9"/>
    <x v="1"/>
    <x v="9"/>
  </r>
  <r>
    <x v="0"/>
    <n v="240940.97"/>
    <x v="613"/>
    <d v="2019-12-27T00:00:00"/>
    <x v="4"/>
    <x v="31"/>
    <x v="0"/>
    <x v="25"/>
    <x v="1"/>
    <s v="91-4735064"/>
    <m/>
    <n v="201912"/>
    <x v="4"/>
    <x v="1"/>
    <x v="4"/>
  </r>
  <r>
    <x v="13"/>
    <n v="109892.92"/>
    <x v="614"/>
    <d v="2020-05-06T00:00:00"/>
    <x v="0"/>
    <x v="44"/>
    <x v="13"/>
    <x v="34"/>
    <x v="1"/>
    <s v="82-1337530"/>
    <m/>
    <n v="202005"/>
    <x v="6"/>
    <x v="0"/>
    <x v="6"/>
  </r>
  <r>
    <x v="12"/>
    <n v="86704.08"/>
    <x v="615"/>
    <d v="2020-10-05T00:00:00"/>
    <x v="0"/>
    <x v="11"/>
    <x v="12"/>
    <x v="28"/>
    <x v="1"/>
    <s v="39-3209780"/>
    <m/>
    <n v="202010"/>
    <x v="11"/>
    <x v="0"/>
    <x v="11"/>
  </r>
  <r>
    <x v="11"/>
    <n v="292124.64"/>
    <x v="616"/>
    <d v="2019-12-09T00:00:00"/>
    <x v="3"/>
    <x v="33"/>
    <x v="11"/>
    <x v="27"/>
    <x v="1"/>
    <s v="18-0483044"/>
    <m/>
    <n v="201912"/>
    <x v="4"/>
    <x v="1"/>
    <x v="4"/>
  </r>
  <r>
    <x v="8"/>
    <n v="122998.65"/>
    <x v="617"/>
    <d v="2020-01-28T00:00:00"/>
    <x v="1"/>
    <x v="17"/>
    <x v="8"/>
    <x v="24"/>
    <x v="1"/>
    <s v="70-0044622"/>
    <m/>
    <n v="202001"/>
    <x v="7"/>
    <x v="0"/>
    <x v="7"/>
  </r>
  <r>
    <x v="0"/>
    <n v="50646.66"/>
    <x v="618"/>
    <d v="2020-04-01T00:00:00"/>
    <x v="2"/>
    <x v="4"/>
    <x v="0"/>
    <x v="0"/>
    <x v="1"/>
    <s v="43-1236055"/>
    <m/>
    <n v="202004"/>
    <x v="3"/>
    <x v="0"/>
    <x v="3"/>
  </r>
  <r>
    <x v="0"/>
    <n v="89639.28"/>
    <x v="619"/>
    <d v="2019-01-25T00:00:00"/>
    <x v="2"/>
    <x v="34"/>
    <x v="0"/>
    <x v="0"/>
    <x v="1"/>
    <s v="25-6133000"/>
    <m/>
    <n v="201901"/>
    <x v="7"/>
    <x v="1"/>
    <x v="7"/>
  </r>
  <r>
    <x v="3"/>
    <n v="107359.01"/>
    <x v="620"/>
    <d v="2019-10-29T00:00:00"/>
    <x v="8"/>
    <x v="20"/>
    <x v="3"/>
    <x v="5"/>
    <x v="1"/>
    <s v="78-7666796"/>
    <m/>
    <n v="201910"/>
    <x v="11"/>
    <x v="1"/>
    <x v="11"/>
  </r>
  <r>
    <x v="9"/>
    <n v="148359.67999999999"/>
    <x v="621"/>
    <d v="2020-07-23T00:00:00"/>
    <x v="1"/>
    <x v="46"/>
    <x v="9"/>
    <x v="18"/>
    <x v="1"/>
    <s v="45-1867999"/>
    <m/>
    <n v="202007"/>
    <x v="2"/>
    <x v="0"/>
    <x v="2"/>
  </r>
  <r>
    <x v="1"/>
    <n v="177464.83"/>
    <x v="622"/>
    <d v="2020-01-25T00:00:00"/>
    <x v="7"/>
    <x v="8"/>
    <x v="1"/>
    <x v="31"/>
    <x v="1"/>
    <s v="97-5797169"/>
    <m/>
    <n v="202001"/>
    <x v="7"/>
    <x v="0"/>
    <x v="7"/>
  </r>
  <r>
    <x v="2"/>
    <n v="168757.23"/>
    <x v="623"/>
    <d v="2020-08-24T00:00:00"/>
    <x v="5"/>
    <x v="24"/>
    <x v="2"/>
    <x v="3"/>
    <x v="1"/>
    <s v="31-6585710"/>
    <m/>
    <n v="202008"/>
    <x v="5"/>
    <x v="0"/>
    <x v="5"/>
  </r>
  <r>
    <x v="5"/>
    <n v="19814.86"/>
    <x v="624"/>
    <d v="2020-03-20T00:00:00"/>
    <x v="5"/>
    <x v="18"/>
    <x v="5"/>
    <x v="23"/>
    <x v="1"/>
    <s v="84-0460695"/>
    <m/>
    <n v="202003"/>
    <x v="10"/>
    <x v="0"/>
    <x v="10"/>
  </r>
  <r>
    <x v="7"/>
    <n v="46311.34"/>
    <x v="625"/>
    <d v="2020-03-01T00:00:00"/>
    <x v="4"/>
    <x v="71"/>
    <x v="7"/>
    <x v="16"/>
    <x v="1"/>
    <s v="20-4568650"/>
    <m/>
    <n v="202003"/>
    <x v="10"/>
    <x v="0"/>
    <x v="10"/>
  </r>
  <r>
    <x v="5"/>
    <n v="144927.17000000001"/>
    <x v="626"/>
    <d v="2020-09-07T00:00:00"/>
    <x v="5"/>
    <x v="14"/>
    <x v="5"/>
    <x v="20"/>
    <x v="1"/>
    <s v="29-9208067"/>
    <m/>
    <n v="202009"/>
    <x v="1"/>
    <x v="0"/>
    <x v="1"/>
  </r>
  <r>
    <x v="6"/>
    <n v="203231.73"/>
    <x v="627"/>
    <d v="2019-12-23T00:00:00"/>
    <x v="0"/>
    <x v="70"/>
    <x v="6"/>
    <x v="14"/>
    <x v="1"/>
    <s v="21-2357660"/>
    <m/>
    <n v="201912"/>
    <x v="4"/>
    <x v="1"/>
    <x v="4"/>
  </r>
  <r>
    <x v="2"/>
    <n v="40467.85"/>
    <x v="628"/>
    <d v="2020-02-28T00:00:00"/>
    <x v="6"/>
    <x v="9"/>
    <x v="2"/>
    <x v="12"/>
    <x v="2"/>
    <s v="16-3842379"/>
    <m/>
    <n v="202002"/>
    <x v="0"/>
    <x v="0"/>
    <x v="0"/>
  </r>
  <r>
    <x v="0"/>
    <n v="85156.7"/>
    <x v="629"/>
    <d v="2020-05-19T00:00:00"/>
    <x v="3"/>
    <x v="44"/>
    <x v="0"/>
    <x v="19"/>
    <x v="1"/>
    <s v="58-5376153"/>
    <m/>
    <n v="202005"/>
    <x v="6"/>
    <x v="0"/>
    <x v="6"/>
  </r>
  <r>
    <x v="2"/>
    <n v="66146.570000000007"/>
    <x v="630"/>
    <d v="2020-04-07T00:00:00"/>
    <x v="8"/>
    <x v="3"/>
    <x v="2"/>
    <x v="29"/>
    <x v="1"/>
    <s v="04-1808253"/>
    <m/>
    <n v="202004"/>
    <x v="3"/>
    <x v="0"/>
    <x v="3"/>
  </r>
  <r>
    <x v="8"/>
    <n v="230669.37"/>
    <x v="631"/>
    <d v="2019-06-05T00:00:00"/>
    <x v="0"/>
    <x v="34"/>
    <x v="8"/>
    <x v="24"/>
    <x v="1"/>
    <s v="44-9036885"/>
    <m/>
    <n v="201906"/>
    <x v="9"/>
    <x v="1"/>
    <x v="9"/>
  </r>
  <r>
    <x v="4"/>
    <n v="59043.39"/>
    <x v="632"/>
    <d v="2020-10-27T00:00:00"/>
    <x v="6"/>
    <x v="18"/>
    <x v="4"/>
    <x v="8"/>
    <x v="1"/>
    <s v="35-0548738"/>
    <m/>
    <n v="202010"/>
    <x v="11"/>
    <x v="0"/>
    <x v="11"/>
  </r>
  <r>
    <x v="11"/>
    <n v="99887.86"/>
    <x v="633"/>
    <d v="2020-03-10T00:00:00"/>
    <x v="8"/>
    <x v="21"/>
    <x v="11"/>
    <x v="26"/>
    <x v="1"/>
    <s v="64-0103144"/>
    <m/>
    <n v="202003"/>
    <x v="10"/>
    <x v="0"/>
    <x v="10"/>
  </r>
  <r>
    <x v="6"/>
    <n v="214983.15"/>
    <x v="634"/>
    <d v="2019-06-11T00:00:00"/>
    <x v="3"/>
    <x v="47"/>
    <x v="6"/>
    <x v="14"/>
    <x v="2"/>
    <s v="48-7080069"/>
    <m/>
    <n v="201906"/>
    <x v="9"/>
    <x v="1"/>
    <x v="9"/>
  </r>
  <r>
    <x v="2"/>
    <n v="52209.31"/>
    <x v="635"/>
    <d v="2019-03-26T00:00:00"/>
    <x v="3"/>
    <x v="47"/>
    <x v="2"/>
    <x v="12"/>
    <x v="1"/>
    <s v="05-2772504"/>
    <m/>
    <n v="201903"/>
    <x v="10"/>
    <x v="1"/>
    <x v="10"/>
  </r>
  <r>
    <x v="0"/>
    <n v="83782.11"/>
    <x v="636"/>
    <d v="2019-02-10T00:00:00"/>
    <x v="8"/>
    <x v="33"/>
    <x v="0"/>
    <x v="0"/>
    <x v="1"/>
    <s v="42-2439801"/>
    <m/>
    <n v="201902"/>
    <x v="0"/>
    <x v="1"/>
    <x v="0"/>
  </r>
  <r>
    <x v="2"/>
    <n v="166367.16"/>
    <x v="637"/>
    <d v="2020-11-02T00:00:00"/>
    <x v="3"/>
    <x v="10"/>
    <x v="2"/>
    <x v="2"/>
    <x v="1"/>
    <s v="82-8353642"/>
    <m/>
    <n v="202011"/>
    <x v="8"/>
    <x v="0"/>
    <x v="8"/>
  </r>
  <r>
    <x v="4"/>
    <n v="167615.14000000001"/>
    <x v="638"/>
    <d v="2020-12-30T00:00:00"/>
    <x v="6"/>
    <x v="4"/>
    <x v="4"/>
    <x v="6"/>
    <x v="1"/>
    <s v="16-5450021"/>
    <m/>
    <n v="202012"/>
    <x v="4"/>
    <x v="0"/>
    <x v="4"/>
  </r>
  <r>
    <x v="0"/>
    <n v="118030.7"/>
    <x v="639"/>
    <d v="2019-09-04T00:00:00"/>
    <x v="8"/>
    <x v="46"/>
    <x v="0"/>
    <x v="0"/>
    <x v="1"/>
    <s v="80-1021367"/>
    <m/>
    <n v="201909"/>
    <x v="1"/>
    <x v="1"/>
    <x v="1"/>
  </r>
  <r>
    <x v="6"/>
    <n v="102073.04"/>
    <x v="640"/>
    <d v="2020-03-02T00:00:00"/>
    <x v="7"/>
    <x v="5"/>
    <x v="6"/>
    <x v="14"/>
    <x v="0"/>
    <s v="03-3076058"/>
    <m/>
    <n v="202003"/>
    <x v="10"/>
    <x v="0"/>
    <x v="10"/>
  </r>
  <r>
    <x v="1"/>
    <n v="99989.89"/>
    <x v="641"/>
    <d v="2019-11-15T00:00:00"/>
    <x v="5"/>
    <x v="51"/>
    <x v="1"/>
    <x v="1"/>
    <x v="1"/>
    <s v="92-4440351"/>
    <m/>
    <n v="201911"/>
    <x v="8"/>
    <x v="1"/>
    <x v="8"/>
  </r>
  <r>
    <x v="0"/>
    <n v="79407.28"/>
    <x v="642"/>
    <d v="2020-07-21T00:00:00"/>
    <x v="4"/>
    <x v="16"/>
    <x v="0"/>
    <x v="13"/>
    <x v="1"/>
    <s v="15-3268783"/>
    <m/>
    <n v="202007"/>
    <x v="2"/>
    <x v="0"/>
    <x v="2"/>
  </r>
  <r>
    <x v="5"/>
    <n v="184431.48"/>
    <x v="643"/>
    <d v="2019-12-07T00:00:00"/>
    <x v="0"/>
    <x v="4"/>
    <x v="5"/>
    <x v="21"/>
    <x v="0"/>
    <s v="44-7664180"/>
    <m/>
    <n v="201912"/>
    <x v="4"/>
    <x v="1"/>
    <x v="4"/>
  </r>
  <r>
    <x v="2"/>
    <n v="144725.34"/>
    <x v="644"/>
    <d v="2019-01-15T00:00:00"/>
    <x v="6"/>
    <x v="10"/>
    <x v="2"/>
    <x v="3"/>
    <x v="1"/>
    <s v="92-7042708"/>
    <m/>
    <n v="201901"/>
    <x v="7"/>
    <x v="1"/>
    <x v="7"/>
  </r>
  <r>
    <x v="4"/>
    <n v="21921.66"/>
    <x v="645"/>
    <d v="2020-03-05T00:00:00"/>
    <x v="6"/>
    <x v="9"/>
    <x v="4"/>
    <x v="11"/>
    <x v="2"/>
    <s v="21-8595718"/>
    <m/>
    <n v="202003"/>
    <x v="10"/>
    <x v="0"/>
    <x v="10"/>
  </r>
  <r>
    <x v="2"/>
    <n v="21341.66"/>
    <x v="646"/>
    <d v="2019-03-28T00:00:00"/>
    <x v="1"/>
    <x v="56"/>
    <x v="2"/>
    <x v="2"/>
    <x v="1"/>
    <s v="06-4611284"/>
    <m/>
    <n v="201903"/>
    <x v="10"/>
    <x v="1"/>
    <x v="10"/>
  </r>
  <r>
    <x v="0"/>
    <n v="84537.2"/>
    <x v="647"/>
    <d v="2020-01-19T00:00:00"/>
    <x v="1"/>
    <x v="22"/>
    <x v="0"/>
    <x v="25"/>
    <x v="0"/>
    <s v="04-4730440"/>
    <m/>
    <n v="202001"/>
    <x v="7"/>
    <x v="0"/>
    <x v="7"/>
  </r>
  <r>
    <x v="5"/>
    <n v="40544.43"/>
    <x v="648"/>
    <d v="2020-08-01T00:00:00"/>
    <x v="0"/>
    <x v="4"/>
    <x v="5"/>
    <x v="21"/>
    <x v="1"/>
    <s v="89-7467187"/>
    <m/>
    <n v="202008"/>
    <x v="5"/>
    <x v="0"/>
    <x v="5"/>
  </r>
  <r>
    <x v="1"/>
    <n v="178189.57"/>
    <x v="649"/>
    <d v="2019-08-09T00:00:00"/>
    <x v="1"/>
    <x v="4"/>
    <x v="1"/>
    <x v="31"/>
    <x v="1"/>
    <s v="37-7100862"/>
    <m/>
    <n v="201908"/>
    <x v="5"/>
    <x v="1"/>
    <x v="5"/>
  </r>
  <r>
    <x v="5"/>
    <n v="36276.11"/>
    <x v="650"/>
    <d v="2019-03-23T00:00:00"/>
    <x v="1"/>
    <x v="4"/>
    <x v="5"/>
    <x v="21"/>
    <x v="1"/>
    <s v="20-9472915"/>
    <m/>
    <n v="201903"/>
    <x v="10"/>
    <x v="1"/>
    <x v="10"/>
  </r>
  <r>
    <x v="0"/>
    <n v="36181.81"/>
    <x v="651"/>
    <d v="2020-10-27T00:00:00"/>
    <x v="5"/>
    <x v="34"/>
    <x v="0"/>
    <x v="0"/>
    <x v="2"/>
    <s v="82-8836162"/>
    <m/>
    <n v="202010"/>
    <x v="11"/>
    <x v="0"/>
    <x v="11"/>
  </r>
  <r>
    <x v="4"/>
    <n v="66613.31"/>
    <x v="652"/>
    <d v="2019-09-25T00:00:00"/>
    <x v="8"/>
    <x v="24"/>
    <x v="4"/>
    <x v="8"/>
    <x v="1"/>
    <s v="38-8230515"/>
    <m/>
    <n v="201909"/>
    <x v="1"/>
    <x v="1"/>
    <x v="1"/>
  </r>
  <r>
    <x v="11"/>
    <n v="77278.679999999993"/>
    <x v="653"/>
    <d v="2020-10-02T00:00:00"/>
    <x v="6"/>
    <x v="23"/>
    <x v="11"/>
    <x v="27"/>
    <x v="1"/>
    <s v="46-8792953"/>
    <m/>
    <n v="202010"/>
    <x v="11"/>
    <x v="0"/>
    <x v="11"/>
  </r>
  <r>
    <x v="4"/>
    <n v="149938.35999999999"/>
    <x v="654"/>
    <d v="2020-11-14T00:00:00"/>
    <x v="5"/>
    <x v="4"/>
    <x v="4"/>
    <x v="11"/>
    <x v="1"/>
    <s v="93-0380487"/>
    <m/>
    <n v="202011"/>
    <x v="8"/>
    <x v="0"/>
    <x v="8"/>
  </r>
  <r>
    <x v="3"/>
    <n v="123953.65"/>
    <x v="655"/>
    <d v="2019-05-08T00:00:00"/>
    <x v="3"/>
    <x v="25"/>
    <x v="3"/>
    <x v="5"/>
    <x v="1"/>
    <s v="44-2650716"/>
    <m/>
    <n v="201905"/>
    <x v="6"/>
    <x v="1"/>
    <x v="6"/>
  </r>
  <r>
    <x v="0"/>
    <n v="73773.600000000006"/>
    <x v="656"/>
    <d v="2020-01-21T00:00:00"/>
    <x v="0"/>
    <x v="54"/>
    <x v="0"/>
    <x v="19"/>
    <x v="0"/>
    <s v="78-7812852"/>
    <m/>
    <n v="202001"/>
    <x v="7"/>
    <x v="0"/>
    <x v="7"/>
  </r>
  <r>
    <x v="2"/>
    <n v="206869.73"/>
    <x v="657"/>
    <d v="2020-07-20T00:00:00"/>
    <x v="8"/>
    <x v="30"/>
    <x v="2"/>
    <x v="12"/>
    <x v="1"/>
    <s v="11-2653878"/>
    <m/>
    <n v="202007"/>
    <x v="2"/>
    <x v="0"/>
    <x v="2"/>
  </r>
  <r>
    <x v="5"/>
    <n v="63690.720000000001"/>
    <x v="658"/>
    <d v="2020-08-27T00:00:00"/>
    <x v="8"/>
    <x v="35"/>
    <x v="5"/>
    <x v="20"/>
    <x v="0"/>
    <s v="74-9856135"/>
    <m/>
    <n v="202008"/>
    <x v="5"/>
    <x v="0"/>
    <x v="5"/>
  </r>
  <r>
    <x v="4"/>
    <n v="18897.97"/>
    <x v="659"/>
    <d v="2020-02-16T00:00:00"/>
    <x v="9"/>
    <x v="3"/>
    <x v="4"/>
    <x v="6"/>
    <x v="0"/>
    <s v="22-8551804"/>
    <m/>
    <n v="202002"/>
    <x v="0"/>
    <x v="0"/>
    <x v="0"/>
  </r>
  <r>
    <x v="2"/>
    <n v="134807.18"/>
    <x v="660"/>
    <d v="2020-12-29T00:00:00"/>
    <x v="3"/>
    <x v="38"/>
    <x v="2"/>
    <x v="12"/>
    <x v="1"/>
    <s v="76-2368068"/>
    <m/>
    <n v="202012"/>
    <x v="4"/>
    <x v="0"/>
    <x v="4"/>
  </r>
  <r>
    <x v="4"/>
    <n v="47082.67"/>
    <x v="661"/>
    <d v="2020-06-30T00:00:00"/>
    <x v="1"/>
    <x v="50"/>
    <x v="4"/>
    <x v="6"/>
    <x v="1"/>
    <s v="83-0606533"/>
    <m/>
    <n v="202006"/>
    <x v="9"/>
    <x v="0"/>
    <x v="9"/>
  </r>
  <r>
    <x v="2"/>
    <n v="41016.31"/>
    <x v="662"/>
    <d v="2019-05-09T00:00:00"/>
    <x v="3"/>
    <x v="60"/>
    <x v="2"/>
    <x v="12"/>
    <x v="2"/>
    <s v="84-1745028"/>
    <m/>
    <n v="201905"/>
    <x v="6"/>
    <x v="1"/>
    <x v="6"/>
  </r>
  <r>
    <x v="0"/>
    <n v="43243.45"/>
    <x v="663"/>
    <d v="2019-05-16T00:00:00"/>
    <x v="2"/>
    <x v="4"/>
    <x v="0"/>
    <x v="13"/>
    <x v="1"/>
    <s v="63-2957047"/>
    <m/>
    <n v="201905"/>
    <x v="6"/>
    <x v="1"/>
    <x v="6"/>
  </r>
  <r>
    <x v="0"/>
    <n v="88832.28"/>
    <x v="664"/>
    <d v="2019-12-23T00:00:00"/>
    <x v="8"/>
    <x v="18"/>
    <x v="0"/>
    <x v="25"/>
    <x v="1"/>
    <s v="90-3993986"/>
    <m/>
    <n v="201912"/>
    <x v="4"/>
    <x v="1"/>
    <x v="4"/>
  </r>
  <r>
    <x v="5"/>
    <n v="173456.4"/>
    <x v="665"/>
    <d v="2019-09-25T00:00:00"/>
    <x v="0"/>
    <x v="4"/>
    <x v="5"/>
    <x v="23"/>
    <x v="0"/>
    <s v="00-1398218"/>
    <m/>
    <n v="201909"/>
    <x v="1"/>
    <x v="1"/>
    <x v="1"/>
  </r>
  <r>
    <x v="3"/>
    <n v="90926.92"/>
    <x v="666"/>
    <d v="2020-03-24T00:00:00"/>
    <x v="6"/>
    <x v="36"/>
    <x v="3"/>
    <x v="5"/>
    <x v="1"/>
    <s v="09-9618844"/>
    <m/>
    <n v="202003"/>
    <x v="10"/>
    <x v="0"/>
    <x v="10"/>
  </r>
  <r>
    <x v="0"/>
    <n v="72757.009999999995"/>
    <x v="667"/>
    <d v="2020-03-05T00:00:00"/>
    <x v="9"/>
    <x v="3"/>
    <x v="0"/>
    <x v="13"/>
    <x v="1"/>
    <s v="96-5143420"/>
    <m/>
    <n v="202003"/>
    <x v="10"/>
    <x v="0"/>
    <x v="10"/>
  </r>
  <r>
    <x v="5"/>
    <n v="60068.71"/>
    <x v="668"/>
    <d v="2020-05-09T00:00:00"/>
    <x v="9"/>
    <x v="21"/>
    <x v="5"/>
    <x v="20"/>
    <x v="1"/>
    <s v="99-0862667"/>
    <m/>
    <n v="202005"/>
    <x v="6"/>
    <x v="0"/>
    <x v="6"/>
  </r>
  <r>
    <x v="5"/>
    <n v="105522.72"/>
    <x v="669"/>
    <d v="2019-02-16T00:00:00"/>
    <x v="2"/>
    <x v="8"/>
    <x v="5"/>
    <x v="10"/>
    <x v="1"/>
    <s v="79-6118087"/>
    <m/>
    <n v="201902"/>
    <x v="0"/>
    <x v="1"/>
    <x v="0"/>
  </r>
  <r>
    <x v="9"/>
    <n v="61374.06"/>
    <x v="670"/>
    <d v="2020-02-20T00:00:00"/>
    <x v="1"/>
    <x v="18"/>
    <x v="9"/>
    <x v="18"/>
    <x v="1"/>
    <s v="07-5296371"/>
    <m/>
    <n v="202002"/>
    <x v="0"/>
    <x v="0"/>
    <x v="0"/>
  </r>
  <r>
    <x v="2"/>
    <n v="76856.570000000007"/>
    <x v="671"/>
    <d v="2019-05-31T00:00:00"/>
    <x v="2"/>
    <x v="50"/>
    <x v="2"/>
    <x v="15"/>
    <x v="1"/>
    <s v="93-9111830"/>
    <m/>
    <n v="201905"/>
    <x v="6"/>
    <x v="1"/>
    <x v="6"/>
  </r>
  <r>
    <x v="3"/>
    <n v="174262.11"/>
    <x v="672"/>
    <d v="2019-04-05T00:00:00"/>
    <x v="1"/>
    <x v="3"/>
    <x v="3"/>
    <x v="5"/>
    <x v="1"/>
    <s v="47-0713476"/>
    <m/>
    <n v="201904"/>
    <x v="3"/>
    <x v="1"/>
    <x v="3"/>
  </r>
  <r>
    <x v="0"/>
    <n v="151315.26"/>
    <x v="673"/>
    <d v="2019-05-23T00:00:00"/>
    <x v="3"/>
    <x v="25"/>
    <x v="0"/>
    <x v="19"/>
    <x v="1"/>
    <s v="92-2645259"/>
    <m/>
    <n v="201905"/>
    <x v="6"/>
    <x v="1"/>
    <x v="6"/>
  </r>
  <r>
    <x v="11"/>
    <n v="50495.53"/>
    <x v="674"/>
    <d v="2020-08-31T00:00:00"/>
    <x v="6"/>
    <x v="71"/>
    <x v="11"/>
    <x v="27"/>
    <x v="0"/>
    <s v="93-4118211"/>
    <m/>
    <n v="202008"/>
    <x v="5"/>
    <x v="0"/>
    <x v="5"/>
  </r>
  <r>
    <x v="4"/>
    <n v="36534.089999999997"/>
    <x v="675"/>
    <d v="2020-07-17T00:00:00"/>
    <x v="5"/>
    <x v="31"/>
    <x v="4"/>
    <x v="6"/>
    <x v="1"/>
    <s v="90-7039701"/>
    <m/>
    <n v="202007"/>
    <x v="2"/>
    <x v="0"/>
    <x v="2"/>
  </r>
  <r>
    <x v="5"/>
    <n v="134243.39000000001"/>
    <x v="676"/>
    <d v="2019-01-21T00:00:00"/>
    <x v="3"/>
    <x v="49"/>
    <x v="5"/>
    <x v="7"/>
    <x v="1"/>
    <s v="64-1003834"/>
    <m/>
    <n v="201901"/>
    <x v="7"/>
    <x v="1"/>
    <x v="7"/>
  </r>
  <r>
    <x v="5"/>
    <n v="56068.7"/>
    <x v="677"/>
    <d v="2019-02-06T00:00:00"/>
    <x v="1"/>
    <x v="46"/>
    <x v="5"/>
    <x v="21"/>
    <x v="1"/>
    <s v="24-2679038"/>
    <m/>
    <n v="201902"/>
    <x v="0"/>
    <x v="1"/>
    <x v="0"/>
  </r>
  <r>
    <x v="5"/>
    <n v="31161.759999999998"/>
    <x v="678"/>
    <d v="2020-05-09T00:00:00"/>
    <x v="3"/>
    <x v="7"/>
    <x v="5"/>
    <x v="7"/>
    <x v="0"/>
    <s v="06-4986886"/>
    <m/>
    <n v="202005"/>
    <x v="6"/>
    <x v="0"/>
    <x v="6"/>
  </r>
  <r>
    <x v="5"/>
    <n v="98915.41"/>
    <x v="679"/>
    <d v="2020-04-02T00:00:00"/>
    <x v="8"/>
    <x v="6"/>
    <x v="5"/>
    <x v="21"/>
    <x v="0"/>
    <s v="63-5897834"/>
    <m/>
    <n v="202004"/>
    <x v="3"/>
    <x v="0"/>
    <x v="3"/>
  </r>
  <r>
    <x v="11"/>
    <n v="114232.68"/>
    <x v="680"/>
    <d v="2019-03-23T00:00:00"/>
    <x v="2"/>
    <x v="4"/>
    <x v="11"/>
    <x v="26"/>
    <x v="2"/>
    <s v="45-6860897"/>
    <m/>
    <n v="201903"/>
    <x v="10"/>
    <x v="1"/>
    <x v="10"/>
  </r>
  <r>
    <x v="9"/>
    <n v="71360.36"/>
    <x v="681"/>
    <d v="2019-01-02T00:00:00"/>
    <x v="8"/>
    <x v="11"/>
    <x v="9"/>
    <x v="18"/>
    <x v="1"/>
    <s v="40-9830607"/>
    <m/>
    <n v="201901"/>
    <x v="7"/>
    <x v="1"/>
    <x v="7"/>
  </r>
  <r>
    <x v="2"/>
    <n v="87459.79"/>
    <x v="682"/>
    <d v="2020-11-16T00:00:00"/>
    <x v="3"/>
    <x v="56"/>
    <x v="2"/>
    <x v="29"/>
    <x v="0"/>
    <s v="09-8360520"/>
    <m/>
    <n v="202011"/>
    <x v="8"/>
    <x v="0"/>
    <x v="8"/>
  </r>
  <r>
    <x v="1"/>
    <n v="52388.85"/>
    <x v="683"/>
    <d v="2020-07-31T00:00:00"/>
    <x v="8"/>
    <x v="4"/>
    <x v="1"/>
    <x v="31"/>
    <x v="1"/>
    <s v="55-6785409"/>
    <m/>
    <n v="202007"/>
    <x v="2"/>
    <x v="0"/>
    <x v="2"/>
  </r>
  <r>
    <x v="0"/>
    <n v="178304.35"/>
    <x v="684"/>
    <d v="2020-12-09T00:00:00"/>
    <x v="8"/>
    <x v="23"/>
    <x v="0"/>
    <x v="25"/>
    <x v="1"/>
    <s v="12-4881666"/>
    <m/>
    <n v="202012"/>
    <x v="4"/>
    <x v="0"/>
    <x v="4"/>
  </r>
  <r>
    <x v="4"/>
    <n v="80013.81"/>
    <x v="685"/>
    <d v="2020-01-27T00:00:00"/>
    <x v="8"/>
    <x v="14"/>
    <x v="4"/>
    <x v="6"/>
    <x v="1"/>
    <s v="86-7866497"/>
    <m/>
    <n v="202001"/>
    <x v="7"/>
    <x v="0"/>
    <x v="7"/>
  </r>
  <r>
    <x v="11"/>
    <n v="88684.7"/>
    <x v="686"/>
    <d v="2020-01-23T00:00:00"/>
    <x v="9"/>
    <x v="36"/>
    <x v="11"/>
    <x v="27"/>
    <x v="1"/>
    <s v="12-2375671"/>
    <m/>
    <n v="202001"/>
    <x v="7"/>
    <x v="0"/>
    <x v="7"/>
  </r>
  <r>
    <x v="4"/>
    <n v="161773.31"/>
    <x v="687"/>
    <d v="2019-04-30T00:00:00"/>
    <x v="0"/>
    <x v="4"/>
    <x v="4"/>
    <x v="11"/>
    <x v="1"/>
    <s v="56-6310976"/>
    <m/>
    <n v="201904"/>
    <x v="3"/>
    <x v="1"/>
    <x v="3"/>
  </r>
  <r>
    <x v="5"/>
    <n v="108968.67"/>
    <x v="688"/>
    <d v="2019-10-17T00:00:00"/>
    <x v="0"/>
    <x v="4"/>
    <x v="5"/>
    <x v="21"/>
    <x v="1"/>
    <s v="08-4398900"/>
    <m/>
    <n v="201910"/>
    <x v="11"/>
    <x v="1"/>
    <x v="11"/>
  </r>
  <r>
    <x v="4"/>
    <n v="50374.22"/>
    <x v="689"/>
    <d v="2019-10-07T00:00:00"/>
    <x v="1"/>
    <x v="17"/>
    <x v="4"/>
    <x v="8"/>
    <x v="1"/>
    <s v="23-3084772"/>
    <m/>
    <n v="201910"/>
    <x v="11"/>
    <x v="1"/>
    <x v="11"/>
  </r>
  <r>
    <x v="0"/>
    <n v="174380.2"/>
    <x v="690"/>
    <d v="2019-01-02T00:00:00"/>
    <x v="5"/>
    <x v="2"/>
    <x v="0"/>
    <x v="25"/>
    <x v="1"/>
    <s v="33-8484080"/>
    <m/>
    <n v="201901"/>
    <x v="7"/>
    <x v="1"/>
    <x v="7"/>
  </r>
  <r>
    <x v="8"/>
    <n v="81482.69"/>
    <x v="691"/>
    <d v="2019-02-09T00:00:00"/>
    <x v="8"/>
    <x v="4"/>
    <x v="8"/>
    <x v="17"/>
    <x v="1"/>
    <s v="28-0362135"/>
    <m/>
    <n v="201902"/>
    <x v="0"/>
    <x v="1"/>
    <x v="0"/>
  </r>
  <r>
    <x v="5"/>
    <n v="108158.8"/>
    <x v="692"/>
    <d v="2020-10-09T00:00:00"/>
    <x v="5"/>
    <x v="34"/>
    <x v="5"/>
    <x v="20"/>
    <x v="1"/>
    <s v="53-4511393"/>
    <m/>
    <n v="202010"/>
    <x v="11"/>
    <x v="0"/>
    <x v="11"/>
  </r>
  <r>
    <x v="2"/>
    <n v="76943.740000000005"/>
    <x v="693"/>
    <d v="2019-06-01T00:00:00"/>
    <x v="8"/>
    <x v="4"/>
    <x v="2"/>
    <x v="2"/>
    <x v="1"/>
    <s v="50-0521963"/>
    <m/>
    <n v="201906"/>
    <x v="9"/>
    <x v="1"/>
    <x v="9"/>
  </r>
  <r>
    <x v="2"/>
    <n v="57345.79"/>
    <x v="694"/>
    <d v="2020-11-09T00:00:00"/>
    <x v="2"/>
    <x v="32"/>
    <x v="2"/>
    <x v="15"/>
    <x v="1"/>
    <s v="75-6127722"/>
    <m/>
    <n v="202011"/>
    <x v="8"/>
    <x v="0"/>
    <x v="8"/>
  </r>
  <r>
    <x v="0"/>
    <n v="71049.09"/>
    <x v="695"/>
    <d v="2019-08-15T00:00:00"/>
    <x v="7"/>
    <x v="51"/>
    <x v="0"/>
    <x v="0"/>
    <x v="1"/>
    <s v="99-3994854"/>
    <m/>
    <n v="201908"/>
    <x v="5"/>
    <x v="1"/>
    <x v="5"/>
  </r>
  <r>
    <x v="5"/>
    <n v="79205.19"/>
    <x v="696"/>
    <d v="2019-05-07T00:00:00"/>
    <x v="1"/>
    <x v="33"/>
    <x v="5"/>
    <x v="23"/>
    <x v="2"/>
    <s v="45-5157875"/>
    <m/>
    <n v="201905"/>
    <x v="6"/>
    <x v="1"/>
    <x v="6"/>
  </r>
  <r>
    <x v="5"/>
    <n v="42290.45"/>
    <x v="697"/>
    <d v="2019-11-10T00:00:00"/>
    <x v="2"/>
    <x v="32"/>
    <x v="5"/>
    <x v="23"/>
    <x v="2"/>
    <s v="97-8921759"/>
    <m/>
    <n v="201911"/>
    <x v="8"/>
    <x v="1"/>
    <x v="8"/>
  </r>
  <r>
    <x v="5"/>
    <n v="110090.36"/>
    <x v="698"/>
    <d v="2019-02-01T00:00:00"/>
    <x v="2"/>
    <x v="36"/>
    <x v="5"/>
    <x v="7"/>
    <x v="1"/>
    <s v="43-6672888"/>
    <m/>
    <n v="201902"/>
    <x v="0"/>
    <x v="1"/>
    <x v="0"/>
  </r>
  <r>
    <x v="5"/>
    <n v="121043.69"/>
    <x v="699"/>
    <d v="2020-09-28T00:00:00"/>
    <x v="0"/>
    <x v="3"/>
    <x v="5"/>
    <x v="20"/>
    <x v="1"/>
    <s v="28-6152726"/>
    <m/>
    <n v="202009"/>
    <x v="1"/>
    <x v="0"/>
    <x v="1"/>
  </r>
  <r>
    <x v="1"/>
    <n v="130251.55"/>
    <x v="700"/>
    <d v="2019-08-05T00:00:00"/>
    <x v="3"/>
    <x v="4"/>
    <x v="1"/>
    <x v="31"/>
    <x v="1"/>
    <s v="26-1201622"/>
    <m/>
    <n v="201908"/>
    <x v="5"/>
    <x v="1"/>
    <x v="5"/>
  </r>
  <r>
    <x v="5"/>
    <n v="156110.39999999999"/>
    <x v="701"/>
    <d v="2019-07-22T00:00:00"/>
    <x v="3"/>
    <x v="58"/>
    <x v="5"/>
    <x v="7"/>
    <x v="1"/>
    <s v="18-3315246"/>
    <m/>
    <n v="201907"/>
    <x v="2"/>
    <x v="1"/>
    <x v="2"/>
  </r>
  <r>
    <x v="0"/>
    <n v="122273"/>
    <x v="702"/>
    <d v="2020-01-07T00:00:00"/>
    <x v="5"/>
    <x v="56"/>
    <x v="0"/>
    <x v="19"/>
    <x v="1"/>
    <s v="40-9114557"/>
    <m/>
    <n v="202001"/>
    <x v="7"/>
    <x v="0"/>
    <x v="7"/>
  </r>
  <r>
    <x v="2"/>
    <n v="126021.1"/>
    <x v="703"/>
    <d v="2020-06-13T00:00:00"/>
    <x v="3"/>
    <x v="4"/>
    <x v="2"/>
    <x v="15"/>
    <x v="0"/>
    <s v="34-8443139"/>
    <m/>
    <n v="202006"/>
    <x v="9"/>
    <x v="0"/>
    <x v="9"/>
  </r>
  <r>
    <x v="0"/>
    <n v="69565.47"/>
    <x v="704"/>
    <d v="2020-05-23T00:00:00"/>
    <x v="3"/>
    <x v="4"/>
    <x v="0"/>
    <x v="9"/>
    <x v="1"/>
    <s v="79-0393736"/>
    <m/>
    <n v="202005"/>
    <x v="6"/>
    <x v="0"/>
    <x v="6"/>
  </r>
  <r>
    <x v="8"/>
    <n v="174271.91"/>
    <x v="705"/>
    <d v="2019-05-20T00:00:00"/>
    <x v="2"/>
    <x v="3"/>
    <x v="8"/>
    <x v="17"/>
    <x v="1"/>
    <s v="58-2923511"/>
    <m/>
    <n v="201905"/>
    <x v="6"/>
    <x v="1"/>
    <x v="6"/>
  </r>
  <r>
    <x v="2"/>
    <n v="61994.02"/>
    <x v="706"/>
    <d v="2019-02-19T00:00:00"/>
    <x v="0"/>
    <x v="21"/>
    <x v="2"/>
    <x v="12"/>
    <x v="1"/>
    <s v="84-1343954"/>
    <m/>
    <n v="201902"/>
    <x v="0"/>
    <x v="1"/>
    <x v="0"/>
  </r>
  <r>
    <x v="0"/>
    <n v="207379.28"/>
    <x v="707"/>
    <d v="2019-12-18T00:00:00"/>
    <x v="4"/>
    <x v="15"/>
    <x v="0"/>
    <x v="9"/>
    <x v="1"/>
    <s v="43-9259516"/>
    <m/>
    <n v="201912"/>
    <x v="4"/>
    <x v="1"/>
    <x v="4"/>
  </r>
  <r>
    <x v="0"/>
    <n v="153823.74"/>
    <x v="708"/>
    <d v="2020-11-30T00:00:00"/>
    <x v="8"/>
    <x v="42"/>
    <x v="0"/>
    <x v="9"/>
    <x v="0"/>
    <s v="53-0009701"/>
    <m/>
    <n v="202011"/>
    <x v="8"/>
    <x v="0"/>
    <x v="8"/>
  </r>
  <r>
    <x v="2"/>
    <n v="251003.51"/>
    <x v="709"/>
    <d v="2019-07-30T00:00:00"/>
    <x v="2"/>
    <x v="1"/>
    <x v="2"/>
    <x v="15"/>
    <x v="1"/>
    <s v="50-2002828"/>
    <m/>
    <n v="201907"/>
    <x v="2"/>
    <x v="1"/>
    <x v="2"/>
  </r>
  <r>
    <x v="4"/>
    <n v="78013.63"/>
    <x v="710"/>
    <d v="2020-04-04T00:00:00"/>
    <x v="2"/>
    <x v="22"/>
    <x v="4"/>
    <x v="8"/>
    <x v="1"/>
    <s v="90-6933957"/>
    <m/>
    <n v="202004"/>
    <x v="3"/>
    <x v="0"/>
    <x v="3"/>
  </r>
  <r>
    <x v="1"/>
    <n v="204138.34"/>
    <x v="711"/>
    <d v="2019-06-20T00:00:00"/>
    <x v="2"/>
    <x v="64"/>
    <x v="1"/>
    <x v="1"/>
    <x v="2"/>
    <s v="98-4201877"/>
    <m/>
    <n v="201906"/>
    <x v="9"/>
    <x v="1"/>
    <x v="9"/>
  </r>
  <r>
    <x v="11"/>
    <n v="81358.58"/>
    <x v="712"/>
    <d v="2020-08-21T00:00:00"/>
    <x v="0"/>
    <x v="11"/>
    <x v="11"/>
    <x v="27"/>
    <x v="0"/>
    <s v="86-2962836"/>
    <m/>
    <n v="202008"/>
    <x v="5"/>
    <x v="0"/>
    <x v="5"/>
  </r>
  <r>
    <x v="2"/>
    <n v="81458.94"/>
    <x v="713"/>
    <d v="2019-11-14T00:00:00"/>
    <x v="0"/>
    <x v="4"/>
    <x v="2"/>
    <x v="3"/>
    <x v="1"/>
    <s v="76-5324325"/>
    <m/>
    <n v="201911"/>
    <x v="8"/>
    <x v="1"/>
    <x v="8"/>
  </r>
  <r>
    <x v="0"/>
    <n v="79313.86"/>
    <x v="714"/>
    <d v="2020-03-01T00:00:00"/>
    <x v="5"/>
    <x v="46"/>
    <x v="0"/>
    <x v="0"/>
    <x v="1"/>
    <s v="36-3226083"/>
    <m/>
    <n v="202003"/>
    <x v="10"/>
    <x v="0"/>
    <x v="10"/>
  </r>
  <r>
    <x v="1"/>
    <n v="100978.49"/>
    <x v="715"/>
    <d v="2019-08-09T00:00:00"/>
    <x v="5"/>
    <x v="4"/>
    <x v="1"/>
    <x v="1"/>
    <x v="1"/>
    <s v="00-8086430"/>
    <m/>
    <n v="201908"/>
    <x v="5"/>
    <x v="1"/>
    <x v="5"/>
  </r>
  <r>
    <x v="2"/>
    <n v="172444.09"/>
    <x v="716"/>
    <d v="2019-01-05T00:00:00"/>
    <x v="6"/>
    <x v="2"/>
    <x v="2"/>
    <x v="15"/>
    <x v="1"/>
    <s v="98-0946281"/>
    <m/>
    <n v="201901"/>
    <x v="7"/>
    <x v="1"/>
    <x v="7"/>
  </r>
  <r>
    <x v="4"/>
    <n v="111523.01"/>
    <x v="717"/>
    <d v="2020-03-02T00:00:00"/>
    <x v="7"/>
    <x v="49"/>
    <x v="4"/>
    <x v="6"/>
    <x v="1"/>
    <s v="82-4770311"/>
    <m/>
    <n v="202003"/>
    <x v="10"/>
    <x v="0"/>
    <x v="10"/>
  </r>
  <r>
    <x v="4"/>
    <n v="62947.82"/>
    <x v="718"/>
    <d v="2019-10-16T00:00:00"/>
    <x v="4"/>
    <x v="50"/>
    <x v="4"/>
    <x v="8"/>
    <x v="1"/>
    <s v="34-0265266"/>
    <m/>
    <n v="201910"/>
    <x v="11"/>
    <x v="1"/>
    <x v="11"/>
  </r>
  <r>
    <x v="5"/>
    <n v="80294.559999999998"/>
    <x v="719"/>
    <d v="2019-10-04T00:00:00"/>
    <x v="0"/>
    <x v="19"/>
    <x v="5"/>
    <x v="23"/>
    <x v="1"/>
    <s v="47-9858688"/>
    <m/>
    <n v="201910"/>
    <x v="11"/>
    <x v="1"/>
    <x v="11"/>
  </r>
  <r>
    <x v="5"/>
    <n v="234961.46"/>
    <x v="720"/>
    <d v="2019-06-02T00:00:00"/>
    <x v="4"/>
    <x v="71"/>
    <x v="5"/>
    <x v="7"/>
    <x v="0"/>
    <s v="24-9178520"/>
    <m/>
    <n v="201906"/>
    <x v="9"/>
    <x v="1"/>
    <x v="9"/>
  </r>
  <r>
    <x v="5"/>
    <n v="214615.79"/>
    <x v="721"/>
    <d v="2019-06-30T00:00:00"/>
    <x v="1"/>
    <x v="39"/>
    <x v="5"/>
    <x v="10"/>
    <x v="1"/>
    <s v="17-5553034"/>
    <m/>
    <n v="201906"/>
    <x v="9"/>
    <x v="1"/>
    <x v="9"/>
  </r>
  <r>
    <x v="5"/>
    <n v="173418.59"/>
    <x v="722"/>
    <d v="2019-05-19T00:00:00"/>
    <x v="8"/>
    <x v="3"/>
    <x v="5"/>
    <x v="7"/>
    <x v="1"/>
    <s v="03-5073152"/>
    <m/>
    <n v="201905"/>
    <x v="6"/>
    <x v="1"/>
    <x v="6"/>
  </r>
  <r>
    <x v="5"/>
    <n v="27400.69"/>
    <x v="723"/>
    <d v="2019-09-18T00:00:00"/>
    <x v="8"/>
    <x v="61"/>
    <x v="5"/>
    <x v="7"/>
    <x v="1"/>
    <s v="19-8109416"/>
    <m/>
    <n v="201909"/>
    <x v="1"/>
    <x v="1"/>
    <x v="1"/>
  </r>
  <r>
    <x v="2"/>
    <n v="179323.22"/>
    <x v="724"/>
    <d v="2020-08-08T00:00:00"/>
    <x v="6"/>
    <x v="60"/>
    <x v="2"/>
    <x v="29"/>
    <x v="2"/>
    <s v="16-5710075"/>
    <m/>
    <n v="202008"/>
    <x v="5"/>
    <x v="0"/>
    <x v="5"/>
  </r>
  <r>
    <x v="2"/>
    <n v="135211.42000000001"/>
    <x v="725"/>
    <d v="2019-08-12T00:00:00"/>
    <x v="2"/>
    <x v="2"/>
    <x v="2"/>
    <x v="12"/>
    <x v="1"/>
    <s v="78-5541691"/>
    <m/>
    <n v="201908"/>
    <x v="5"/>
    <x v="1"/>
    <x v="5"/>
  </r>
  <r>
    <x v="5"/>
    <n v="186209.44"/>
    <x v="726"/>
    <d v="2019-06-24T00:00:00"/>
    <x v="2"/>
    <x v="21"/>
    <x v="5"/>
    <x v="23"/>
    <x v="0"/>
    <s v="69-8016438"/>
    <m/>
    <n v="201906"/>
    <x v="9"/>
    <x v="1"/>
    <x v="9"/>
  </r>
  <r>
    <x v="11"/>
    <n v="127591.73"/>
    <x v="727"/>
    <d v="2020-04-30T00:00:00"/>
    <x v="1"/>
    <x v="9"/>
    <x v="11"/>
    <x v="27"/>
    <x v="0"/>
    <s v="43-7205800"/>
    <m/>
    <n v="202004"/>
    <x v="3"/>
    <x v="0"/>
    <x v="3"/>
  </r>
  <r>
    <x v="0"/>
    <n v="53093.47"/>
    <x v="728"/>
    <d v="2020-10-25T00:00:00"/>
    <x v="2"/>
    <x v="56"/>
    <x v="0"/>
    <x v="9"/>
    <x v="1"/>
    <s v="84-2496865"/>
    <m/>
    <n v="202010"/>
    <x v="11"/>
    <x v="0"/>
    <x v="11"/>
  </r>
  <r>
    <x v="6"/>
    <n v="28787.17"/>
    <x v="729"/>
    <d v="2019-08-06T00:00:00"/>
    <x v="1"/>
    <x v="40"/>
    <x v="6"/>
    <x v="14"/>
    <x v="1"/>
    <s v="13-4700827"/>
    <m/>
    <n v="201908"/>
    <x v="5"/>
    <x v="1"/>
    <x v="5"/>
  </r>
  <r>
    <x v="4"/>
    <n v="49930.87"/>
    <x v="730"/>
    <d v="2020-02-21T00:00:00"/>
    <x v="7"/>
    <x v="24"/>
    <x v="4"/>
    <x v="8"/>
    <x v="1"/>
    <s v="10-5202864"/>
    <m/>
    <n v="202002"/>
    <x v="0"/>
    <x v="0"/>
    <x v="0"/>
  </r>
  <r>
    <x v="2"/>
    <n v="48763.58"/>
    <x v="731"/>
    <d v="2020-07-14T00:00:00"/>
    <x v="6"/>
    <x v="24"/>
    <x v="2"/>
    <x v="2"/>
    <x v="1"/>
    <s v="29-6521179"/>
    <m/>
    <n v="202007"/>
    <x v="2"/>
    <x v="0"/>
    <x v="2"/>
  </r>
  <r>
    <x v="5"/>
    <n v="71079.8"/>
    <x v="732"/>
    <d v="2019-11-15T00:00:00"/>
    <x v="8"/>
    <x v="9"/>
    <x v="5"/>
    <x v="23"/>
    <x v="1"/>
    <s v="30-9137723"/>
    <m/>
    <n v="201911"/>
    <x v="8"/>
    <x v="1"/>
    <x v="8"/>
  </r>
  <r>
    <x v="0"/>
    <n v="43158.94"/>
    <x v="733"/>
    <d v="2019-05-13T00:00:00"/>
    <x v="8"/>
    <x v="42"/>
    <x v="0"/>
    <x v="9"/>
    <x v="1"/>
    <s v="55-4422832"/>
    <m/>
    <n v="201905"/>
    <x v="6"/>
    <x v="1"/>
    <x v="6"/>
  </r>
  <r>
    <x v="5"/>
    <n v="117538.82"/>
    <x v="734"/>
    <d v="2019-07-03T00:00:00"/>
    <x v="3"/>
    <x v="10"/>
    <x v="5"/>
    <x v="23"/>
    <x v="1"/>
    <s v="12-1257338"/>
    <m/>
    <n v="201907"/>
    <x v="2"/>
    <x v="1"/>
    <x v="2"/>
  </r>
  <r>
    <x v="2"/>
    <n v="45725.53"/>
    <x v="735"/>
    <d v="2020-07-07T00:00:00"/>
    <x v="9"/>
    <x v="6"/>
    <x v="2"/>
    <x v="3"/>
    <x v="0"/>
    <s v="66-6777720"/>
    <m/>
    <n v="202007"/>
    <x v="2"/>
    <x v="0"/>
    <x v="2"/>
  </r>
  <r>
    <x v="2"/>
    <n v="77522.570000000007"/>
    <x v="736"/>
    <d v="2019-07-31T00:00:00"/>
    <x v="7"/>
    <x v="39"/>
    <x v="2"/>
    <x v="3"/>
    <x v="0"/>
    <s v="53-3568171"/>
    <m/>
    <n v="201907"/>
    <x v="2"/>
    <x v="1"/>
    <x v="2"/>
  </r>
  <r>
    <x v="12"/>
    <n v="44118.5"/>
    <x v="737"/>
    <d v="2020-03-04T00:00:00"/>
    <x v="8"/>
    <x v="14"/>
    <x v="12"/>
    <x v="28"/>
    <x v="0"/>
    <s v="77-6124790"/>
    <m/>
    <n v="202003"/>
    <x v="10"/>
    <x v="0"/>
    <x v="10"/>
  </r>
  <r>
    <x v="4"/>
    <n v="242526"/>
    <x v="738"/>
    <d v="2019-06-03T00:00:00"/>
    <x v="2"/>
    <x v="35"/>
    <x v="4"/>
    <x v="6"/>
    <x v="1"/>
    <s v="09-3668672"/>
    <m/>
    <n v="201906"/>
    <x v="9"/>
    <x v="1"/>
    <x v="9"/>
  </r>
  <r>
    <x v="5"/>
    <n v="140635.94"/>
    <x v="739"/>
    <d v="2020-12-08T00:00:00"/>
    <x v="6"/>
    <x v="4"/>
    <x v="5"/>
    <x v="10"/>
    <x v="1"/>
    <s v="00-5823706"/>
    <m/>
    <n v="202012"/>
    <x v="4"/>
    <x v="0"/>
    <x v="4"/>
  </r>
  <r>
    <x v="2"/>
    <n v="157754.35999999999"/>
    <x v="740"/>
    <d v="2019-08-09T00:00:00"/>
    <x v="0"/>
    <x v="39"/>
    <x v="2"/>
    <x v="3"/>
    <x v="0"/>
    <s v="67-8646070"/>
    <m/>
    <n v="201908"/>
    <x v="5"/>
    <x v="1"/>
    <x v="5"/>
  </r>
  <r>
    <x v="5"/>
    <n v="88977.22"/>
    <x v="741"/>
    <d v="2020-10-03T00:00:00"/>
    <x v="0"/>
    <x v="15"/>
    <x v="5"/>
    <x v="21"/>
    <x v="1"/>
    <s v="58-1975365"/>
    <m/>
    <n v="202010"/>
    <x v="11"/>
    <x v="0"/>
    <x v="11"/>
  </r>
  <r>
    <x v="2"/>
    <n v="74231.25"/>
    <x v="742"/>
    <d v="2019-11-11T00:00:00"/>
    <x v="3"/>
    <x v="8"/>
    <x v="2"/>
    <x v="29"/>
    <x v="0"/>
    <s v="99-7842298"/>
    <m/>
    <n v="201911"/>
    <x v="8"/>
    <x v="1"/>
    <x v="8"/>
  </r>
  <r>
    <x v="0"/>
    <n v="131402.37"/>
    <x v="743"/>
    <d v="2019-10-03T00:00:00"/>
    <x v="3"/>
    <x v="4"/>
    <x v="0"/>
    <x v="9"/>
    <x v="1"/>
    <s v="80-8019337"/>
    <m/>
    <n v="201910"/>
    <x v="11"/>
    <x v="1"/>
    <x v="11"/>
  </r>
  <r>
    <x v="0"/>
    <n v="156505.37"/>
    <x v="744"/>
    <d v="2019-05-04T00:00:00"/>
    <x v="8"/>
    <x v="26"/>
    <x v="0"/>
    <x v="13"/>
    <x v="1"/>
    <s v="76-8416893"/>
    <m/>
    <n v="201905"/>
    <x v="6"/>
    <x v="1"/>
    <x v="6"/>
  </r>
  <r>
    <x v="2"/>
    <n v="139200.81"/>
    <x v="745"/>
    <d v="2019-08-23T00:00:00"/>
    <x v="1"/>
    <x v="4"/>
    <x v="2"/>
    <x v="29"/>
    <x v="1"/>
    <s v="19-3893110"/>
    <m/>
    <n v="201908"/>
    <x v="5"/>
    <x v="1"/>
    <x v="5"/>
  </r>
  <r>
    <x v="0"/>
    <n v="121292.94"/>
    <x v="746"/>
    <d v="2019-03-23T00:00:00"/>
    <x v="3"/>
    <x v="6"/>
    <x v="0"/>
    <x v="25"/>
    <x v="1"/>
    <s v="17-3994138"/>
    <m/>
    <n v="201903"/>
    <x v="10"/>
    <x v="1"/>
    <x v="10"/>
  </r>
  <r>
    <x v="5"/>
    <n v="84712.13"/>
    <x v="747"/>
    <d v="2020-07-11T00:00:00"/>
    <x v="0"/>
    <x v="34"/>
    <x v="5"/>
    <x v="21"/>
    <x v="1"/>
    <s v="29-8090560"/>
    <m/>
    <n v="202007"/>
    <x v="2"/>
    <x v="0"/>
    <x v="2"/>
  </r>
  <r>
    <x v="2"/>
    <n v="172202.38"/>
    <x v="748"/>
    <d v="2019-04-09T00:00:00"/>
    <x v="5"/>
    <x v="53"/>
    <x v="2"/>
    <x v="15"/>
    <x v="2"/>
    <s v="75-5652593"/>
    <m/>
    <n v="201904"/>
    <x v="3"/>
    <x v="1"/>
    <x v="3"/>
  </r>
  <r>
    <x v="0"/>
    <n v="108978.79"/>
    <x v="749"/>
    <d v="2019-11-28T00:00:00"/>
    <x v="1"/>
    <x v="39"/>
    <x v="0"/>
    <x v="0"/>
    <x v="1"/>
    <s v="84-5276032"/>
    <m/>
    <n v="201911"/>
    <x v="8"/>
    <x v="1"/>
    <x v="8"/>
  </r>
  <r>
    <x v="2"/>
    <n v="69871.92"/>
    <x v="750"/>
    <d v="2020-09-06T00:00:00"/>
    <x v="1"/>
    <x v="4"/>
    <x v="2"/>
    <x v="2"/>
    <x v="1"/>
    <s v="01-4729172"/>
    <m/>
    <n v="202009"/>
    <x v="1"/>
    <x v="0"/>
    <x v="1"/>
  </r>
  <r>
    <x v="5"/>
    <n v="184221.2"/>
    <x v="751"/>
    <d v="2019-06-15T00:00:00"/>
    <x v="8"/>
    <x v="3"/>
    <x v="5"/>
    <x v="10"/>
    <x v="1"/>
    <s v="70-3373325"/>
    <m/>
    <n v="201906"/>
    <x v="9"/>
    <x v="1"/>
    <x v="9"/>
  </r>
  <r>
    <x v="5"/>
    <n v="57348.43"/>
    <x v="752"/>
    <d v="2019-01-12T00:00:00"/>
    <x v="2"/>
    <x v="3"/>
    <x v="5"/>
    <x v="20"/>
    <x v="1"/>
    <s v="73-6329299"/>
    <m/>
    <n v="201901"/>
    <x v="7"/>
    <x v="1"/>
    <x v="7"/>
  </r>
  <r>
    <x v="5"/>
    <n v="197581.29"/>
    <x v="753"/>
    <d v="2019-12-13T00:00:00"/>
    <x v="8"/>
    <x v="33"/>
    <x v="5"/>
    <x v="21"/>
    <x v="1"/>
    <s v="74-6221213"/>
    <m/>
    <n v="201912"/>
    <x v="4"/>
    <x v="1"/>
    <x v="4"/>
  </r>
  <r>
    <x v="2"/>
    <n v="101321.52"/>
    <x v="754"/>
    <d v="2019-02-17T00:00:00"/>
    <x v="1"/>
    <x v="23"/>
    <x v="2"/>
    <x v="29"/>
    <x v="1"/>
    <s v="53-1326953"/>
    <m/>
    <n v="201902"/>
    <x v="0"/>
    <x v="1"/>
    <x v="0"/>
  </r>
  <r>
    <x v="4"/>
    <n v="124234.91"/>
    <x v="755"/>
    <d v="2020-09-19T00:00:00"/>
    <x v="7"/>
    <x v="4"/>
    <x v="4"/>
    <x v="8"/>
    <x v="1"/>
    <s v="56-7081196"/>
    <m/>
    <n v="202009"/>
    <x v="1"/>
    <x v="0"/>
    <x v="1"/>
  </r>
  <r>
    <x v="2"/>
    <n v="254883.03"/>
    <x v="756"/>
    <d v="2019-12-12T00:00:00"/>
    <x v="5"/>
    <x v="46"/>
    <x v="2"/>
    <x v="12"/>
    <x v="1"/>
    <s v="85-9560144"/>
    <m/>
    <n v="201912"/>
    <x v="4"/>
    <x v="1"/>
    <x v="4"/>
  </r>
  <r>
    <x v="5"/>
    <n v="57333.85"/>
    <x v="757"/>
    <d v="2020-10-24T00:00:00"/>
    <x v="9"/>
    <x v="0"/>
    <x v="5"/>
    <x v="10"/>
    <x v="1"/>
    <s v="35-9605742"/>
    <m/>
    <n v="202010"/>
    <x v="11"/>
    <x v="0"/>
    <x v="11"/>
  </r>
  <r>
    <x v="2"/>
    <n v="65760.39"/>
    <x v="758"/>
    <d v="2020-10-09T00:00:00"/>
    <x v="6"/>
    <x v="50"/>
    <x v="2"/>
    <x v="3"/>
    <x v="1"/>
    <s v="30-0037690"/>
    <m/>
    <n v="202010"/>
    <x v="11"/>
    <x v="0"/>
    <x v="11"/>
  </r>
  <r>
    <x v="2"/>
    <n v="53485"/>
    <x v="759"/>
    <d v="2020-02-18T00:00:00"/>
    <x v="2"/>
    <x v="4"/>
    <x v="2"/>
    <x v="12"/>
    <x v="1"/>
    <s v="75-6038587"/>
    <m/>
    <n v="202002"/>
    <x v="0"/>
    <x v="0"/>
    <x v="0"/>
  </r>
  <r>
    <x v="5"/>
    <n v="154950.74"/>
    <x v="760"/>
    <d v="2019-10-09T00:00:00"/>
    <x v="6"/>
    <x v="49"/>
    <x v="5"/>
    <x v="20"/>
    <x v="2"/>
    <s v="45-8966277"/>
    <m/>
    <n v="201910"/>
    <x v="11"/>
    <x v="1"/>
    <x v="11"/>
  </r>
  <r>
    <x v="4"/>
    <n v="19949.11"/>
    <x v="761"/>
    <d v="2019-02-25T00:00:00"/>
    <x v="3"/>
    <x v="37"/>
    <x v="4"/>
    <x v="6"/>
    <x v="2"/>
    <s v="23-0941629"/>
    <m/>
    <n v="201902"/>
    <x v="0"/>
    <x v="1"/>
    <x v="0"/>
  </r>
  <r>
    <x v="5"/>
    <n v="124784.67"/>
    <x v="762"/>
    <d v="2020-05-22T00:00:00"/>
    <x v="8"/>
    <x v="9"/>
    <x v="5"/>
    <x v="21"/>
    <x v="2"/>
    <s v="44-2757396"/>
    <m/>
    <n v="202005"/>
    <x v="6"/>
    <x v="0"/>
    <x v="6"/>
  </r>
  <r>
    <x v="9"/>
    <n v="120831.28"/>
    <x v="763"/>
    <d v="2020-05-22T00:00:00"/>
    <x v="7"/>
    <x v="68"/>
    <x v="9"/>
    <x v="18"/>
    <x v="1"/>
    <s v="21-4464304"/>
    <m/>
    <n v="202005"/>
    <x v="6"/>
    <x v="0"/>
    <x v="6"/>
  </r>
  <r>
    <x v="2"/>
    <n v="127631.89"/>
    <x v="764"/>
    <d v="2019-11-24T00:00:00"/>
    <x v="2"/>
    <x v="50"/>
    <x v="2"/>
    <x v="12"/>
    <x v="1"/>
    <s v="02-8721192"/>
    <m/>
    <n v="201911"/>
    <x v="8"/>
    <x v="1"/>
    <x v="8"/>
  </r>
  <r>
    <x v="9"/>
    <n v="68984.17"/>
    <x v="765"/>
    <d v="2019-01-11T00:00:00"/>
    <x v="3"/>
    <x v="26"/>
    <x v="9"/>
    <x v="18"/>
    <x v="1"/>
    <s v="46-9710750"/>
    <m/>
    <n v="201901"/>
    <x v="7"/>
    <x v="1"/>
    <x v="7"/>
  </r>
  <r>
    <x v="5"/>
    <n v="56823.17"/>
    <x v="766"/>
    <d v="2019-12-21T00:00:00"/>
    <x v="3"/>
    <x v="12"/>
    <x v="5"/>
    <x v="21"/>
    <x v="0"/>
    <s v="26-1781486"/>
    <m/>
    <n v="201912"/>
    <x v="4"/>
    <x v="1"/>
    <x v="4"/>
  </r>
  <r>
    <x v="2"/>
    <n v="126974.92"/>
    <x v="767"/>
    <d v="2019-01-13T00:00:00"/>
    <x v="1"/>
    <x v="2"/>
    <x v="2"/>
    <x v="15"/>
    <x v="1"/>
    <s v="57-7927520"/>
    <m/>
    <n v="201901"/>
    <x v="7"/>
    <x v="1"/>
    <x v="7"/>
  </r>
  <r>
    <x v="2"/>
    <n v="121736.23"/>
    <x v="768"/>
    <d v="2020-05-06T00:00:00"/>
    <x v="4"/>
    <x v="38"/>
    <x v="2"/>
    <x v="2"/>
    <x v="1"/>
    <s v="95-4271285"/>
    <m/>
    <n v="202005"/>
    <x v="6"/>
    <x v="0"/>
    <x v="6"/>
  </r>
  <r>
    <x v="5"/>
    <n v="150287.47"/>
    <x v="769"/>
    <d v="2020-08-05T00:00:00"/>
    <x v="0"/>
    <x v="28"/>
    <x v="5"/>
    <x v="23"/>
    <x v="1"/>
    <s v="66-4296261"/>
    <m/>
    <n v="202008"/>
    <x v="5"/>
    <x v="0"/>
    <x v="5"/>
  </r>
  <r>
    <x v="1"/>
    <n v="93007.22"/>
    <x v="770"/>
    <d v="2020-11-09T00:00:00"/>
    <x v="7"/>
    <x v="40"/>
    <x v="1"/>
    <x v="1"/>
    <x v="1"/>
    <s v="24-8477374"/>
    <m/>
    <n v="202011"/>
    <x v="8"/>
    <x v="0"/>
    <x v="8"/>
  </r>
  <r>
    <x v="11"/>
    <n v="165747.20000000001"/>
    <x v="771"/>
    <d v="2020-01-21T00:00:00"/>
    <x v="0"/>
    <x v="5"/>
    <x v="11"/>
    <x v="26"/>
    <x v="1"/>
    <s v="96-1991854"/>
    <m/>
    <n v="202001"/>
    <x v="7"/>
    <x v="0"/>
    <x v="7"/>
  </r>
  <r>
    <x v="0"/>
    <n v="177215.51"/>
    <x v="772"/>
    <d v="2019-05-07T00:00:00"/>
    <x v="2"/>
    <x v="26"/>
    <x v="0"/>
    <x v="13"/>
    <x v="1"/>
    <s v="54-3353166"/>
    <m/>
    <n v="201905"/>
    <x v="6"/>
    <x v="1"/>
    <x v="6"/>
  </r>
  <r>
    <x v="5"/>
    <n v="99132.04"/>
    <x v="773"/>
    <d v="2020-03-21T00:00:00"/>
    <x v="6"/>
    <x v="20"/>
    <x v="5"/>
    <x v="23"/>
    <x v="1"/>
    <s v="44-6408586"/>
    <m/>
    <n v="202003"/>
    <x v="10"/>
    <x v="0"/>
    <x v="10"/>
  </r>
  <r>
    <x v="12"/>
    <n v="180519.86"/>
    <x v="774"/>
    <d v="2019-07-04T00:00:00"/>
    <x v="1"/>
    <x v="16"/>
    <x v="12"/>
    <x v="28"/>
    <x v="1"/>
    <s v="86-6107692"/>
    <m/>
    <n v="201907"/>
    <x v="2"/>
    <x v="1"/>
    <x v="2"/>
  </r>
  <r>
    <x v="5"/>
    <n v="68173.22"/>
    <x v="775"/>
    <d v="2020-11-14T00:00:00"/>
    <x v="6"/>
    <x v="2"/>
    <x v="5"/>
    <x v="10"/>
    <x v="1"/>
    <s v="89-7513050"/>
    <m/>
    <n v="202011"/>
    <x v="8"/>
    <x v="0"/>
    <x v="8"/>
  </r>
  <r>
    <x v="2"/>
    <n v="97439.360000000001"/>
    <x v="776"/>
    <d v="2019-08-08T00:00:00"/>
    <x v="1"/>
    <x v="24"/>
    <x v="2"/>
    <x v="29"/>
    <x v="1"/>
    <s v="54-2767741"/>
    <m/>
    <n v="201908"/>
    <x v="5"/>
    <x v="1"/>
    <x v="5"/>
  </r>
  <r>
    <x v="0"/>
    <n v="103638.67"/>
    <x v="777"/>
    <d v="2020-10-22T00:00:00"/>
    <x v="8"/>
    <x v="36"/>
    <x v="0"/>
    <x v="9"/>
    <x v="1"/>
    <s v="24-6905998"/>
    <m/>
    <n v="202010"/>
    <x v="11"/>
    <x v="0"/>
    <x v="11"/>
  </r>
  <r>
    <x v="0"/>
    <n v="169810.63"/>
    <x v="778"/>
    <d v="2020-11-28T00:00:00"/>
    <x v="6"/>
    <x v="50"/>
    <x v="0"/>
    <x v="19"/>
    <x v="1"/>
    <s v="35-0173281"/>
    <m/>
    <n v="202011"/>
    <x v="8"/>
    <x v="0"/>
    <x v="8"/>
  </r>
  <r>
    <x v="5"/>
    <n v="75264.84"/>
    <x v="779"/>
    <d v="2020-09-16T00:00:00"/>
    <x v="2"/>
    <x v="11"/>
    <x v="5"/>
    <x v="21"/>
    <x v="0"/>
    <s v="93-5465623"/>
    <m/>
    <n v="202009"/>
    <x v="1"/>
    <x v="0"/>
    <x v="1"/>
  </r>
  <r>
    <x v="3"/>
    <n v="58933.16"/>
    <x v="780"/>
    <d v="2019-09-20T00:00:00"/>
    <x v="8"/>
    <x v="50"/>
    <x v="3"/>
    <x v="4"/>
    <x v="0"/>
    <s v="67-2823354"/>
    <m/>
    <n v="201909"/>
    <x v="1"/>
    <x v="1"/>
    <x v="1"/>
  </r>
  <r>
    <x v="2"/>
    <n v="168773.6"/>
    <x v="781"/>
    <d v="2019-08-22T00:00:00"/>
    <x v="1"/>
    <x v="11"/>
    <x v="2"/>
    <x v="12"/>
    <x v="1"/>
    <s v="28-0622425"/>
    <m/>
    <n v="201908"/>
    <x v="5"/>
    <x v="1"/>
    <x v="5"/>
  </r>
  <r>
    <x v="2"/>
    <n v="152676.76999999999"/>
    <x v="782"/>
    <d v="2020-07-07T00:00:00"/>
    <x v="7"/>
    <x v="30"/>
    <x v="2"/>
    <x v="2"/>
    <x v="1"/>
    <s v="84-0679518"/>
    <m/>
    <n v="202007"/>
    <x v="2"/>
    <x v="0"/>
    <x v="2"/>
  </r>
  <r>
    <x v="2"/>
    <n v="116556.81"/>
    <x v="783"/>
    <d v="2020-05-24T00:00:00"/>
    <x v="7"/>
    <x v="7"/>
    <x v="2"/>
    <x v="15"/>
    <x v="1"/>
    <s v="95-1195568"/>
    <m/>
    <n v="202005"/>
    <x v="6"/>
    <x v="0"/>
    <x v="6"/>
  </r>
  <r>
    <x v="5"/>
    <n v="310539"/>
    <x v="784"/>
    <d v="2020-12-11T00:00:00"/>
    <x v="8"/>
    <x v="4"/>
    <x v="5"/>
    <x v="21"/>
    <x v="1"/>
    <s v="57-2495984"/>
    <m/>
    <n v="202012"/>
    <x v="4"/>
    <x v="0"/>
    <x v="4"/>
  </r>
  <r>
    <x v="2"/>
    <n v="106325.72"/>
    <x v="785"/>
    <d v="2019-09-19T00:00:00"/>
    <x v="1"/>
    <x v="0"/>
    <x v="2"/>
    <x v="3"/>
    <x v="0"/>
    <s v="77-5229094"/>
    <m/>
    <n v="201909"/>
    <x v="1"/>
    <x v="1"/>
    <x v="1"/>
  </r>
  <r>
    <x v="0"/>
    <n v="90602.07"/>
    <x v="786"/>
    <d v="2020-03-05T00:00:00"/>
    <x v="8"/>
    <x v="29"/>
    <x v="0"/>
    <x v="25"/>
    <x v="1"/>
    <s v="09-3747816"/>
    <m/>
    <n v="202003"/>
    <x v="10"/>
    <x v="0"/>
    <x v="10"/>
  </r>
  <r>
    <x v="3"/>
    <n v="120012.56"/>
    <x v="787"/>
    <d v="2020-05-11T00:00:00"/>
    <x v="1"/>
    <x v="26"/>
    <x v="3"/>
    <x v="4"/>
    <x v="0"/>
    <s v="62-9738356"/>
    <m/>
    <n v="202005"/>
    <x v="6"/>
    <x v="0"/>
    <x v="6"/>
  </r>
  <r>
    <x v="5"/>
    <n v="143658.22"/>
    <x v="788"/>
    <d v="2020-10-30T00:00:00"/>
    <x v="5"/>
    <x v="10"/>
    <x v="5"/>
    <x v="10"/>
    <x v="1"/>
    <s v="22-6938537"/>
    <m/>
    <n v="202010"/>
    <x v="11"/>
    <x v="0"/>
    <x v="11"/>
  </r>
  <r>
    <x v="2"/>
    <n v="263571.82"/>
    <x v="789"/>
    <d v="2020-06-08T00:00:00"/>
    <x v="7"/>
    <x v="46"/>
    <x v="2"/>
    <x v="3"/>
    <x v="1"/>
    <s v="11-0955383"/>
    <m/>
    <n v="202006"/>
    <x v="9"/>
    <x v="0"/>
    <x v="9"/>
  </r>
  <r>
    <x v="5"/>
    <n v="131097.04999999999"/>
    <x v="790"/>
    <d v="2020-06-26T00:00:00"/>
    <x v="3"/>
    <x v="2"/>
    <x v="5"/>
    <x v="7"/>
    <x v="1"/>
    <s v="80-1374023"/>
    <m/>
    <n v="202006"/>
    <x v="9"/>
    <x v="0"/>
    <x v="9"/>
  </r>
  <r>
    <x v="10"/>
    <n v="127830.38"/>
    <x v="791"/>
    <d v="2020-05-21T00:00:00"/>
    <x v="1"/>
    <x v="14"/>
    <x v="10"/>
    <x v="22"/>
    <x v="1"/>
    <s v="66-7112079"/>
    <m/>
    <n v="202005"/>
    <x v="6"/>
    <x v="0"/>
    <x v="6"/>
  </r>
  <r>
    <x v="2"/>
    <n v="129353.22"/>
    <x v="792"/>
    <d v="2019-01-18T00:00:00"/>
    <x v="1"/>
    <x v="49"/>
    <x v="2"/>
    <x v="12"/>
    <x v="0"/>
    <s v="31-2600204"/>
    <m/>
    <n v="201901"/>
    <x v="7"/>
    <x v="1"/>
    <x v="7"/>
  </r>
  <r>
    <x v="0"/>
    <n v="176473.32"/>
    <x v="793"/>
    <d v="2019-06-22T00:00:00"/>
    <x v="1"/>
    <x v="10"/>
    <x v="0"/>
    <x v="9"/>
    <x v="1"/>
    <s v="00-7031798"/>
    <m/>
    <n v="201906"/>
    <x v="9"/>
    <x v="1"/>
    <x v="9"/>
  </r>
  <r>
    <x v="13"/>
    <n v="43609.57"/>
    <x v="794"/>
    <d v="2020-03-01T00:00:00"/>
    <x v="5"/>
    <x v="32"/>
    <x v="13"/>
    <x v="34"/>
    <x v="1"/>
    <s v="20-1827241"/>
    <m/>
    <n v="202003"/>
    <x v="10"/>
    <x v="0"/>
    <x v="10"/>
  </r>
  <r>
    <x v="2"/>
    <n v="137562.42000000001"/>
    <x v="795"/>
    <d v="2020-04-14T00:00:00"/>
    <x v="2"/>
    <x v="23"/>
    <x v="2"/>
    <x v="15"/>
    <x v="1"/>
    <s v="80-5941460"/>
    <m/>
    <n v="202004"/>
    <x v="3"/>
    <x v="0"/>
    <x v="3"/>
  </r>
  <r>
    <x v="5"/>
    <n v="51504.5"/>
    <x v="796"/>
    <d v="2019-09-22T00:00:00"/>
    <x v="5"/>
    <x v="23"/>
    <x v="5"/>
    <x v="10"/>
    <x v="1"/>
    <s v="17-3240628"/>
    <m/>
    <n v="201909"/>
    <x v="1"/>
    <x v="1"/>
    <x v="1"/>
  </r>
  <r>
    <x v="5"/>
    <n v="38750.53"/>
    <x v="797"/>
    <d v="2019-09-01T00:00:00"/>
    <x v="7"/>
    <x v="4"/>
    <x v="5"/>
    <x v="10"/>
    <x v="1"/>
    <s v="22-5929243"/>
    <m/>
    <n v="201909"/>
    <x v="1"/>
    <x v="1"/>
    <x v="1"/>
  </r>
  <r>
    <x v="5"/>
    <n v="111676.46"/>
    <x v="798"/>
    <d v="2019-06-08T00:00:00"/>
    <x v="3"/>
    <x v="17"/>
    <x v="5"/>
    <x v="21"/>
    <x v="1"/>
    <s v="35-7483371"/>
    <m/>
    <n v="201906"/>
    <x v="9"/>
    <x v="1"/>
    <x v="9"/>
  </r>
  <r>
    <x v="0"/>
    <n v="46849.71"/>
    <x v="799"/>
    <d v="2019-08-26T00:00:00"/>
    <x v="3"/>
    <x v="36"/>
    <x v="0"/>
    <x v="9"/>
    <x v="1"/>
    <s v="71-1921602"/>
    <m/>
    <n v="201908"/>
    <x v="5"/>
    <x v="1"/>
    <x v="5"/>
  </r>
  <r>
    <x v="0"/>
    <n v="296844.24"/>
    <x v="800"/>
    <d v="2019-06-08T00:00:00"/>
    <x v="9"/>
    <x v="32"/>
    <x v="0"/>
    <x v="25"/>
    <x v="1"/>
    <s v="22-9949979"/>
    <m/>
    <n v="201906"/>
    <x v="9"/>
    <x v="1"/>
    <x v="9"/>
  </r>
  <r>
    <x v="2"/>
    <n v="163492.16"/>
    <x v="801"/>
    <d v="2020-08-12T00:00:00"/>
    <x v="5"/>
    <x v="43"/>
    <x v="2"/>
    <x v="12"/>
    <x v="1"/>
    <s v="06-8466490"/>
    <m/>
    <n v="202008"/>
    <x v="5"/>
    <x v="0"/>
    <x v="5"/>
  </r>
  <r>
    <x v="5"/>
    <n v="116206.87"/>
    <x v="802"/>
    <d v="2019-04-15T00:00:00"/>
    <x v="1"/>
    <x v="22"/>
    <x v="5"/>
    <x v="10"/>
    <x v="1"/>
    <s v="34-6603897"/>
    <m/>
    <n v="201904"/>
    <x v="3"/>
    <x v="1"/>
    <x v="3"/>
  </r>
  <r>
    <x v="5"/>
    <n v="195214.72"/>
    <x v="803"/>
    <d v="2019-06-26T00:00:00"/>
    <x v="0"/>
    <x v="22"/>
    <x v="5"/>
    <x v="7"/>
    <x v="1"/>
    <s v="92-3462655"/>
    <m/>
    <n v="201906"/>
    <x v="9"/>
    <x v="1"/>
    <x v="9"/>
  </r>
  <r>
    <x v="5"/>
    <n v="168226.52"/>
    <x v="804"/>
    <d v="2020-01-25T00:00:00"/>
    <x v="6"/>
    <x v="34"/>
    <x v="5"/>
    <x v="23"/>
    <x v="1"/>
    <s v="26-9826298"/>
    <m/>
    <n v="202001"/>
    <x v="7"/>
    <x v="0"/>
    <x v="7"/>
  </r>
  <r>
    <x v="0"/>
    <n v="249842.77"/>
    <x v="805"/>
    <d v="2020-07-09T00:00:00"/>
    <x v="0"/>
    <x v="3"/>
    <x v="0"/>
    <x v="13"/>
    <x v="1"/>
    <s v="39-5542863"/>
    <m/>
    <n v="202007"/>
    <x v="2"/>
    <x v="0"/>
    <x v="2"/>
  </r>
  <r>
    <x v="6"/>
    <n v="105678.39"/>
    <x v="806"/>
    <d v="2020-05-07T00:00:00"/>
    <x v="1"/>
    <x v="35"/>
    <x v="6"/>
    <x v="14"/>
    <x v="0"/>
    <s v="18-1809309"/>
    <m/>
    <n v="202005"/>
    <x v="6"/>
    <x v="0"/>
    <x v="6"/>
  </r>
  <r>
    <x v="2"/>
    <n v="253580.08"/>
    <x v="807"/>
    <d v="2020-07-06T00:00:00"/>
    <x v="1"/>
    <x v="67"/>
    <x v="2"/>
    <x v="29"/>
    <x v="1"/>
    <s v="51-0837613"/>
    <m/>
    <n v="202007"/>
    <x v="2"/>
    <x v="0"/>
    <x v="2"/>
  </r>
  <r>
    <x v="5"/>
    <n v="56705.66"/>
    <x v="808"/>
    <d v="2019-02-01T00:00:00"/>
    <x v="7"/>
    <x v="4"/>
    <x v="5"/>
    <x v="20"/>
    <x v="1"/>
    <s v="46-0117523"/>
    <m/>
    <n v="201902"/>
    <x v="0"/>
    <x v="1"/>
    <x v="0"/>
  </r>
  <r>
    <x v="0"/>
    <n v="35354.22"/>
    <x v="809"/>
    <d v="2019-02-27T00:00:00"/>
    <x v="6"/>
    <x v="46"/>
    <x v="0"/>
    <x v="19"/>
    <x v="1"/>
    <s v="58-1079558"/>
    <m/>
    <n v="201902"/>
    <x v="0"/>
    <x v="1"/>
    <x v="0"/>
  </r>
  <r>
    <x v="2"/>
    <n v="25834.34"/>
    <x v="810"/>
    <d v="2020-03-13T00:00:00"/>
    <x v="8"/>
    <x v="14"/>
    <x v="2"/>
    <x v="29"/>
    <x v="0"/>
    <s v="49-9010863"/>
    <m/>
    <n v="202003"/>
    <x v="10"/>
    <x v="0"/>
    <x v="10"/>
  </r>
  <r>
    <x v="2"/>
    <n v="121928.48"/>
    <x v="811"/>
    <d v="2019-09-19T00:00:00"/>
    <x v="2"/>
    <x v="34"/>
    <x v="2"/>
    <x v="29"/>
    <x v="0"/>
    <s v="58-2028009"/>
    <m/>
    <n v="201909"/>
    <x v="1"/>
    <x v="1"/>
    <x v="1"/>
  </r>
  <r>
    <x v="5"/>
    <n v="167935.31"/>
    <x v="812"/>
    <d v="2019-04-18T00:00:00"/>
    <x v="1"/>
    <x v="56"/>
    <x v="5"/>
    <x v="10"/>
    <x v="1"/>
    <s v="03-4045721"/>
    <m/>
    <n v="201904"/>
    <x v="3"/>
    <x v="1"/>
    <x v="3"/>
  </r>
  <r>
    <x v="2"/>
    <n v="151151.76999999999"/>
    <x v="813"/>
    <d v="2019-12-30T00:00:00"/>
    <x v="5"/>
    <x v="12"/>
    <x v="2"/>
    <x v="3"/>
    <x v="1"/>
    <s v="80-3039005"/>
    <m/>
    <n v="201912"/>
    <x v="4"/>
    <x v="1"/>
    <x v="4"/>
  </r>
  <r>
    <x v="5"/>
    <n v="95966.17"/>
    <x v="814"/>
    <d v="2019-08-24T00:00:00"/>
    <x v="8"/>
    <x v="72"/>
    <x v="5"/>
    <x v="10"/>
    <x v="1"/>
    <s v="90-4449856"/>
    <m/>
    <n v="201908"/>
    <x v="5"/>
    <x v="1"/>
    <x v="5"/>
  </r>
  <r>
    <x v="2"/>
    <n v="123424.43"/>
    <x v="815"/>
    <d v="2019-04-11T00:00:00"/>
    <x v="2"/>
    <x v="30"/>
    <x v="2"/>
    <x v="12"/>
    <x v="1"/>
    <s v="82-2837449"/>
    <m/>
    <n v="201904"/>
    <x v="3"/>
    <x v="1"/>
    <x v="3"/>
  </r>
  <r>
    <x v="5"/>
    <n v="128221.13"/>
    <x v="816"/>
    <d v="2020-06-21T00:00:00"/>
    <x v="2"/>
    <x v="4"/>
    <x v="5"/>
    <x v="10"/>
    <x v="1"/>
    <s v="21-4033151"/>
    <m/>
    <n v="202006"/>
    <x v="9"/>
    <x v="0"/>
    <x v="9"/>
  </r>
  <r>
    <x v="2"/>
    <n v="204133.95"/>
    <x v="817"/>
    <d v="2020-06-13T00:00:00"/>
    <x v="1"/>
    <x v="36"/>
    <x v="2"/>
    <x v="12"/>
    <x v="1"/>
    <s v="98-6563368"/>
    <m/>
    <n v="202006"/>
    <x v="9"/>
    <x v="0"/>
    <x v="9"/>
  </r>
  <r>
    <x v="0"/>
    <n v="89376.84"/>
    <x v="818"/>
    <d v="2019-02-17T00:00:00"/>
    <x v="3"/>
    <x v="4"/>
    <x v="0"/>
    <x v="13"/>
    <x v="1"/>
    <s v="21-2589548"/>
    <m/>
    <n v="201902"/>
    <x v="0"/>
    <x v="1"/>
    <x v="0"/>
  </r>
  <r>
    <x v="0"/>
    <n v="110837.96"/>
    <x v="819"/>
    <d v="2019-02-25T00:00:00"/>
    <x v="8"/>
    <x v="46"/>
    <x v="0"/>
    <x v="13"/>
    <x v="1"/>
    <s v="52-7049356"/>
    <m/>
    <n v="201902"/>
    <x v="0"/>
    <x v="1"/>
    <x v="0"/>
  </r>
  <r>
    <x v="6"/>
    <n v="118026.37"/>
    <x v="820"/>
    <d v="2020-07-04T00:00:00"/>
    <x v="5"/>
    <x v="3"/>
    <x v="6"/>
    <x v="14"/>
    <x v="1"/>
    <s v="35-1708827"/>
    <m/>
    <n v="202007"/>
    <x v="2"/>
    <x v="0"/>
    <x v="2"/>
  </r>
  <r>
    <x v="2"/>
    <n v="177208.76"/>
    <x v="821"/>
    <d v="2019-01-02T00:00:00"/>
    <x v="5"/>
    <x v="14"/>
    <x v="2"/>
    <x v="2"/>
    <x v="0"/>
    <s v="22-1266257"/>
    <m/>
    <n v="201901"/>
    <x v="7"/>
    <x v="1"/>
    <x v="7"/>
  </r>
  <r>
    <x v="0"/>
    <n v="97148.34"/>
    <x v="822"/>
    <d v="2020-04-29T00:00:00"/>
    <x v="0"/>
    <x v="14"/>
    <x v="0"/>
    <x v="25"/>
    <x v="1"/>
    <s v="44-9978904"/>
    <m/>
    <n v="202004"/>
    <x v="3"/>
    <x v="0"/>
    <x v="3"/>
  </r>
  <r>
    <x v="3"/>
    <n v="144530.35"/>
    <x v="823"/>
    <d v="2020-08-04T00:00:00"/>
    <x v="9"/>
    <x v="9"/>
    <x v="3"/>
    <x v="33"/>
    <x v="1"/>
    <s v="63-1220717"/>
    <m/>
    <n v="202008"/>
    <x v="5"/>
    <x v="0"/>
    <x v="5"/>
  </r>
  <r>
    <x v="0"/>
    <n v="45261.84"/>
    <x v="824"/>
    <d v="2020-11-21T00:00:00"/>
    <x v="3"/>
    <x v="11"/>
    <x v="0"/>
    <x v="0"/>
    <x v="1"/>
    <s v="40-0265810"/>
    <m/>
    <n v="202011"/>
    <x v="8"/>
    <x v="0"/>
    <x v="8"/>
  </r>
  <r>
    <x v="8"/>
    <n v="105277.2"/>
    <x v="825"/>
    <d v="2019-11-21T00:00:00"/>
    <x v="0"/>
    <x v="30"/>
    <x v="8"/>
    <x v="17"/>
    <x v="1"/>
    <s v="56-6094665"/>
    <m/>
    <n v="201911"/>
    <x v="8"/>
    <x v="1"/>
    <x v="8"/>
  </r>
  <r>
    <x v="13"/>
    <n v="65822.05"/>
    <x v="826"/>
    <d v="2020-11-11T00:00:00"/>
    <x v="2"/>
    <x v="22"/>
    <x v="13"/>
    <x v="30"/>
    <x v="1"/>
    <s v="75-3776704"/>
    <m/>
    <n v="202011"/>
    <x v="8"/>
    <x v="0"/>
    <x v="8"/>
  </r>
  <r>
    <x v="5"/>
    <n v="78540.62"/>
    <x v="827"/>
    <d v="2019-10-08T00:00:00"/>
    <x v="2"/>
    <x v="19"/>
    <x v="5"/>
    <x v="20"/>
    <x v="1"/>
    <s v="55-1050582"/>
    <m/>
    <n v="201910"/>
    <x v="11"/>
    <x v="1"/>
    <x v="11"/>
  </r>
  <r>
    <x v="10"/>
    <n v="37636.910000000003"/>
    <x v="828"/>
    <d v="2020-03-16T00:00:00"/>
    <x v="5"/>
    <x v="42"/>
    <x v="10"/>
    <x v="22"/>
    <x v="0"/>
    <s v="78-8602908"/>
    <m/>
    <n v="202003"/>
    <x v="10"/>
    <x v="0"/>
    <x v="10"/>
  </r>
  <r>
    <x v="2"/>
    <n v="138127.81"/>
    <x v="829"/>
    <d v="2020-05-24T00:00:00"/>
    <x v="5"/>
    <x v="27"/>
    <x v="2"/>
    <x v="12"/>
    <x v="1"/>
    <s v="30-3460885"/>
    <m/>
    <n v="202005"/>
    <x v="6"/>
    <x v="0"/>
    <x v="6"/>
  </r>
  <r>
    <x v="11"/>
    <n v="37892.58"/>
    <x v="830"/>
    <d v="2019-01-21T00:00:00"/>
    <x v="8"/>
    <x v="4"/>
    <x v="11"/>
    <x v="27"/>
    <x v="1"/>
    <s v="59-0348389"/>
    <m/>
    <n v="201901"/>
    <x v="7"/>
    <x v="1"/>
    <x v="7"/>
  </r>
  <r>
    <x v="8"/>
    <n v="65329.65"/>
    <x v="831"/>
    <d v="2020-02-26T00:00:00"/>
    <x v="2"/>
    <x v="33"/>
    <x v="8"/>
    <x v="17"/>
    <x v="0"/>
    <s v="91-7447818"/>
    <m/>
    <n v="202002"/>
    <x v="0"/>
    <x v="0"/>
    <x v="0"/>
  </r>
  <r>
    <x v="5"/>
    <n v="167072.72"/>
    <x v="832"/>
    <d v="2019-10-21T00:00:00"/>
    <x v="2"/>
    <x v="41"/>
    <x v="5"/>
    <x v="21"/>
    <x v="1"/>
    <s v="37-6449638"/>
    <m/>
    <n v="201910"/>
    <x v="11"/>
    <x v="1"/>
    <x v="11"/>
  </r>
  <r>
    <x v="5"/>
    <n v="164243.32"/>
    <x v="833"/>
    <d v="2019-05-20T00:00:00"/>
    <x v="6"/>
    <x v="20"/>
    <x v="5"/>
    <x v="10"/>
    <x v="1"/>
    <s v="38-2806168"/>
    <m/>
    <n v="201905"/>
    <x v="6"/>
    <x v="1"/>
    <x v="6"/>
  </r>
  <r>
    <x v="5"/>
    <n v="174951.18"/>
    <x v="834"/>
    <d v="2019-09-18T00:00:00"/>
    <x v="2"/>
    <x v="11"/>
    <x v="5"/>
    <x v="10"/>
    <x v="0"/>
    <s v="09-7737652"/>
    <m/>
    <n v="201909"/>
    <x v="1"/>
    <x v="1"/>
    <x v="1"/>
  </r>
  <r>
    <x v="2"/>
    <n v="98521.87"/>
    <x v="835"/>
    <d v="2020-01-02T00:00:00"/>
    <x v="2"/>
    <x v="4"/>
    <x v="2"/>
    <x v="29"/>
    <x v="1"/>
    <s v="29-1727395"/>
    <m/>
    <n v="202001"/>
    <x v="7"/>
    <x v="0"/>
    <x v="7"/>
  </r>
  <r>
    <x v="2"/>
    <n v="69750.570000000007"/>
    <x v="836"/>
    <d v="2019-03-19T00:00:00"/>
    <x v="1"/>
    <x v="4"/>
    <x v="2"/>
    <x v="15"/>
    <x v="1"/>
    <s v="92-4695001"/>
    <m/>
    <n v="201903"/>
    <x v="10"/>
    <x v="1"/>
    <x v="10"/>
  </r>
  <r>
    <x v="2"/>
    <n v="129022.02"/>
    <x v="837"/>
    <d v="2020-06-20T00:00:00"/>
    <x v="8"/>
    <x v="32"/>
    <x v="2"/>
    <x v="12"/>
    <x v="1"/>
    <s v="51-2167412"/>
    <m/>
    <n v="202006"/>
    <x v="9"/>
    <x v="0"/>
    <x v="9"/>
  </r>
  <r>
    <x v="2"/>
    <n v="41805.53"/>
    <x v="838"/>
    <d v="2019-03-23T00:00:00"/>
    <x v="5"/>
    <x v="73"/>
    <x v="2"/>
    <x v="29"/>
    <x v="2"/>
    <s v="27-7169008"/>
    <m/>
    <n v="201903"/>
    <x v="10"/>
    <x v="1"/>
    <x v="10"/>
  </r>
  <r>
    <x v="1"/>
    <n v="145809.65"/>
    <x v="839"/>
    <d v="2019-07-30T00:00:00"/>
    <x v="5"/>
    <x v="41"/>
    <x v="1"/>
    <x v="31"/>
    <x v="1"/>
    <s v="96-5231814"/>
    <m/>
    <n v="201907"/>
    <x v="2"/>
    <x v="1"/>
    <x v="2"/>
  </r>
  <r>
    <x v="5"/>
    <n v="29443.71"/>
    <x v="840"/>
    <d v="2020-10-29T00:00:00"/>
    <x v="5"/>
    <x v="4"/>
    <x v="5"/>
    <x v="21"/>
    <x v="1"/>
    <s v="03-2027170"/>
    <m/>
    <n v="202010"/>
    <x v="11"/>
    <x v="0"/>
    <x v="11"/>
  </r>
  <r>
    <x v="0"/>
    <n v="138443.23000000001"/>
    <x v="841"/>
    <d v="2019-06-14T00:00:00"/>
    <x v="2"/>
    <x v="67"/>
    <x v="0"/>
    <x v="13"/>
    <x v="0"/>
    <s v="99-9599677"/>
    <m/>
    <n v="201906"/>
    <x v="9"/>
    <x v="1"/>
    <x v="9"/>
  </r>
  <r>
    <x v="4"/>
    <n v="102000.57"/>
    <x v="842"/>
    <d v="2020-03-17T00:00:00"/>
    <x v="1"/>
    <x v="15"/>
    <x v="4"/>
    <x v="8"/>
    <x v="1"/>
    <s v="22-0725785"/>
    <m/>
    <n v="202003"/>
    <x v="10"/>
    <x v="0"/>
    <x v="10"/>
  </r>
  <r>
    <x v="2"/>
    <n v="53181.88"/>
    <x v="843"/>
    <d v="2020-01-06T00:00:00"/>
    <x v="6"/>
    <x v="33"/>
    <x v="2"/>
    <x v="15"/>
    <x v="1"/>
    <s v="37-6033123"/>
    <m/>
    <n v="202001"/>
    <x v="7"/>
    <x v="0"/>
    <x v="7"/>
  </r>
  <r>
    <x v="2"/>
    <n v="99518.86"/>
    <x v="844"/>
    <d v="2019-03-12T00:00:00"/>
    <x v="0"/>
    <x v="46"/>
    <x v="2"/>
    <x v="12"/>
    <x v="1"/>
    <s v="29-5158368"/>
    <m/>
    <n v="201903"/>
    <x v="10"/>
    <x v="1"/>
    <x v="10"/>
  </r>
  <r>
    <x v="2"/>
    <n v="79288.03"/>
    <x v="845"/>
    <d v="2019-07-08T00:00:00"/>
    <x v="2"/>
    <x v="4"/>
    <x v="2"/>
    <x v="15"/>
    <x v="1"/>
    <s v="95-4281933"/>
    <m/>
    <n v="201907"/>
    <x v="2"/>
    <x v="1"/>
    <x v="2"/>
  </r>
  <r>
    <x v="5"/>
    <n v="111557.68"/>
    <x v="846"/>
    <d v="2020-02-15T00:00:00"/>
    <x v="0"/>
    <x v="3"/>
    <x v="5"/>
    <x v="20"/>
    <x v="1"/>
    <s v="61-0532585"/>
    <m/>
    <n v="202002"/>
    <x v="0"/>
    <x v="0"/>
    <x v="0"/>
  </r>
  <r>
    <x v="6"/>
    <n v="43008.69"/>
    <x v="847"/>
    <d v="2019-07-19T00:00:00"/>
    <x v="5"/>
    <x v="68"/>
    <x v="6"/>
    <x v="14"/>
    <x v="1"/>
    <s v="99-9093075"/>
    <m/>
    <n v="201907"/>
    <x v="2"/>
    <x v="1"/>
    <x v="2"/>
  </r>
  <r>
    <x v="5"/>
    <n v="154936.24"/>
    <x v="848"/>
    <d v="2020-06-29T00:00:00"/>
    <x v="0"/>
    <x v="21"/>
    <x v="5"/>
    <x v="21"/>
    <x v="1"/>
    <s v="65-2631885"/>
    <m/>
    <n v="202006"/>
    <x v="9"/>
    <x v="0"/>
    <x v="9"/>
  </r>
  <r>
    <x v="0"/>
    <n v="115339.49"/>
    <x v="849"/>
    <d v="2019-09-03T00:00:00"/>
    <x v="7"/>
    <x v="5"/>
    <x v="0"/>
    <x v="0"/>
    <x v="0"/>
    <s v="03-4651559"/>
    <m/>
    <n v="201909"/>
    <x v="1"/>
    <x v="1"/>
    <x v="1"/>
  </r>
  <r>
    <x v="5"/>
    <n v="65254.5"/>
    <x v="850"/>
    <d v="2019-06-17T00:00:00"/>
    <x v="1"/>
    <x v="12"/>
    <x v="5"/>
    <x v="7"/>
    <x v="1"/>
    <s v="91-6673445"/>
    <m/>
    <n v="201906"/>
    <x v="9"/>
    <x v="1"/>
    <x v="9"/>
  </r>
  <r>
    <x v="6"/>
    <n v="50241.47"/>
    <x v="851"/>
    <d v="2020-10-17T00:00:00"/>
    <x v="0"/>
    <x v="26"/>
    <x v="6"/>
    <x v="14"/>
    <x v="2"/>
    <s v="62-1501210"/>
    <m/>
    <n v="202010"/>
    <x v="11"/>
    <x v="0"/>
    <x v="11"/>
  </r>
  <r>
    <x v="4"/>
    <n v="304337.49"/>
    <x v="852"/>
    <d v="2019-12-04T00:00:00"/>
    <x v="2"/>
    <x v="31"/>
    <x v="4"/>
    <x v="8"/>
    <x v="1"/>
    <s v="29-0072186"/>
    <m/>
    <n v="201912"/>
    <x v="4"/>
    <x v="1"/>
    <x v="4"/>
  </r>
  <r>
    <x v="8"/>
    <n v="95960.77"/>
    <x v="853"/>
    <d v="2020-10-11T00:00:00"/>
    <x v="0"/>
    <x v="3"/>
    <x v="8"/>
    <x v="24"/>
    <x v="1"/>
    <s v="06-5115020"/>
    <m/>
    <n v="202010"/>
    <x v="11"/>
    <x v="0"/>
    <x v="11"/>
  </r>
  <r>
    <x v="0"/>
    <n v="152522.94"/>
    <x v="854"/>
    <d v="2020-04-11T00:00:00"/>
    <x v="7"/>
    <x v="48"/>
    <x v="0"/>
    <x v="0"/>
    <x v="1"/>
    <s v="22-6046651"/>
    <m/>
    <n v="202004"/>
    <x v="3"/>
    <x v="0"/>
    <x v="3"/>
  </r>
  <r>
    <x v="0"/>
    <n v="63196.98"/>
    <x v="855"/>
    <d v="2019-04-18T00:00:00"/>
    <x v="6"/>
    <x v="30"/>
    <x v="0"/>
    <x v="19"/>
    <x v="1"/>
    <s v="71-6499815"/>
    <m/>
    <n v="201904"/>
    <x v="3"/>
    <x v="1"/>
    <x v="3"/>
  </r>
  <r>
    <x v="0"/>
    <n v="83119.87"/>
    <x v="856"/>
    <d v="2019-01-29T00:00:00"/>
    <x v="2"/>
    <x v="41"/>
    <x v="0"/>
    <x v="13"/>
    <x v="1"/>
    <s v="81-1454737"/>
    <m/>
    <n v="201901"/>
    <x v="7"/>
    <x v="1"/>
    <x v="7"/>
  </r>
  <r>
    <x v="5"/>
    <n v="75483.45"/>
    <x v="857"/>
    <d v="2019-12-03T00:00:00"/>
    <x v="5"/>
    <x v="4"/>
    <x v="5"/>
    <x v="21"/>
    <x v="1"/>
    <s v="26-0092767"/>
    <m/>
    <n v="201912"/>
    <x v="4"/>
    <x v="1"/>
    <x v="4"/>
  </r>
  <r>
    <x v="11"/>
    <n v="65397.279999999999"/>
    <x v="858"/>
    <d v="2020-03-20T00:00:00"/>
    <x v="7"/>
    <x v="66"/>
    <x v="11"/>
    <x v="26"/>
    <x v="0"/>
    <s v="74-6211038"/>
    <m/>
    <n v="202003"/>
    <x v="10"/>
    <x v="0"/>
    <x v="10"/>
  </r>
  <r>
    <x v="5"/>
    <n v="48890.14"/>
    <x v="859"/>
    <d v="2019-05-20T00:00:00"/>
    <x v="2"/>
    <x v="4"/>
    <x v="5"/>
    <x v="21"/>
    <x v="1"/>
    <s v="85-5544928"/>
    <m/>
    <n v="201905"/>
    <x v="6"/>
    <x v="1"/>
    <x v="6"/>
  </r>
  <r>
    <x v="5"/>
    <n v="80839.75"/>
    <x v="860"/>
    <d v="2020-05-21T00:00:00"/>
    <x v="1"/>
    <x v="0"/>
    <x v="5"/>
    <x v="20"/>
    <x v="1"/>
    <s v="00-6227453"/>
    <m/>
    <n v="202005"/>
    <x v="6"/>
    <x v="0"/>
    <x v="6"/>
  </r>
  <r>
    <x v="11"/>
    <n v="79375.17"/>
    <x v="861"/>
    <d v="2020-02-09T00:00:00"/>
    <x v="3"/>
    <x v="3"/>
    <x v="11"/>
    <x v="26"/>
    <x v="0"/>
    <s v="70-5224180"/>
    <m/>
    <n v="202002"/>
    <x v="0"/>
    <x v="0"/>
    <x v="0"/>
  </r>
  <r>
    <x v="8"/>
    <n v="158011.29999999999"/>
    <x v="862"/>
    <d v="2019-11-27T00:00:00"/>
    <x v="3"/>
    <x v="16"/>
    <x v="8"/>
    <x v="24"/>
    <x v="1"/>
    <s v="40-8287610"/>
    <m/>
    <n v="201911"/>
    <x v="8"/>
    <x v="1"/>
    <x v="8"/>
  </r>
  <r>
    <x v="2"/>
    <n v="155766.23000000001"/>
    <x v="863"/>
    <d v="2020-05-27T00:00:00"/>
    <x v="1"/>
    <x v="56"/>
    <x v="2"/>
    <x v="3"/>
    <x v="1"/>
    <s v="49-7876403"/>
    <m/>
    <n v="202005"/>
    <x v="6"/>
    <x v="0"/>
    <x v="6"/>
  </r>
  <r>
    <x v="5"/>
    <n v="19366.75"/>
    <x v="864"/>
    <d v="2020-03-28T00:00:00"/>
    <x v="1"/>
    <x v="10"/>
    <x v="5"/>
    <x v="23"/>
    <x v="1"/>
    <s v="01-6107437"/>
    <m/>
    <n v="202003"/>
    <x v="10"/>
    <x v="0"/>
    <x v="10"/>
  </r>
  <r>
    <x v="5"/>
    <n v="45481.24"/>
    <x v="865"/>
    <d v="2019-10-25T00:00:00"/>
    <x v="6"/>
    <x v="25"/>
    <x v="5"/>
    <x v="20"/>
    <x v="1"/>
    <s v="13-6163562"/>
    <m/>
    <n v="201910"/>
    <x v="11"/>
    <x v="1"/>
    <x v="11"/>
  </r>
  <r>
    <x v="0"/>
    <n v="152747.92000000001"/>
    <x v="866"/>
    <d v="2020-05-03T00:00:00"/>
    <x v="5"/>
    <x v="17"/>
    <x v="0"/>
    <x v="9"/>
    <x v="1"/>
    <s v="41-0722740"/>
    <m/>
    <n v="202005"/>
    <x v="6"/>
    <x v="0"/>
    <x v="6"/>
  </r>
  <r>
    <x v="0"/>
    <n v="255216"/>
    <x v="867"/>
    <d v="2019-12-28T00:00:00"/>
    <x v="2"/>
    <x v="16"/>
    <x v="0"/>
    <x v="25"/>
    <x v="1"/>
    <s v="65-4008552"/>
    <m/>
    <n v="201912"/>
    <x v="4"/>
    <x v="1"/>
    <x v="4"/>
  </r>
  <r>
    <x v="2"/>
    <n v="154858"/>
    <x v="868"/>
    <d v="2020-07-22T00:00:00"/>
    <x v="1"/>
    <x v="46"/>
    <x v="2"/>
    <x v="2"/>
    <x v="1"/>
    <s v="72-4825752"/>
    <m/>
    <n v="202007"/>
    <x v="2"/>
    <x v="0"/>
    <x v="2"/>
  </r>
  <r>
    <x v="5"/>
    <n v="250488.42"/>
    <x v="869"/>
    <d v="2020-06-13T00:00:00"/>
    <x v="5"/>
    <x v="0"/>
    <x v="5"/>
    <x v="10"/>
    <x v="1"/>
    <s v="18-2580592"/>
    <m/>
    <n v="202006"/>
    <x v="9"/>
    <x v="0"/>
    <x v="9"/>
  </r>
  <r>
    <x v="0"/>
    <n v="115151.22"/>
    <x v="870"/>
    <d v="2020-10-25T00:00:00"/>
    <x v="5"/>
    <x v="5"/>
    <x v="0"/>
    <x v="0"/>
    <x v="1"/>
    <s v="14-1283254"/>
    <m/>
    <n v="202010"/>
    <x v="11"/>
    <x v="0"/>
    <x v="11"/>
  </r>
  <r>
    <x v="0"/>
    <n v="57347.48"/>
    <x v="871"/>
    <d v="2020-08-12T00:00:00"/>
    <x v="3"/>
    <x v="4"/>
    <x v="0"/>
    <x v="0"/>
    <x v="1"/>
    <s v="79-4826735"/>
    <m/>
    <n v="202008"/>
    <x v="5"/>
    <x v="0"/>
    <x v="5"/>
  </r>
  <r>
    <x v="2"/>
    <n v="74790.02"/>
    <x v="872"/>
    <d v="2020-06-19T00:00:00"/>
    <x v="3"/>
    <x v="51"/>
    <x v="2"/>
    <x v="12"/>
    <x v="1"/>
    <s v="82-2840501"/>
    <m/>
    <n v="202006"/>
    <x v="9"/>
    <x v="0"/>
    <x v="9"/>
  </r>
  <r>
    <x v="5"/>
    <n v="72749.070000000007"/>
    <x v="873"/>
    <d v="2019-01-20T00:00:00"/>
    <x v="6"/>
    <x v="4"/>
    <x v="5"/>
    <x v="10"/>
    <x v="1"/>
    <s v="19-0320558"/>
    <m/>
    <n v="201901"/>
    <x v="7"/>
    <x v="1"/>
    <x v="7"/>
  </r>
  <r>
    <x v="8"/>
    <n v="128235.65"/>
    <x v="874"/>
    <d v="2020-09-20T00:00:00"/>
    <x v="0"/>
    <x v="46"/>
    <x v="8"/>
    <x v="17"/>
    <x v="1"/>
    <s v="57-0945292"/>
    <m/>
    <n v="202009"/>
    <x v="1"/>
    <x v="0"/>
    <x v="1"/>
  </r>
  <r>
    <x v="0"/>
    <n v="79088.7"/>
    <x v="875"/>
    <d v="2020-05-24T00:00:00"/>
    <x v="3"/>
    <x v="40"/>
    <x v="0"/>
    <x v="25"/>
    <x v="1"/>
    <s v="01-6573793"/>
    <m/>
    <n v="202005"/>
    <x v="6"/>
    <x v="0"/>
    <x v="6"/>
  </r>
  <r>
    <x v="4"/>
    <n v="124537.47"/>
    <x v="876"/>
    <d v="2019-09-24T00:00:00"/>
    <x v="2"/>
    <x v="1"/>
    <x v="4"/>
    <x v="6"/>
    <x v="1"/>
    <s v="63-0694419"/>
    <m/>
    <n v="201909"/>
    <x v="1"/>
    <x v="1"/>
    <x v="1"/>
  </r>
  <r>
    <x v="0"/>
    <n v="161192.45000000001"/>
    <x v="877"/>
    <d v="2019-07-04T00:00:00"/>
    <x v="2"/>
    <x v="10"/>
    <x v="0"/>
    <x v="25"/>
    <x v="1"/>
    <s v="24-2442637"/>
    <m/>
    <n v="201907"/>
    <x v="2"/>
    <x v="1"/>
    <x v="2"/>
  </r>
  <r>
    <x v="5"/>
    <n v="109697.86"/>
    <x v="878"/>
    <d v="2019-07-24T00:00:00"/>
    <x v="3"/>
    <x v="19"/>
    <x v="5"/>
    <x v="20"/>
    <x v="1"/>
    <s v="04-8899739"/>
    <m/>
    <n v="201907"/>
    <x v="2"/>
    <x v="1"/>
    <x v="2"/>
  </r>
  <r>
    <x v="5"/>
    <n v="57276.26"/>
    <x v="879"/>
    <d v="2020-04-04T00:00:00"/>
    <x v="5"/>
    <x v="4"/>
    <x v="5"/>
    <x v="10"/>
    <x v="1"/>
    <s v="48-2932903"/>
    <m/>
    <n v="202004"/>
    <x v="3"/>
    <x v="0"/>
    <x v="3"/>
  </r>
  <r>
    <x v="6"/>
    <n v="149956.93"/>
    <x v="880"/>
    <d v="2020-10-08T00:00:00"/>
    <x v="1"/>
    <x v="30"/>
    <x v="6"/>
    <x v="14"/>
    <x v="1"/>
    <s v="66-0265458"/>
    <m/>
    <n v="202010"/>
    <x v="11"/>
    <x v="0"/>
    <x v="11"/>
  </r>
  <r>
    <x v="10"/>
    <n v="127075.41"/>
    <x v="881"/>
    <d v="2019-09-24T00:00:00"/>
    <x v="2"/>
    <x v="24"/>
    <x v="10"/>
    <x v="22"/>
    <x v="1"/>
    <s v="57-6602854"/>
    <m/>
    <n v="201909"/>
    <x v="1"/>
    <x v="1"/>
    <x v="1"/>
  </r>
  <r>
    <x v="0"/>
    <n v="28755.32"/>
    <x v="882"/>
    <d v="2019-10-10T00:00:00"/>
    <x v="0"/>
    <x v="18"/>
    <x v="0"/>
    <x v="0"/>
    <x v="1"/>
    <s v="47-6702070"/>
    <m/>
    <n v="201910"/>
    <x v="11"/>
    <x v="1"/>
    <x v="11"/>
  </r>
  <r>
    <x v="2"/>
    <n v="178027.46"/>
    <x v="883"/>
    <d v="2020-01-04T00:00:00"/>
    <x v="5"/>
    <x v="10"/>
    <x v="2"/>
    <x v="12"/>
    <x v="1"/>
    <s v="99-9215178"/>
    <m/>
    <n v="202001"/>
    <x v="7"/>
    <x v="0"/>
    <x v="7"/>
  </r>
  <r>
    <x v="8"/>
    <n v="152231.85999999999"/>
    <x v="884"/>
    <d v="2019-05-08T00:00:00"/>
    <x v="6"/>
    <x v="37"/>
    <x v="8"/>
    <x v="17"/>
    <x v="1"/>
    <s v="39-5953116"/>
    <m/>
    <n v="201905"/>
    <x v="6"/>
    <x v="1"/>
    <x v="6"/>
  </r>
  <r>
    <x v="0"/>
    <n v="53957.42"/>
    <x v="885"/>
    <d v="2019-05-25T00:00:00"/>
    <x v="6"/>
    <x v="4"/>
    <x v="0"/>
    <x v="19"/>
    <x v="1"/>
    <s v="71-3278650"/>
    <m/>
    <n v="201905"/>
    <x v="6"/>
    <x v="1"/>
    <x v="6"/>
  </r>
  <r>
    <x v="2"/>
    <n v="80474.78"/>
    <x v="886"/>
    <d v="2019-05-22T00:00:00"/>
    <x v="2"/>
    <x v="5"/>
    <x v="2"/>
    <x v="15"/>
    <x v="1"/>
    <s v="38-6891011"/>
    <m/>
    <n v="201905"/>
    <x v="6"/>
    <x v="1"/>
    <x v="6"/>
  </r>
  <r>
    <x v="8"/>
    <n v="145439.65"/>
    <x v="887"/>
    <d v="2020-10-03T00:00:00"/>
    <x v="6"/>
    <x v="61"/>
    <x v="8"/>
    <x v="24"/>
    <x v="1"/>
    <s v="06-5566367"/>
    <m/>
    <n v="202010"/>
    <x v="11"/>
    <x v="0"/>
    <x v="11"/>
  </r>
  <r>
    <x v="5"/>
    <n v="84035.82"/>
    <x v="888"/>
    <d v="2020-10-27T00:00:00"/>
    <x v="0"/>
    <x v="4"/>
    <x v="5"/>
    <x v="7"/>
    <x v="2"/>
    <s v="30-9025281"/>
    <m/>
    <n v="202010"/>
    <x v="11"/>
    <x v="0"/>
    <x v="11"/>
  </r>
  <r>
    <x v="3"/>
    <n v="68288.679999999993"/>
    <x v="889"/>
    <d v="2020-09-27T00:00:00"/>
    <x v="3"/>
    <x v="4"/>
    <x v="3"/>
    <x v="4"/>
    <x v="1"/>
    <s v="80-4161102"/>
    <m/>
    <n v="202009"/>
    <x v="1"/>
    <x v="0"/>
    <x v="1"/>
  </r>
  <r>
    <x v="0"/>
    <n v="100578.6"/>
    <x v="890"/>
    <d v="2019-01-14T00:00:00"/>
    <x v="8"/>
    <x v="24"/>
    <x v="0"/>
    <x v="19"/>
    <x v="1"/>
    <s v="96-1388247"/>
    <m/>
    <n v="201901"/>
    <x v="7"/>
    <x v="1"/>
    <x v="7"/>
  </r>
  <r>
    <x v="5"/>
    <n v="94925"/>
    <x v="891"/>
    <d v="2019-09-30T00:00:00"/>
    <x v="4"/>
    <x v="6"/>
    <x v="5"/>
    <x v="23"/>
    <x v="0"/>
    <s v="21-2097342"/>
    <m/>
    <n v="201909"/>
    <x v="1"/>
    <x v="1"/>
    <x v="1"/>
  </r>
  <r>
    <x v="5"/>
    <n v="105464.41"/>
    <x v="892"/>
    <d v="2019-08-27T00:00:00"/>
    <x v="0"/>
    <x v="26"/>
    <x v="5"/>
    <x v="23"/>
    <x v="1"/>
    <s v="30-4045249"/>
    <m/>
    <n v="201908"/>
    <x v="5"/>
    <x v="1"/>
    <x v="5"/>
  </r>
  <r>
    <x v="5"/>
    <n v="155827.29999999999"/>
    <x v="893"/>
    <d v="2019-04-30T00:00:00"/>
    <x v="5"/>
    <x v="1"/>
    <x v="5"/>
    <x v="23"/>
    <x v="2"/>
    <s v="31-9806848"/>
    <m/>
    <n v="201904"/>
    <x v="3"/>
    <x v="1"/>
    <x v="3"/>
  </r>
  <r>
    <x v="2"/>
    <n v="90994.31"/>
    <x v="894"/>
    <d v="2020-05-09T00:00:00"/>
    <x v="8"/>
    <x v="38"/>
    <x v="2"/>
    <x v="29"/>
    <x v="1"/>
    <s v="09-7835975"/>
    <m/>
    <n v="202005"/>
    <x v="6"/>
    <x v="0"/>
    <x v="6"/>
  </r>
  <r>
    <x v="2"/>
    <n v="32779.67"/>
    <x v="895"/>
    <d v="2020-03-22T00:00:00"/>
    <x v="7"/>
    <x v="49"/>
    <x v="2"/>
    <x v="3"/>
    <x v="1"/>
    <s v="16-9758497"/>
    <m/>
    <n v="202003"/>
    <x v="10"/>
    <x v="0"/>
    <x v="10"/>
  </r>
  <r>
    <x v="8"/>
    <n v="40187.99"/>
    <x v="896"/>
    <d v="2020-05-22T00:00:00"/>
    <x v="1"/>
    <x v="21"/>
    <x v="8"/>
    <x v="17"/>
    <x v="1"/>
    <s v="54-1058965"/>
    <m/>
    <n v="202005"/>
    <x v="6"/>
    <x v="0"/>
    <x v="6"/>
  </r>
  <r>
    <x v="4"/>
    <n v="91842.59"/>
    <x v="897"/>
    <d v="2019-03-29T00:00:00"/>
    <x v="1"/>
    <x v="55"/>
    <x v="4"/>
    <x v="8"/>
    <x v="1"/>
    <s v="84-0565956"/>
    <m/>
    <n v="201903"/>
    <x v="10"/>
    <x v="1"/>
    <x v="10"/>
  </r>
  <r>
    <x v="2"/>
    <n v="38494.71"/>
    <x v="898"/>
    <d v="2019-02-04T00:00:00"/>
    <x v="1"/>
    <x v="10"/>
    <x v="2"/>
    <x v="15"/>
    <x v="1"/>
    <s v="85-6263705"/>
    <m/>
    <n v="201902"/>
    <x v="0"/>
    <x v="1"/>
    <x v="0"/>
  </r>
  <r>
    <x v="5"/>
    <n v="86050.61"/>
    <x v="899"/>
    <d v="2020-09-03T00:00:00"/>
    <x v="2"/>
    <x v="47"/>
    <x v="5"/>
    <x v="20"/>
    <x v="1"/>
    <s v="46-4560578"/>
    <m/>
    <n v="202009"/>
    <x v="1"/>
    <x v="0"/>
    <x v="1"/>
  </r>
  <r>
    <x v="0"/>
    <n v="36749.51"/>
    <x v="900"/>
    <d v="2020-10-15T00:00:00"/>
    <x v="1"/>
    <x v="1"/>
    <x v="0"/>
    <x v="0"/>
    <x v="1"/>
    <s v="08-5093310"/>
    <m/>
    <n v="202010"/>
    <x v="11"/>
    <x v="0"/>
    <x v="11"/>
  </r>
  <r>
    <x v="1"/>
    <n v="194531.02"/>
    <x v="901"/>
    <d v="2019-07-09T00:00:00"/>
    <x v="2"/>
    <x v="5"/>
    <x v="1"/>
    <x v="31"/>
    <x v="2"/>
    <s v="21-8525376"/>
    <m/>
    <n v="201907"/>
    <x v="2"/>
    <x v="1"/>
    <x v="2"/>
  </r>
  <r>
    <x v="5"/>
    <n v="106730.16"/>
    <x v="902"/>
    <d v="2020-07-30T00:00:00"/>
    <x v="3"/>
    <x v="5"/>
    <x v="5"/>
    <x v="21"/>
    <x v="1"/>
    <s v="60-0406937"/>
    <m/>
    <n v="202007"/>
    <x v="2"/>
    <x v="0"/>
    <x v="2"/>
  </r>
  <r>
    <x v="12"/>
    <n v="30177.8"/>
    <x v="903"/>
    <d v="2020-10-06T00:00:00"/>
    <x v="8"/>
    <x v="36"/>
    <x v="12"/>
    <x v="28"/>
    <x v="0"/>
    <s v="61-4937643"/>
    <m/>
    <n v="202010"/>
    <x v="11"/>
    <x v="0"/>
    <x v="11"/>
  </r>
  <r>
    <x v="2"/>
    <n v="93902.04"/>
    <x v="904"/>
    <d v="2020-03-01T00:00:00"/>
    <x v="2"/>
    <x v="11"/>
    <x v="2"/>
    <x v="3"/>
    <x v="1"/>
    <s v="94-3251589"/>
    <m/>
    <n v="202003"/>
    <x v="10"/>
    <x v="0"/>
    <x v="10"/>
  </r>
  <r>
    <x v="12"/>
    <n v="250483.63"/>
    <x v="905"/>
    <d v="2020-07-03T00:00:00"/>
    <x v="4"/>
    <x v="19"/>
    <x v="12"/>
    <x v="28"/>
    <x v="0"/>
    <s v="48-2124998"/>
    <m/>
    <n v="202007"/>
    <x v="2"/>
    <x v="0"/>
    <x v="2"/>
  </r>
  <r>
    <x v="0"/>
    <n v="162142.74"/>
    <x v="906"/>
    <d v="2019-01-29T00:00:00"/>
    <x v="2"/>
    <x v="20"/>
    <x v="0"/>
    <x v="13"/>
    <x v="1"/>
    <s v="19-1017922"/>
    <m/>
    <n v="201901"/>
    <x v="7"/>
    <x v="1"/>
    <x v="7"/>
  </r>
  <r>
    <x v="13"/>
    <n v="47516.54"/>
    <x v="907"/>
    <d v="2020-01-09T00:00:00"/>
    <x v="0"/>
    <x v="4"/>
    <x v="13"/>
    <x v="34"/>
    <x v="1"/>
    <s v="51-1141675"/>
    <m/>
    <n v="202001"/>
    <x v="7"/>
    <x v="0"/>
    <x v="7"/>
  </r>
  <r>
    <x v="12"/>
    <n v="163546.81"/>
    <x v="908"/>
    <d v="2019-05-07T00:00:00"/>
    <x v="8"/>
    <x v="52"/>
    <x v="12"/>
    <x v="28"/>
    <x v="1"/>
    <s v="94-2134593"/>
    <m/>
    <n v="201905"/>
    <x v="6"/>
    <x v="1"/>
    <x v="6"/>
  </r>
  <r>
    <x v="5"/>
    <n v="35437.89"/>
    <x v="909"/>
    <d v="2020-02-03T00:00:00"/>
    <x v="2"/>
    <x v="60"/>
    <x v="5"/>
    <x v="21"/>
    <x v="1"/>
    <s v="82-0616982"/>
    <m/>
    <n v="202002"/>
    <x v="0"/>
    <x v="0"/>
    <x v="0"/>
  </r>
  <r>
    <x v="7"/>
    <n v="122889.28"/>
    <x v="910"/>
    <d v="2020-11-27T00:00:00"/>
    <x v="6"/>
    <x v="24"/>
    <x v="7"/>
    <x v="16"/>
    <x v="1"/>
    <s v="22-5761330"/>
    <m/>
    <n v="202011"/>
    <x v="8"/>
    <x v="0"/>
    <x v="8"/>
  </r>
  <r>
    <x v="9"/>
    <n v="26490.47"/>
    <x v="911"/>
    <d v="2019-11-04T00:00:00"/>
    <x v="5"/>
    <x v="3"/>
    <x v="9"/>
    <x v="18"/>
    <x v="1"/>
    <s v="62-1694462"/>
    <m/>
    <n v="201911"/>
    <x v="8"/>
    <x v="1"/>
    <x v="8"/>
  </r>
  <r>
    <x v="4"/>
    <n v="173722.59"/>
    <x v="912"/>
    <d v="2019-04-09T00:00:00"/>
    <x v="1"/>
    <x v="50"/>
    <x v="4"/>
    <x v="11"/>
    <x v="1"/>
    <s v="66-2612057"/>
    <m/>
    <n v="201904"/>
    <x v="3"/>
    <x v="1"/>
    <x v="3"/>
  </r>
  <r>
    <x v="5"/>
    <n v="76543.360000000001"/>
    <x v="913"/>
    <d v="2019-03-21T00:00:00"/>
    <x v="4"/>
    <x v="7"/>
    <x v="5"/>
    <x v="21"/>
    <x v="1"/>
    <s v="01-7655863"/>
    <m/>
    <n v="201903"/>
    <x v="10"/>
    <x v="1"/>
    <x v="10"/>
  </r>
  <r>
    <x v="0"/>
    <n v="69626.39"/>
    <x v="914"/>
    <d v="2019-06-15T00:00:00"/>
    <x v="8"/>
    <x v="27"/>
    <x v="0"/>
    <x v="0"/>
    <x v="1"/>
    <s v="06-2196763"/>
    <m/>
    <n v="201906"/>
    <x v="9"/>
    <x v="1"/>
    <x v="9"/>
  </r>
  <r>
    <x v="5"/>
    <n v="249915.21"/>
    <x v="915"/>
    <d v="2020-12-15T00:00:00"/>
    <x v="5"/>
    <x v="17"/>
    <x v="5"/>
    <x v="20"/>
    <x v="1"/>
    <s v="84-4465649"/>
    <m/>
    <n v="202012"/>
    <x v="4"/>
    <x v="0"/>
    <x v="4"/>
  </r>
  <r>
    <x v="2"/>
    <n v="55790.71"/>
    <x v="916"/>
    <d v="2020-10-08T00:00:00"/>
    <x v="5"/>
    <x v="4"/>
    <x v="2"/>
    <x v="12"/>
    <x v="1"/>
    <s v="63-6767584"/>
    <m/>
    <n v="202010"/>
    <x v="11"/>
    <x v="0"/>
    <x v="11"/>
  </r>
  <r>
    <x v="6"/>
    <n v="77896.83"/>
    <x v="917"/>
    <d v="2020-03-13T00:00:00"/>
    <x v="2"/>
    <x v="23"/>
    <x v="6"/>
    <x v="14"/>
    <x v="1"/>
    <s v="75-7443241"/>
    <m/>
    <n v="202003"/>
    <x v="10"/>
    <x v="0"/>
    <x v="10"/>
  </r>
  <r>
    <x v="2"/>
    <n v="104391.93"/>
    <x v="918"/>
    <d v="2020-01-04T00:00:00"/>
    <x v="3"/>
    <x v="18"/>
    <x v="2"/>
    <x v="29"/>
    <x v="1"/>
    <s v="34-8182639"/>
    <m/>
    <n v="202001"/>
    <x v="7"/>
    <x v="0"/>
    <x v="7"/>
  </r>
  <r>
    <x v="2"/>
    <n v="57115.99"/>
    <x v="919"/>
    <d v="2019-03-27T00:00:00"/>
    <x v="0"/>
    <x v="74"/>
    <x v="2"/>
    <x v="3"/>
    <x v="0"/>
    <s v="53-3803984"/>
    <m/>
    <n v="201903"/>
    <x v="10"/>
    <x v="1"/>
    <x v="10"/>
  </r>
  <r>
    <x v="5"/>
    <n v="74685.850000000006"/>
    <x v="920"/>
    <d v="2020-05-23T00:00:00"/>
    <x v="1"/>
    <x v="44"/>
    <x v="5"/>
    <x v="23"/>
    <x v="1"/>
    <s v="68-0176456"/>
    <m/>
    <n v="202005"/>
    <x v="6"/>
    <x v="0"/>
    <x v="6"/>
  </r>
  <r>
    <x v="5"/>
    <n v="74103.820000000007"/>
    <x v="921"/>
    <d v="2020-01-02T00:00:00"/>
    <x v="5"/>
    <x v="4"/>
    <x v="5"/>
    <x v="21"/>
    <x v="1"/>
    <s v="63-7370049"/>
    <m/>
    <n v="202001"/>
    <x v="7"/>
    <x v="0"/>
    <x v="7"/>
  </r>
  <r>
    <x v="5"/>
    <n v="176190.16"/>
    <x v="922"/>
    <d v="2019-09-02T00:00:00"/>
    <x v="5"/>
    <x v="4"/>
    <x v="5"/>
    <x v="7"/>
    <x v="1"/>
    <s v="03-3461826"/>
    <m/>
    <n v="201909"/>
    <x v="1"/>
    <x v="1"/>
    <x v="1"/>
  </r>
  <r>
    <x v="0"/>
    <n v="185778.3"/>
    <x v="923"/>
    <d v="2020-06-25T00:00:00"/>
    <x v="8"/>
    <x v="16"/>
    <x v="0"/>
    <x v="25"/>
    <x v="1"/>
    <s v="76-5888381"/>
    <m/>
    <n v="202006"/>
    <x v="9"/>
    <x v="0"/>
    <x v="9"/>
  </r>
  <r>
    <x v="5"/>
    <n v="212521.26"/>
    <x v="924"/>
    <d v="2019-06-20T00:00:00"/>
    <x v="0"/>
    <x v="4"/>
    <x v="5"/>
    <x v="20"/>
    <x v="1"/>
    <s v="43-7357498"/>
    <m/>
    <n v="201906"/>
    <x v="9"/>
    <x v="1"/>
    <x v="9"/>
  </r>
  <r>
    <x v="5"/>
    <n v="40148.49"/>
    <x v="925"/>
    <d v="2019-02-02T00:00:00"/>
    <x v="8"/>
    <x v="48"/>
    <x v="5"/>
    <x v="10"/>
    <x v="1"/>
    <s v="88-8981595"/>
    <m/>
    <n v="201902"/>
    <x v="0"/>
    <x v="1"/>
    <x v="0"/>
  </r>
  <r>
    <x v="2"/>
    <n v="157942.65"/>
    <x v="926"/>
    <d v="2020-06-23T00:00:00"/>
    <x v="8"/>
    <x v="3"/>
    <x v="2"/>
    <x v="29"/>
    <x v="1"/>
    <s v="95-6123269"/>
    <m/>
    <n v="202006"/>
    <x v="9"/>
    <x v="0"/>
    <x v="9"/>
  </r>
  <r>
    <x v="6"/>
    <n v="172453.1"/>
    <x v="927"/>
    <d v="2020-06-24T00:00:00"/>
    <x v="7"/>
    <x v="20"/>
    <x v="6"/>
    <x v="14"/>
    <x v="1"/>
    <s v="60-6986682"/>
    <m/>
    <n v="202006"/>
    <x v="9"/>
    <x v="0"/>
    <x v="9"/>
  </r>
  <r>
    <x v="5"/>
    <n v="203604.46"/>
    <x v="928"/>
    <d v="2019-06-26T00:00:00"/>
    <x v="8"/>
    <x v="20"/>
    <x v="5"/>
    <x v="20"/>
    <x v="0"/>
    <s v="29-5478106"/>
    <m/>
    <n v="201906"/>
    <x v="9"/>
    <x v="1"/>
    <x v="9"/>
  </r>
  <r>
    <x v="0"/>
    <n v="251587.20000000001"/>
    <x v="929"/>
    <d v="2019-06-14T00:00:00"/>
    <x v="6"/>
    <x v="50"/>
    <x v="0"/>
    <x v="13"/>
    <x v="0"/>
    <s v="49-2256360"/>
    <m/>
    <n v="201906"/>
    <x v="9"/>
    <x v="1"/>
    <x v="9"/>
  </r>
  <r>
    <x v="0"/>
    <n v="19930.04"/>
    <x v="930"/>
    <d v="2019-03-09T00:00:00"/>
    <x v="6"/>
    <x v="4"/>
    <x v="0"/>
    <x v="9"/>
    <x v="2"/>
    <s v="59-2480731"/>
    <m/>
    <n v="201903"/>
    <x v="10"/>
    <x v="1"/>
    <x v="10"/>
  </r>
  <r>
    <x v="8"/>
    <n v="149372.32"/>
    <x v="931"/>
    <d v="2020-12-20T00:00:00"/>
    <x v="8"/>
    <x v="73"/>
    <x v="8"/>
    <x v="17"/>
    <x v="0"/>
    <s v="63-6848448"/>
    <m/>
    <n v="202012"/>
    <x v="4"/>
    <x v="0"/>
    <x v="4"/>
  </r>
  <r>
    <x v="0"/>
    <n v="25907.52"/>
    <x v="932"/>
    <d v="2019-02-19T00:00:00"/>
    <x v="0"/>
    <x v="5"/>
    <x v="0"/>
    <x v="13"/>
    <x v="1"/>
    <s v="14-5110197"/>
    <m/>
    <n v="201902"/>
    <x v="0"/>
    <x v="1"/>
    <x v="0"/>
  </r>
  <r>
    <x v="2"/>
    <n v="64762.89"/>
    <x v="933"/>
    <d v="2019-02-06T00:00:00"/>
    <x v="8"/>
    <x v="6"/>
    <x v="2"/>
    <x v="15"/>
    <x v="1"/>
    <s v="42-2646312"/>
    <m/>
    <n v="201902"/>
    <x v="0"/>
    <x v="1"/>
    <x v="0"/>
  </r>
  <r>
    <x v="1"/>
    <n v="65211.07"/>
    <x v="934"/>
    <d v="2020-10-28T00:00:00"/>
    <x v="1"/>
    <x v="1"/>
    <x v="1"/>
    <x v="31"/>
    <x v="1"/>
    <s v="60-8083173"/>
    <m/>
    <n v="202010"/>
    <x v="11"/>
    <x v="0"/>
    <x v="11"/>
  </r>
  <r>
    <x v="3"/>
    <n v="42475.6"/>
    <x v="935"/>
    <d v="2019-02-13T00:00:00"/>
    <x v="0"/>
    <x v="4"/>
    <x v="3"/>
    <x v="5"/>
    <x v="1"/>
    <s v="76-1827989"/>
    <m/>
    <n v="201902"/>
    <x v="0"/>
    <x v="1"/>
    <x v="0"/>
  </r>
  <r>
    <x v="2"/>
    <n v="172340.86"/>
    <x v="936"/>
    <d v="2020-04-09T00:00:00"/>
    <x v="3"/>
    <x v="54"/>
    <x v="2"/>
    <x v="15"/>
    <x v="1"/>
    <s v="36-4321653"/>
    <m/>
    <n v="202004"/>
    <x v="3"/>
    <x v="0"/>
    <x v="3"/>
  </r>
  <r>
    <x v="11"/>
    <n v="165709.19"/>
    <x v="937"/>
    <d v="2020-10-09T00:00:00"/>
    <x v="6"/>
    <x v="19"/>
    <x v="11"/>
    <x v="26"/>
    <x v="1"/>
    <s v="18-7046062"/>
    <m/>
    <n v="202010"/>
    <x v="11"/>
    <x v="0"/>
    <x v="11"/>
  </r>
  <r>
    <x v="10"/>
    <n v="118409.59"/>
    <x v="938"/>
    <d v="2020-10-06T00:00:00"/>
    <x v="1"/>
    <x v="39"/>
    <x v="10"/>
    <x v="22"/>
    <x v="1"/>
    <s v="73-4380400"/>
    <m/>
    <n v="202010"/>
    <x v="11"/>
    <x v="0"/>
    <x v="11"/>
  </r>
  <r>
    <x v="5"/>
    <n v="58416.11"/>
    <x v="939"/>
    <d v="2020-05-16T00:00:00"/>
    <x v="5"/>
    <x v="58"/>
    <x v="5"/>
    <x v="7"/>
    <x v="1"/>
    <s v="47-5051773"/>
    <m/>
    <n v="202005"/>
    <x v="6"/>
    <x v="0"/>
    <x v="6"/>
  </r>
  <r>
    <x v="5"/>
    <n v="78629.19"/>
    <x v="940"/>
    <d v="2019-02-21T00:00:00"/>
    <x v="5"/>
    <x v="4"/>
    <x v="5"/>
    <x v="10"/>
    <x v="0"/>
    <s v="92-3687989"/>
    <m/>
    <n v="201902"/>
    <x v="0"/>
    <x v="1"/>
    <x v="0"/>
  </r>
  <r>
    <x v="0"/>
    <n v="64842.92"/>
    <x v="941"/>
    <d v="2019-09-29T00:00:00"/>
    <x v="5"/>
    <x v="2"/>
    <x v="0"/>
    <x v="13"/>
    <x v="0"/>
    <s v="60-9753536"/>
    <m/>
    <n v="201909"/>
    <x v="1"/>
    <x v="1"/>
    <x v="1"/>
  </r>
  <r>
    <x v="7"/>
    <n v="76183.740000000005"/>
    <x v="942"/>
    <d v="2019-06-03T00:00:00"/>
    <x v="2"/>
    <x v="7"/>
    <x v="7"/>
    <x v="16"/>
    <x v="0"/>
    <s v="39-5658730"/>
    <m/>
    <n v="201906"/>
    <x v="9"/>
    <x v="1"/>
    <x v="9"/>
  </r>
  <r>
    <x v="0"/>
    <n v="131839.16"/>
    <x v="943"/>
    <d v="2020-04-27T00:00:00"/>
    <x v="0"/>
    <x v="40"/>
    <x v="0"/>
    <x v="0"/>
    <x v="1"/>
    <s v="73-8632957"/>
    <m/>
    <n v="202004"/>
    <x v="3"/>
    <x v="0"/>
    <x v="3"/>
  </r>
  <r>
    <x v="2"/>
    <n v="147092.62"/>
    <x v="944"/>
    <d v="2020-10-31T00:00:00"/>
    <x v="2"/>
    <x v="28"/>
    <x v="2"/>
    <x v="15"/>
    <x v="1"/>
    <s v="16-0987104"/>
    <m/>
    <n v="202010"/>
    <x v="11"/>
    <x v="0"/>
    <x v="11"/>
  </r>
  <r>
    <x v="1"/>
    <n v="62011.86"/>
    <x v="945"/>
    <d v="2019-01-17T00:00:00"/>
    <x v="3"/>
    <x v="4"/>
    <x v="1"/>
    <x v="31"/>
    <x v="2"/>
    <s v="76-0164425"/>
    <m/>
    <n v="201901"/>
    <x v="7"/>
    <x v="1"/>
    <x v="7"/>
  </r>
  <r>
    <x v="2"/>
    <n v="56763.040000000001"/>
    <x v="946"/>
    <d v="2019-08-11T00:00:00"/>
    <x v="6"/>
    <x v="20"/>
    <x v="2"/>
    <x v="3"/>
    <x v="0"/>
    <s v="87-7908481"/>
    <m/>
    <n v="201908"/>
    <x v="5"/>
    <x v="1"/>
    <x v="5"/>
  </r>
  <r>
    <x v="2"/>
    <n v="78057.960000000006"/>
    <x v="947"/>
    <d v="2020-11-29T00:00:00"/>
    <x v="3"/>
    <x v="9"/>
    <x v="2"/>
    <x v="15"/>
    <x v="2"/>
    <s v="30-7149594"/>
    <m/>
    <n v="202011"/>
    <x v="8"/>
    <x v="0"/>
    <x v="8"/>
  </r>
  <r>
    <x v="4"/>
    <n v="96358.45"/>
    <x v="948"/>
    <d v="2019-06-12T00:00:00"/>
    <x v="7"/>
    <x v="68"/>
    <x v="4"/>
    <x v="8"/>
    <x v="1"/>
    <s v="75-7848944"/>
    <m/>
    <n v="201906"/>
    <x v="9"/>
    <x v="1"/>
    <x v="9"/>
  </r>
  <r>
    <x v="5"/>
    <n v="40535.64"/>
    <x v="949"/>
    <d v="2019-01-13T00:00:00"/>
    <x v="8"/>
    <x v="49"/>
    <x v="5"/>
    <x v="20"/>
    <x v="1"/>
    <s v="72-2796883"/>
    <m/>
    <n v="201901"/>
    <x v="7"/>
    <x v="1"/>
    <x v="7"/>
  </r>
  <r>
    <x v="5"/>
    <n v="96795.99"/>
    <x v="950"/>
    <d v="2019-06-21T00:00:00"/>
    <x v="5"/>
    <x v="63"/>
    <x v="5"/>
    <x v="23"/>
    <x v="1"/>
    <s v="32-3124563"/>
    <m/>
    <n v="201906"/>
    <x v="9"/>
    <x v="1"/>
    <x v="9"/>
  </r>
  <r>
    <x v="2"/>
    <n v="122035.93"/>
    <x v="951"/>
    <d v="2020-06-21T00:00:00"/>
    <x v="4"/>
    <x v="2"/>
    <x v="2"/>
    <x v="3"/>
    <x v="1"/>
    <s v="83-7592334"/>
    <m/>
    <n v="202006"/>
    <x v="9"/>
    <x v="0"/>
    <x v="9"/>
  </r>
  <r>
    <x v="0"/>
    <n v="89502.53"/>
    <x v="952"/>
    <d v="2020-10-31T00:00:00"/>
    <x v="2"/>
    <x v="65"/>
    <x v="0"/>
    <x v="25"/>
    <x v="1"/>
    <s v="61-3721294"/>
    <m/>
    <n v="202010"/>
    <x v="11"/>
    <x v="0"/>
    <x v="11"/>
  </r>
  <r>
    <x v="2"/>
    <n v="223233.32"/>
    <x v="953"/>
    <d v="2019-06-28T00:00:00"/>
    <x v="1"/>
    <x v="14"/>
    <x v="2"/>
    <x v="12"/>
    <x v="1"/>
    <s v="43-8355995"/>
    <m/>
    <n v="201906"/>
    <x v="9"/>
    <x v="1"/>
    <x v="9"/>
  </r>
  <r>
    <x v="1"/>
    <n v="33190.03"/>
    <x v="954"/>
    <d v="2020-08-18T00:00:00"/>
    <x v="8"/>
    <x v="60"/>
    <x v="1"/>
    <x v="1"/>
    <x v="2"/>
    <s v="49-2458036"/>
    <m/>
    <n v="202008"/>
    <x v="5"/>
    <x v="0"/>
    <x v="5"/>
  </r>
  <r>
    <x v="2"/>
    <n v="82357.570000000007"/>
    <x v="955"/>
    <d v="2019-02-19T00:00:00"/>
    <x v="0"/>
    <x v="49"/>
    <x v="2"/>
    <x v="3"/>
    <x v="1"/>
    <s v="13-9607758"/>
    <m/>
    <n v="201902"/>
    <x v="0"/>
    <x v="1"/>
    <x v="0"/>
  </r>
  <r>
    <x v="11"/>
    <n v="46857.77"/>
    <x v="956"/>
    <d v="2020-06-19T00:00:00"/>
    <x v="1"/>
    <x v="4"/>
    <x v="11"/>
    <x v="27"/>
    <x v="0"/>
    <s v="61-0888460"/>
    <m/>
    <n v="202006"/>
    <x v="9"/>
    <x v="0"/>
    <x v="9"/>
  </r>
  <r>
    <x v="4"/>
    <n v="178560.1"/>
    <x v="957"/>
    <d v="2020-07-02T00:00:00"/>
    <x v="0"/>
    <x v="41"/>
    <x v="4"/>
    <x v="6"/>
    <x v="0"/>
    <s v="25-2616039"/>
    <m/>
    <n v="202007"/>
    <x v="2"/>
    <x v="0"/>
    <x v="2"/>
  </r>
  <r>
    <x v="0"/>
    <n v="173944.47"/>
    <x v="958"/>
    <d v="2020-09-11T00:00:00"/>
    <x v="0"/>
    <x v="4"/>
    <x v="0"/>
    <x v="0"/>
    <x v="1"/>
    <s v="46-2962443"/>
    <m/>
    <n v="202009"/>
    <x v="1"/>
    <x v="0"/>
    <x v="1"/>
  </r>
  <r>
    <x v="4"/>
    <n v="176662.26"/>
    <x v="959"/>
    <d v="2020-06-28T00:00:00"/>
    <x v="8"/>
    <x v="21"/>
    <x v="4"/>
    <x v="8"/>
    <x v="1"/>
    <s v="44-9908550"/>
    <m/>
    <n v="202006"/>
    <x v="9"/>
    <x v="0"/>
    <x v="9"/>
  </r>
  <r>
    <x v="5"/>
    <n v="133754.65"/>
    <x v="960"/>
    <d v="2020-09-18T00:00:00"/>
    <x v="1"/>
    <x v="17"/>
    <x v="5"/>
    <x v="21"/>
    <x v="1"/>
    <s v="52-3150154"/>
    <m/>
    <n v="202009"/>
    <x v="1"/>
    <x v="0"/>
    <x v="1"/>
  </r>
  <r>
    <x v="8"/>
    <n v="159294.28"/>
    <x v="961"/>
    <d v="2020-08-09T00:00:00"/>
    <x v="2"/>
    <x v="27"/>
    <x v="8"/>
    <x v="17"/>
    <x v="1"/>
    <s v="37-9761957"/>
    <m/>
    <n v="202008"/>
    <x v="5"/>
    <x v="0"/>
    <x v="5"/>
  </r>
  <r>
    <x v="5"/>
    <n v="123562.02"/>
    <x v="962"/>
    <d v="2020-04-22T00:00:00"/>
    <x v="2"/>
    <x v="29"/>
    <x v="5"/>
    <x v="10"/>
    <x v="1"/>
    <s v="67-6072579"/>
    <m/>
    <n v="202004"/>
    <x v="3"/>
    <x v="0"/>
    <x v="3"/>
  </r>
  <r>
    <x v="5"/>
    <n v="33013.08"/>
    <x v="963"/>
    <d v="2020-11-28T00:00:00"/>
    <x v="8"/>
    <x v="14"/>
    <x v="5"/>
    <x v="10"/>
    <x v="1"/>
    <s v="89-0300778"/>
    <m/>
    <n v="202011"/>
    <x v="8"/>
    <x v="0"/>
    <x v="8"/>
  </r>
  <r>
    <x v="2"/>
    <n v="105340.85"/>
    <x v="964"/>
    <d v="2020-08-18T00:00:00"/>
    <x v="0"/>
    <x v="5"/>
    <x v="2"/>
    <x v="29"/>
    <x v="1"/>
    <s v="80-1894360"/>
    <m/>
    <n v="202008"/>
    <x v="5"/>
    <x v="0"/>
    <x v="5"/>
  </r>
  <r>
    <x v="3"/>
    <n v="127143.54"/>
    <x v="965"/>
    <d v="2019-10-03T00:00:00"/>
    <x v="8"/>
    <x v="18"/>
    <x v="3"/>
    <x v="4"/>
    <x v="1"/>
    <s v="58-2235320"/>
    <m/>
    <n v="201910"/>
    <x v="11"/>
    <x v="1"/>
    <x v="11"/>
  </r>
  <r>
    <x v="2"/>
    <n v="56570.64"/>
    <x v="966"/>
    <d v="2020-10-05T00:00:00"/>
    <x v="0"/>
    <x v="13"/>
    <x v="2"/>
    <x v="2"/>
    <x v="1"/>
    <s v="68-9875936"/>
    <m/>
    <n v="202010"/>
    <x v="11"/>
    <x v="0"/>
    <x v="11"/>
  </r>
  <r>
    <x v="5"/>
    <n v="75522.66"/>
    <x v="967"/>
    <d v="2019-03-13T00:00:00"/>
    <x v="6"/>
    <x v="51"/>
    <x v="5"/>
    <x v="20"/>
    <x v="1"/>
    <s v="75-8968627"/>
    <m/>
    <n v="201903"/>
    <x v="10"/>
    <x v="1"/>
    <x v="10"/>
  </r>
  <r>
    <x v="2"/>
    <n v="87085.71"/>
    <x v="968"/>
    <d v="2020-08-27T00:00:00"/>
    <x v="7"/>
    <x v="42"/>
    <x v="2"/>
    <x v="2"/>
    <x v="1"/>
    <s v="86-9456489"/>
    <m/>
    <n v="202008"/>
    <x v="5"/>
    <x v="0"/>
    <x v="5"/>
  </r>
  <r>
    <x v="4"/>
    <n v="290010.78999999998"/>
    <x v="969"/>
    <d v="2019-12-25T00:00:00"/>
    <x v="6"/>
    <x v="37"/>
    <x v="4"/>
    <x v="8"/>
    <x v="1"/>
    <s v="02-1124101"/>
    <m/>
    <n v="201912"/>
    <x v="4"/>
    <x v="1"/>
    <x v="4"/>
  </r>
  <r>
    <x v="9"/>
    <n v="256603.66"/>
    <x v="970"/>
    <d v="2019-07-27T00:00:00"/>
    <x v="6"/>
    <x v="41"/>
    <x v="9"/>
    <x v="18"/>
    <x v="2"/>
    <s v="85-9787047"/>
    <m/>
    <n v="201907"/>
    <x v="2"/>
    <x v="1"/>
    <x v="2"/>
  </r>
  <r>
    <x v="4"/>
    <n v="126074.62"/>
    <x v="971"/>
    <d v="2020-11-07T00:00:00"/>
    <x v="0"/>
    <x v="8"/>
    <x v="4"/>
    <x v="6"/>
    <x v="1"/>
    <s v="60-7663173"/>
    <m/>
    <n v="202011"/>
    <x v="8"/>
    <x v="0"/>
    <x v="8"/>
  </r>
  <r>
    <x v="0"/>
    <n v="94085.5"/>
    <x v="972"/>
    <d v="2020-01-19T00:00:00"/>
    <x v="8"/>
    <x v="38"/>
    <x v="0"/>
    <x v="19"/>
    <x v="1"/>
    <s v="34-1570975"/>
    <m/>
    <n v="202001"/>
    <x v="7"/>
    <x v="0"/>
    <x v="7"/>
  </r>
  <r>
    <x v="2"/>
    <n v="159216.47"/>
    <x v="973"/>
    <d v="2020-06-26T00:00:00"/>
    <x v="1"/>
    <x v="4"/>
    <x v="2"/>
    <x v="2"/>
    <x v="1"/>
    <s v="57-9765345"/>
    <m/>
    <n v="202006"/>
    <x v="9"/>
    <x v="0"/>
    <x v="9"/>
  </r>
  <r>
    <x v="2"/>
    <n v="74958.460000000006"/>
    <x v="974"/>
    <d v="2020-08-05T00:00:00"/>
    <x v="8"/>
    <x v="3"/>
    <x v="2"/>
    <x v="2"/>
    <x v="1"/>
    <s v="31-8846200"/>
    <m/>
    <n v="202008"/>
    <x v="5"/>
    <x v="0"/>
    <x v="5"/>
  </r>
  <r>
    <x v="0"/>
    <n v="83897.88"/>
    <x v="975"/>
    <d v="2019-03-18T00:00:00"/>
    <x v="5"/>
    <x v="15"/>
    <x v="0"/>
    <x v="9"/>
    <x v="0"/>
    <s v="48-6452102"/>
    <m/>
    <n v="201903"/>
    <x v="10"/>
    <x v="1"/>
    <x v="10"/>
  </r>
  <r>
    <x v="0"/>
    <n v="133055.04000000001"/>
    <x v="976"/>
    <d v="2019-11-10T00:00:00"/>
    <x v="0"/>
    <x v="35"/>
    <x v="0"/>
    <x v="25"/>
    <x v="1"/>
    <s v="85-9541179"/>
    <m/>
    <n v="201911"/>
    <x v="8"/>
    <x v="1"/>
    <x v="8"/>
  </r>
  <r>
    <x v="0"/>
    <n v="94115.99"/>
    <x v="977"/>
    <d v="2019-09-16T00:00:00"/>
    <x v="5"/>
    <x v="9"/>
    <x v="0"/>
    <x v="25"/>
    <x v="1"/>
    <s v="93-2085046"/>
    <m/>
    <n v="201909"/>
    <x v="1"/>
    <x v="1"/>
    <x v="1"/>
  </r>
  <r>
    <x v="1"/>
    <n v="125851.79"/>
    <x v="978"/>
    <d v="2020-11-15T00:00:00"/>
    <x v="1"/>
    <x v="31"/>
    <x v="1"/>
    <x v="31"/>
    <x v="1"/>
    <s v="03-6962760"/>
    <m/>
    <n v="202011"/>
    <x v="8"/>
    <x v="0"/>
    <x v="8"/>
  </r>
  <r>
    <x v="6"/>
    <n v="60917.85"/>
    <x v="979"/>
    <d v="2019-02-17T00:00:00"/>
    <x v="6"/>
    <x v="37"/>
    <x v="6"/>
    <x v="14"/>
    <x v="1"/>
    <s v="15-3241183"/>
    <m/>
    <n v="201902"/>
    <x v="0"/>
    <x v="1"/>
    <x v="0"/>
  </r>
  <r>
    <x v="5"/>
    <n v="101318.72"/>
    <x v="980"/>
    <d v="2019-04-13T00:00:00"/>
    <x v="1"/>
    <x v="1"/>
    <x v="5"/>
    <x v="7"/>
    <x v="1"/>
    <s v="54-5705354"/>
    <m/>
    <n v="201904"/>
    <x v="3"/>
    <x v="1"/>
    <x v="3"/>
  </r>
  <r>
    <x v="2"/>
    <n v="131610.37"/>
    <x v="981"/>
    <d v="2020-04-30T00:00:00"/>
    <x v="3"/>
    <x v="41"/>
    <x v="2"/>
    <x v="12"/>
    <x v="1"/>
    <s v="29-1888759"/>
    <m/>
    <n v="202004"/>
    <x v="3"/>
    <x v="0"/>
    <x v="3"/>
  </r>
  <r>
    <x v="5"/>
    <n v="235042.75"/>
    <x v="982"/>
    <d v="2019-12-25T00:00:00"/>
    <x v="0"/>
    <x v="33"/>
    <x v="5"/>
    <x v="7"/>
    <x v="1"/>
    <s v="12-3815754"/>
    <m/>
    <n v="201912"/>
    <x v="4"/>
    <x v="1"/>
    <x v="4"/>
  </r>
  <r>
    <x v="11"/>
    <n v="58921.31"/>
    <x v="983"/>
    <d v="2020-12-13T00:00:00"/>
    <x v="1"/>
    <x v="4"/>
    <x v="11"/>
    <x v="26"/>
    <x v="1"/>
    <s v="30-4823900"/>
    <m/>
    <n v="202012"/>
    <x v="4"/>
    <x v="0"/>
    <x v="4"/>
  </r>
  <r>
    <x v="2"/>
    <n v="101846.87"/>
    <x v="984"/>
    <d v="2019-01-07T00:00:00"/>
    <x v="2"/>
    <x v="51"/>
    <x v="2"/>
    <x v="3"/>
    <x v="1"/>
    <s v="72-9074281"/>
    <m/>
    <n v="201901"/>
    <x v="7"/>
    <x v="1"/>
    <x v="7"/>
  </r>
  <r>
    <x v="5"/>
    <n v="95307.21"/>
    <x v="985"/>
    <d v="2020-03-26T00:00:00"/>
    <x v="0"/>
    <x v="17"/>
    <x v="5"/>
    <x v="10"/>
    <x v="1"/>
    <s v="52-0213558"/>
    <m/>
    <n v="202003"/>
    <x v="10"/>
    <x v="0"/>
    <x v="10"/>
  </r>
  <r>
    <x v="5"/>
    <n v="232217.05"/>
    <x v="986"/>
    <d v="2019-06-20T00:00:00"/>
    <x v="3"/>
    <x v="3"/>
    <x v="5"/>
    <x v="7"/>
    <x v="0"/>
    <s v="19-6334792"/>
    <m/>
    <n v="201906"/>
    <x v="9"/>
    <x v="1"/>
    <x v="9"/>
  </r>
  <r>
    <x v="2"/>
    <n v="75912.59"/>
    <x v="987"/>
    <d v="2019-10-14T00:00:00"/>
    <x v="7"/>
    <x v="10"/>
    <x v="2"/>
    <x v="12"/>
    <x v="0"/>
    <s v="35-4712641"/>
    <m/>
    <n v="201910"/>
    <x v="11"/>
    <x v="1"/>
    <x v="11"/>
  </r>
  <r>
    <x v="2"/>
    <n v="57367.93"/>
    <x v="988"/>
    <d v="2019-10-28T00:00:00"/>
    <x v="2"/>
    <x v="21"/>
    <x v="2"/>
    <x v="3"/>
    <x v="0"/>
    <s v="03-3542738"/>
    <m/>
    <n v="201910"/>
    <x v="11"/>
    <x v="1"/>
    <x v="11"/>
  </r>
  <r>
    <x v="2"/>
    <n v="158240.24"/>
    <x v="989"/>
    <d v="2020-11-23T00:00:00"/>
    <x v="0"/>
    <x v="3"/>
    <x v="2"/>
    <x v="29"/>
    <x v="1"/>
    <s v="81-9457605"/>
    <m/>
    <n v="202011"/>
    <x v="8"/>
    <x v="0"/>
    <x v="8"/>
  </r>
  <r>
    <x v="2"/>
    <n v="97291.62"/>
    <x v="990"/>
    <d v="2020-01-02T00:00:00"/>
    <x v="2"/>
    <x v="4"/>
    <x v="2"/>
    <x v="15"/>
    <x v="1"/>
    <s v="63-0813030"/>
    <m/>
    <n v="202001"/>
    <x v="7"/>
    <x v="0"/>
    <x v="7"/>
  </r>
  <r>
    <x v="2"/>
    <n v="83904.320000000007"/>
    <x v="991"/>
    <d v="2020-06-07T00:00:00"/>
    <x v="1"/>
    <x v="64"/>
    <x v="2"/>
    <x v="12"/>
    <x v="1"/>
    <s v="00-7326184"/>
    <m/>
    <n v="202006"/>
    <x v="9"/>
    <x v="0"/>
    <x v="9"/>
  </r>
  <r>
    <x v="4"/>
    <n v="133696.85999999999"/>
    <x v="992"/>
    <d v="2020-01-27T00:00:00"/>
    <x v="0"/>
    <x v="1"/>
    <x v="4"/>
    <x v="6"/>
    <x v="1"/>
    <s v="22-0156233"/>
    <m/>
    <n v="202001"/>
    <x v="7"/>
    <x v="0"/>
    <x v="7"/>
  </r>
  <r>
    <x v="4"/>
    <n v="146076.81"/>
    <x v="993"/>
    <d v="2019-07-27T00:00:00"/>
    <x v="5"/>
    <x v="4"/>
    <x v="4"/>
    <x v="8"/>
    <x v="1"/>
    <s v="94-0623186"/>
    <m/>
    <n v="201907"/>
    <x v="2"/>
    <x v="1"/>
    <x v="2"/>
  </r>
  <r>
    <x v="5"/>
    <n v="56118.05"/>
    <x v="994"/>
    <d v="2020-03-02T00:00:00"/>
    <x v="3"/>
    <x v="34"/>
    <x v="5"/>
    <x v="10"/>
    <x v="1"/>
    <s v="08-0446109"/>
    <m/>
    <n v="202003"/>
    <x v="10"/>
    <x v="0"/>
    <x v="10"/>
  </r>
  <r>
    <x v="5"/>
    <n v="46296.26"/>
    <x v="995"/>
    <d v="2020-05-15T00:00:00"/>
    <x v="1"/>
    <x v="10"/>
    <x v="5"/>
    <x v="10"/>
    <x v="2"/>
    <s v="77-3489084"/>
    <m/>
    <n v="202005"/>
    <x v="6"/>
    <x v="0"/>
    <x v="6"/>
  </r>
  <r>
    <x v="7"/>
    <n v="118061.05"/>
    <x v="996"/>
    <d v="2020-07-02T00:00:00"/>
    <x v="5"/>
    <x v="4"/>
    <x v="7"/>
    <x v="16"/>
    <x v="0"/>
    <s v="59-2117058"/>
    <m/>
    <n v="202007"/>
    <x v="2"/>
    <x v="0"/>
    <x v="2"/>
  </r>
  <r>
    <x v="1"/>
    <n v="74480.56"/>
    <x v="997"/>
    <d v="2020-03-06T00:00:00"/>
    <x v="2"/>
    <x v="60"/>
    <x v="1"/>
    <x v="1"/>
    <x v="1"/>
    <s v="31-1849120"/>
    <m/>
    <n v="202003"/>
    <x v="10"/>
    <x v="0"/>
    <x v="10"/>
  </r>
  <r>
    <x v="3"/>
    <n v="87205.01"/>
    <x v="998"/>
    <d v="2020-06-18T00:00:00"/>
    <x v="1"/>
    <x v="4"/>
    <x v="3"/>
    <x v="33"/>
    <x v="2"/>
    <s v="45-3085595"/>
    <m/>
    <n v="202006"/>
    <x v="9"/>
    <x v="0"/>
    <x v="9"/>
  </r>
  <r>
    <x v="2"/>
    <n v="107716.72"/>
    <x v="999"/>
    <d v="2020-01-18T00:00:00"/>
    <x v="4"/>
    <x v="16"/>
    <x v="2"/>
    <x v="29"/>
    <x v="0"/>
    <s v="61-3294149"/>
    <m/>
    <n v="202001"/>
    <x v="7"/>
    <x v="0"/>
    <x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7524.02"/>
    <n v="14122.61"/>
    <d v="2020-02-12T00:00:00"/>
    <x v="0"/>
    <x v="0"/>
    <x v="0"/>
    <x v="0"/>
    <s v="Mobile"/>
    <s v="70-0511466"/>
    <m/>
    <n v="202002"/>
    <n v="2"/>
    <x v="0"/>
    <x v="0"/>
    <n v="17524.02"/>
  </r>
  <r>
    <x v="1"/>
    <n v="116563.4"/>
    <n v="92807.78"/>
    <d v="2019-09-26T00:00:00"/>
    <x v="1"/>
    <x v="1"/>
    <x v="1"/>
    <x v="1"/>
    <s v="Mobile"/>
    <s v="28-6585323"/>
    <m/>
    <n v="201909"/>
    <n v="9"/>
    <x v="1"/>
    <x v="1"/>
    <n v="-116563.4"/>
  </r>
  <r>
    <x v="2"/>
    <n v="296465.56"/>
    <n v="257480.34"/>
    <d v="2019-07-11T00:00:00"/>
    <x v="2"/>
    <x v="2"/>
    <x v="2"/>
    <x v="2"/>
    <s v="PC"/>
    <s v="58-7703341"/>
    <m/>
    <n v="201907"/>
    <n v="7"/>
    <x v="1"/>
    <x v="2"/>
    <n v="-296465.56"/>
  </r>
  <r>
    <x v="2"/>
    <n v="74532.02"/>
    <n v="59752.32"/>
    <d v="2020-04-02T00:00:00"/>
    <x v="3"/>
    <x v="3"/>
    <x v="2"/>
    <x v="3"/>
    <s v="PC"/>
    <s v="14-6700183"/>
    <m/>
    <n v="202004"/>
    <n v="4"/>
    <x v="0"/>
    <x v="3"/>
    <n v="74532.02"/>
  </r>
  <r>
    <x v="3"/>
    <n v="178763.42"/>
    <n v="146621.76000000001"/>
    <d v="2019-12-22T00:00:00"/>
    <x v="1"/>
    <x v="4"/>
    <x v="3"/>
    <x v="4"/>
    <s v="Tablet"/>
    <s v="15-8765160"/>
    <m/>
    <n v="201912"/>
    <n v="12"/>
    <x v="1"/>
    <x v="4"/>
    <n v="-178763.42"/>
  </r>
  <r>
    <x v="3"/>
    <n v="84900.24"/>
    <n v="73701.899999999994"/>
    <d v="2020-07-14T00:00:00"/>
    <x v="2"/>
    <x v="5"/>
    <x v="3"/>
    <x v="5"/>
    <s v="PC"/>
    <s v="60-6998932"/>
    <m/>
    <n v="202007"/>
    <n v="7"/>
    <x v="0"/>
    <x v="2"/>
    <n v="84900.24"/>
  </r>
  <r>
    <x v="2"/>
    <n v="71620.08"/>
    <n v="62245.01"/>
    <d v="2019-02-05T00:00:00"/>
    <x v="0"/>
    <x v="6"/>
    <x v="2"/>
    <x v="2"/>
    <s v="PC"/>
    <s v="69-6259390"/>
    <m/>
    <n v="201902"/>
    <n v="2"/>
    <x v="1"/>
    <x v="0"/>
    <n v="-71620.08"/>
  </r>
  <r>
    <x v="4"/>
    <n v="156585.22"/>
    <n v="126599.15"/>
    <d v="2020-08-30T00:00:00"/>
    <x v="4"/>
    <x v="7"/>
    <x v="4"/>
    <x v="6"/>
    <s v="PC"/>
    <s v="64-5761908"/>
    <m/>
    <n v="202008"/>
    <n v="8"/>
    <x v="0"/>
    <x v="5"/>
    <n v="156585.22"/>
  </r>
  <r>
    <x v="2"/>
    <n v="78461.13"/>
    <n v="63537.82"/>
    <d v="2020-05-10T00:00:00"/>
    <x v="5"/>
    <x v="3"/>
    <x v="2"/>
    <x v="2"/>
    <s v="Mobile"/>
    <s v="91-4126746"/>
    <m/>
    <n v="202005"/>
    <n v="5"/>
    <x v="0"/>
    <x v="6"/>
    <n v="78461.13"/>
  </r>
  <r>
    <x v="5"/>
    <n v="64827.8"/>
    <n v="56043.63"/>
    <d v="2019-01-20T00:00:00"/>
    <x v="5"/>
    <x v="8"/>
    <x v="5"/>
    <x v="7"/>
    <s v="PC"/>
    <s v="62-3312495"/>
    <m/>
    <n v="201901"/>
    <n v="1"/>
    <x v="1"/>
    <x v="7"/>
    <n v="-64827.8"/>
  </r>
  <r>
    <x v="0"/>
    <n v="142664.34"/>
    <n v="120808.16"/>
    <d v="2019-05-04T00:00:00"/>
    <x v="5"/>
    <x v="9"/>
    <x v="0"/>
    <x v="0"/>
    <s v="PC"/>
    <s v="85-6625096"/>
    <m/>
    <n v="201905"/>
    <n v="5"/>
    <x v="1"/>
    <x v="6"/>
    <n v="-142664.34"/>
  </r>
  <r>
    <x v="4"/>
    <n v="66673.19"/>
    <n v="52811.83"/>
    <d v="2019-02-23T00:00:00"/>
    <x v="6"/>
    <x v="8"/>
    <x v="4"/>
    <x v="6"/>
    <s v="PC"/>
    <s v="25-6368157"/>
    <m/>
    <n v="201902"/>
    <n v="2"/>
    <x v="1"/>
    <x v="0"/>
    <n v="-66673.19"/>
  </r>
  <r>
    <x v="2"/>
    <n v="136915.60999999999"/>
    <n v="114790.05"/>
    <d v="2020-01-04T00:00:00"/>
    <x v="7"/>
    <x v="3"/>
    <x v="2"/>
    <x v="3"/>
    <s v="Tablet"/>
    <s v="15-3943365"/>
    <m/>
    <n v="202001"/>
    <n v="1"/>
    <x v="0"/>
    <x v="7"/>
    <n v="136915.60999999999"/>
  </r>
  <r>
    <x v="4"/>
    <n v="164971.70000000001"/>
    <n v="132686.74"/>
    <d v="2019-07-20T00:00:00"/>
    <x v="4"/>
    <x v="10"/>
    <x v="4"/>
    <x v="6"/>
    <s v="PC"/>
    <s v="32-3534634"/>
    <m/>
    <n v="201907"/>
    <n v="7"/>
    <x v="1"/>
    <x v="2"/>
    <n v="-164971.70000000001"/>
  </r>
  <r>
    <x v="4"/>
    <n v="149486.26999999999"/>
    <n v="118662.2"/>
    <d v="2019-08-06T00:00:00"/>
    <x v="3"/>
    <x v="4"/>
    <x v="4"/>
    <x v="8"/>
    <s v="PC"/>
    <s v="02-3972649"/>
    <m/>
    <n v="201908"/>
    <n v="8"/>
    <x v="1"/>
    <x v="5"/>
    <n v="-149486.26999999999"/>
  </r>
  <r>
    <x v="0"/>
    <n v="54078.92"/>
    <n v="46102.28"/>
    <d v="2020-11-08T00:00:00"/>
    <x v="0"/>
    <x v="11"/>
    <x v="0"/>
    <x v="9"/>
    <s v="PC"/>
    <s v="08-7576451"/>
    <m/>
    <n v="202011"/>
    <n v="11"/>
    <x v="0"/>
    <x v="8"/>
    <n v="54078.92"/>
  </r>
  <r>
    <x v="5"/>
    <n v="107499.78"/>
    <n v="91364.06"/>
    <d v="2019-02-26T00:00:00"/>
    <x v="6"/>
    <x v="12"/>
    <x v="5"/>
    <x v="10"/>
    <s v="PC"/>
    <s v="68-3583935"/>
    <m/>
    <n v="201902"/>
    <n v="2"/>
    <x v="1"/>
    <x v="0"/>
    <n v="-107499.78"/>
  </r>
  <r>
    <x v="4"/>
    <n v="29493.79"/>
    <n v="24285.19"/>
    <d v="2019-11-22T00:00:00"/>
    <x v="1"/>
    <x v="11"/>
    <x v="4"/>
    <x v="11"/>
    <s v="PC"/>
    <s v="53-7769693"/>
    <m/>
    <n v="201911"/>
    <n v="11"/>
    <x v="1"/>
    <x v="8"/>
    <n v="-29493.79"/>
  </r>
  <r>
    <x v="2"/>
    <n v="147656.51999999999"/>
    <n v="124193.9"/>
    <d v="2019-06-05T00:00:00"/>
    <x v="6"/>
    <x v="0"/>
    <x v="2"/>
    <x v="12"/>
    <s v="PC"/>
    <s v="85-4732103"/>
    <m/>
    <n v="201906"/>
    <n v="6"/>
    <x v="1"/>
    <x v="9"/>
    <n v="-147656.51999999999"/>
  </r>
  <r>
    <x v="2"/>
    <n v="156839.31"/>
    <n v="134709.28"/>
    <d v="2020-05-11T00:00:00"/>
    <x v="6"/>
    <x v="13"/>
    <x v="2"/>
    <x v="12"/>
    <s v="PC"/>
    <s v="27-9800293"/>
    <m/>
    <n v="202005"/>
    <n v="5"/>
    <x v="0"/>
    <x v="6"/>
    <n v="156839.31"/>
  </r>
  <r>
    <x v="3"/>
    <n v="81412.100000000006"/>
    <n v="64747.040000000001"/>
    <d v="2019-11-06T00:00:00"/>
    <x v="8"/>
    <x v="4"/>
    <x v="3"/>
    <x v="4"/>
    <s v="PC"/>
    <s v="67-3929836"/>
    <m/>
    <n v="201911"/>
    <n v="11"/>
    <x v="1"/>
    <x v="8"/>
    <n v="-81412.100000000006"/>
  </r>
  <r>
    <x v="0"/>
    <n v="56717.53"/>
    <n v="45101.78"/>
    <d v="2019-03-10T00:00:00"/>
    <x v="2"/>
    <x v="4"/>
    <x v="0"/>
    <x v="13"/>
    <s v="PC"/>
    <s v="13-0526029"/>
    <m/>
    <n v="201903"/>
    <n v="3"/>
    <x v="1"/>
    <x v="10"/>
    <n v="-56717.53"/>
  </r>
  <r>
    <x v="6"/>
    <n v="17028.189999999999"/>
    <n v="14102.75"/>
    <d v="2020-02-07T00:00:00"/>
    <x v="2"/>
    <x v="4"/>
    <x v="6"/>
    <x v="14"/>
    <s v="PC"/>
    <s v="38-5910704"/>
    <m/>
    <n v="202002"/>
    <n v="2"/>
    <x v="0"/>
    <x v="0"/>
    <n v="17028.189999999999"/>
  </r>
  <r>
    <x v="1"/>
    <n v="236462.3"/>
    <n v="205674.91"/>
    <d v="2020-12-23T00:00:00"/>
    <x v="2"/>
    <x v="3"/>
    <x v="1"/>
    <x v="1"/>
    <s v="PC"/>
    <s v="41-6407014"/>
    <m/>
    <n v="202012"/>
    <n v="12"/>
    <x v="0"/>
    <x v="4"/>
    <n v="236462.3"/>
  </r>
  <r>
    <x v="2"/>
    <n v="172989.17"/>
    <n v="142975.54999999999"/>
    <d v="2020-06-10T00:00:00"/>
    <x v="3"/>
    <x v="14"/>
    <x v="2"/>
    <x v="15"/>
    <s v="PC"/>
    <s v="22-6745595"/>
    <m/>
    <n v="202006"/>
    <n v="6"/>
    <x v="0"/>
    <x v="9"/>
    <n v="172989.17"/>
  </r>
  <r>
    <x v="0"/>
    <n v="48179.57"/>
    <n v="41405.519999999997"/>
    <d v="2020-08-14T00:00:00"/>
    <x v="0"/>
    <x v="15"/>
    <x v="0"/>
    <x v="9"/>
    <s v="PC"/>
    <s v="96-3022721"/>
    <m/>
    <n v="202008"/>
    <n v="8"/>
    <x v="0"/>
    <x v="5"/>
    <n v="48179.57"/>
  </r>
  <r>
    <x v="2"/>
    <n v="121318.55"/>
    <n v="102890.26"/>
    <d v="2020-03-10T00:00:00"/>
    <x v="8"/>
    <x v="16"/>
    <x v="2"/>
    <x v="3"/>
    <s v="Tablet"/>
    <s v="48-0713329"/>
    <m/>
    <n v="202003"/>
    <n v="3"/>
    <x v="0"/>
    <x v="10"/>
    <n v="121318.55"/>
  </r>
  <r>
    <x v="7"/>
    <n v="93153.98"/>
    <n v="79702.55"/>
    <d v="2020-04-03T00:00:00"/>
    <x v="5"/>
    <x v="17"/>
    <x v="7"/>
    <x v="16"/>
    <s v="Mobile"/>
    <s v="50-0942872"/>
    <m/>
    <n v="202004"/>
    <n v="4"/>
    <x v="0"/>
    <x v="3"/>
    <n v="93153.98"/>
  </r>
  <r>
    <x v="8"/>
    <n v="98289.32"/>
    <n v="84116"/>
    <d v="2019-02-15T00:00:00"/>
    <x v="5"/>
    <x v="18"/>
    <x v="8"/>
    <x v="17"/>
    <s v="PC"/>
    <s v="78-2307905"/>
    <m/>
    <n v="201902"/>
    <n v="2"/>
    <x v="1"/>
    <x v="0"/>
    <n v="-98289.32"/>
  </r>
  <r>
    <x v="9"/>
    <n v="108920.56"/>
    <n v="94270.74"/>
    <d v="2019-07-08T00:00:00"/>
    <x v="0"/>
    <x v="9"/>
    <x v="9"/>
    <x v="18"/>
    <s v="PC"/>
    <s v="63-0019978"/>
    <m/>
    <n v="201907"/>
    <n v="7"/>
    <x v="1"/>
    <x v="2"/>
    <n v="-108920.56"/>
  </r>
  <r>
    <x v="2"/>
    <n v="37273.839999999997"/>
    <n v="31559.759999999998"/>
    <d v="2020-01-20T00:00:00"/>
    <x v="1"/>
    <x v="19"/>
    <x v="2"/>
    <x v="3"/>
    <s v="Tablet"/>
    <s v="26-9948924"/>
    <m/>
    <n v="202001"/>
    <n v="1"/>
    <x v="0"/>
    <x v="7"/>
    <n v="37273.839999999997"/>
  </r>
  <r>
    <x v="3"/>
    <n v="221745.05"/>
    <n v="190767.27"/>
    <d v="2019-06-25T00:00:00"/>
    <x v="5"/>
    <x v="20"/>
    <x v="3"/>
    <x v="4"/>
    <s v="Mobile"/>
    <s v="72-7630507"/>
    <m/>
    <n v="201906"/>
    <n v="6"/>
    <x v="1"/>
    <x v="9"/>
    <n v="-221745.05"/>
  </r>
  <r>
    <x v="6"/>
    <n v="54566.99"/>
    <n v="43757.27"/>
    <d v="2020-03-23T00:00:00"/>
    <x v="6"/>
    <x v="21"/>
    <x v="6"/>
    <x v="14"/>
    <s v="PC"/>
    <s v="36-3410564"/>
    <m/>
    <n v="202003"/>
    <n v="3"/>
    <x v="0"/>
    <x v="10"/>
    <n v="54566.99"/>
  </r>
  <r>
    <x v="2"/>
    <n v="111639.29"/>
    <n v="97204.33"/>
    <d v="2019-10-28T00:00:00"/>
    <x v="6"/>
    <x v="22"/>
    <x v="2"/>
    <x v="15"/>
    <s v="PC"/>
    <s v="82-4653018"/>
    <m/>
    <n v="201910"/>
    <n v="10"/>
    <x v="1"/>
    <x v="11"/>
    <n v="-111639.29"/>
  </r>
  <r>
    <x v="0"/>
    <n v="74273.539999999994"/>
    <n v="61981.27"/>
    <d v="2020-03-28T00:00:00"/>
    <x v="3"/>
    <x v="9"/>
    <x v="0"/>
    <x v="19"/>
    <s v="PC"/>
    <s v="29-1001593"/>
    <m/>
    <n v="202003"/>
    <n v="3"/>
    <x v="0"/>
    <x v="10"/>
    <n v="74273.539999999994"/>
  </r>
  <r>
    <x v="2"/>
    <n v="95566.43"/>
    <n v="80342.7"/>
    <d v="2019-05-07T00:00:00"/>
    <x v="2"/>
    <x v="3"/>
    <x v="2"/>
    <x v="15"/>
    <s v="PC"/>
    <s v="59-5568557"/>
    <m/>
    <n v="201905"/>
    <n v="5"/>
    <x v="1"/>
    <x v="6"/>
    <n v="-95566.43"/>
  </r>
  <r>
    <x v="5"/>
    <n v="28783.05"/>
    <n v="24776.45"/>
    <d v="2019-03-29T00:00:00"/>
    <x v="2"/>
    <x v="23"/>
    <x v="5"/>
    <x v="7"/>
    <s v="PC"/>
    <s v="12-1249283"/>
    <m/>
    <n v="201903"/>
    <n v="3"/>
    <x v="1"/>
    <x v="10"/>
    <n v="-28783.05"/>
  </r>
  <r>
    <x v="4"/>
    <n v="124414.74"/>
    <n v="98959.48"/>
    <d v="2019-06-13T00:00:00"/>
    <x v="7"/>
    <x v="24"/>
    <x v="4"/>
    <x v="6"/>
    <s v="PC"/>
    <s v="96-0180648"/>
    <m/>
    <n v="201906"/>
    <n v="6"/>
    <x v="1"/>
    <x v="9"/>
    <n v="-124414.74"/>
  </r>
  <r>
    <x v="2"/>
    <n v="153029.72"/>
    <n v="125117.1"/>
    <d v="2020-01-28T00:00:00"/>
    <x v="1"/>
    <x v="21"/>
    <x v="2"/>
    <x v="12"/>
    <s v="PC"/>
    <s v="51-9029547"/>
    <m/>
    <n v="202001"/>
    <n v="1"/>
    <x v="0"/>
    <x v="7"/>
    <n v="153029.72"/>
  </r>
  <r>
    <x v="0"/>
    <n v="174919.64"/>
    <n v="146845.04"/>
    <d v="2020-11-03T00:00:00"/>
    <x v="2"/>
    <x v="25"/>
    <x v="0"/>
    <x v="19"/>
    <s v="Mobile"/>
    <s v="84-2614836"/>
    <m/>
    <n v="202011"/>
    <n v="11"/>
    <x v="0"/>
    <x v="8"/>
    <n v="174919.64"/>
  </r>
  <r>
    <x v="5"/>
    <n v="55804.05"/>
    <n v="46401.07"/>
    <d v="2019-03-05T00:00:00"/>
    <x v="8"/>
    <x v="12"/>
    <x v="5"/>
    <x v="20"/>
    <s v="PC"/>
    <s v="57-6995715"/>
    <m/>
    <n v="201903"/>
    <n v="3"/>
    <x v="1"/>
    <x v="10"/>
    <n v="-55804.05"/>
  </r>
  <r>
    <x v="5"/>
    <n v="89160.66"/>
    <n v="75367.509999999995"/>
    <d v="2019-11-18T00:00:00"/>
    <x v="3"/>
    <x v="25"/>
    <x v="5"/>
    <x v="20"/>
    <s v="PC"/>
    <s v="27-4115444"/>
    <m/>
    <n v="201911"/>
    <n v="11"/>
    <x v="1"/>
    <x v="8"/>
    <n v="-89160.66"/>
  </r>
  <r>
    <x v="4"/>
    <n v="27987.13"/>
    <n v="24001.759999999998"/>
    <d v="2019-03-26T00:00:00"/>
    <x v="1"/>
    <x v="24"/>
    <x v="4"/>
    <x v="8"/>
    <s v="PC"/>
    <s v="34-3302340"/>
    <m/>
    <n v="201903"/>
    <n v="3"/>
    <x v="1"/>
    <x v="10"/>
    <n v="-27987.13"/>
  </r>
  <r>
    <x v="5"/>
    <n v="18326.41"/>
    <n v="15067.97"/>
    <d v="2019-02-03T00:00:00"/>
    <x v="1"/>
    <x v="26"/>
    <x v="5"/>
    <x v="21"/>
    <s v="PC"/>
    <s v="25-6638623"/>
    <m/>
    <n v="201902"/>
    <n v="2"/>
    <x v="1"/>
    <x v="0"/>
    <n v="-18326.41"/>
  </r>
  <r>
    <x v="6"/>
    <n v="62708.6"/>
    <n v="51414.78"/>
    <d v="2019-08-29T00:00:00"/>
    <x v="6"/>
    <x v="27"/>
    <x v="6"/>
    <x v="14"/>
    <s v="PC"/>
    <s v="11-5260310"/>
    <m/>
    <n v="201908"/>
    <n v="8"/>
    <x v="1"/>
    <x v="5"/>
    <n v="-62708.6"/>
  </r>
  <r>
    <x v="4"/>
    <n v="124668.36"/>
    <n v="103998.35"/>
    <d v="2020-11-05T00:00:00"/>
    <x v="1"/>
    <x v="3"/>
    <x v="4"/>
    <x v="6"/>
    <s v="PC"/>
    <s v="68-5024232"/>
    <m/>
    <n v="202011"/>
    <n v="11"/>
    <x v="0"/>
    <x v="8"/>
    <n v="124668.36"/>
  </r>
  <r>
    <x v="10"/>
    <n v="109390.57"/>
    <n v="87414"/>
    <d v="2020-11-12T00:00:00"/>
    <x v="9"/>
    <x v="6"/>
    <x v="10"/>
    <x v="22"/>
    <s v="Mobile"/>
    <s v="90-2530115"/>
    <m/>
    <n v="202011"/>
    <n v="11"/>
    <x v="0"/>
    <x v="8"/>
    <n v="109390.57"/>
  </r>
  <r>
    <x v="2"/>
    <n v="103279.79"/>
    <n v="82334.649999999994"/>
    <d v="2020-03-12T00:00:00"/>
    <x v="5"/>
    <x v="4"/>
    <x v="2"/>
    <x v="3"/>
    <s v="PC"/>
    <s v="23-8271333"/>
    <m/>
    <n v="202003"/>
    <n v="3"/>
    <x v="0"/>
    <x v="10"/>
    <n v="103279.79"/>
  </r>
  <r>
    <x v="5"/>
    <n v="173478.65"/>
    <n v="139650.31"/>
    <d v="2019-01-29T00:00:00"/>
    <x v="0"/>
    <x v="4"/>
    <x v="5"/>
    <x v="23"/>
    <s v="PC"/>
    <s v="99-7422044"/>
    <m/>
    <n v="201901"/>
    <n v="1"/>
    <x v="1"/>
    <x v="7"/>
    <n v="-173478.65"/>
  </r>
  <r>
    <x v="0"/>
    <n v="57927.54"/>
    <n v="48914.01"/>
    <d v="2019-01-18T00:00:00"/>
    <x v="1"/>
    <x v="28"/>
    <x v="0"/>
    <x v="13"/>
    <s v="Mobile"/>
    <s v="67-6692861"/>
    <m/>
    <n v="201901"/>
    <n v="1"/>
    <x v="1"/>
    <x v="7"/>
    <n v="-57927.54"/>
  </r>
  <r>
    <x v="2"/>
    <n v="84767.77"/>
    <n v="68950.100000000006"/>
    <d v="2020-01-18T00:00:00"/>
    <x v="8"/>
    <x v="29"/>
    <x v="2"/>
    <x v="2"/>
    <s v="Mobile"/>
    <s v="20-3441688"/>
    <m/>
    <n v="202001"/>
    <n v="1"/>
    <x v="0"/>
    <x v="7"/>
    <n v="84767.77"/>
  </r>
  <r>
    <x v="5"/>
    <n v="138175.53"/>
    <n v="116744.51"/>
    <d v="2020-11-03T00:00:00"/>
    <x v="9"/>
    <x v="30"/>
    <x v="5"/>
    <x v="21"/>
    <s v="PC"/>
    <s v="80-8230605"/>
    <m/>
    <n v="202011"/>
    <n v="11"/>
    <x v="0"/>
    <x v="8"/>
    <n v="138175.53"/>
  </r>
  <r>
    <x v="2"/>
    <n v="143107.89000000001"/>
    <n v="121241"/>
    <d v="2020-11-02T00:00:00"/>
    <x v="8"/>
    <x v="20"/>
    <x v="2"/>
    <x v="15"/>
    <s v="Mobile"/>
    <s v="18-0704377"/>
    <m/>
    <n v="202011"/>
    <n v="11"/>
    <x v="0"/>
    <x v="8"/>
    <n v="143107.89000000001"/>
  </r>
  <r>
    <x v="0"/>
    <n v="54446.5"/>
    <n v="44989.14"/>
    <d v="2020-03-09T00:00:00"/>
    <x v="5"/>
    <x v="31"/>
    <x v="0"/>
    <x v="13"/>
    <s v="Tablet"/>
    <s v="47-5524071"/>
    <m/>
    <n v="202003"/>
    <n v="3"/>
    <x v="0"/>
    <x v="10"/>
    <n v="54446.5"/>
  </r>
  <r>
    <x v="2"/>
    <n v="136324.9"/>
    <n v="110436.8"/>
    <d v="2019-10-29T00:00:00"/>
    <x v="8"/>
    <x v="32"/>
    <x v="2"/>
    <x v="15"/>
    <s v="Tablet"/>
    <s v="76-2572347"/>
    <m/>
    <n v="201910"/>
    <n v="10"/>
    <x v="1"/>
    <x v="11"/>
    <n v="-136324.9"/>
  </r>
  <r>
    <x v="2"/>
    <n v="43066.58"/>
    <n v="36154.39"/>
    <d v="2019-02-08T00:00:00"/>
    <x v="1"/>
    <x v="27"/>
    <x v="2"/>
    <x v="15"/>
    <s v="Mobile"/>
    <s v="74-4429133"/>
    <m/>
    <n v="201902"/>
    <n v="2"/>
    <x v="1"/>
    <x v="0"/>
    <n v="-43066.58"/>
  </r>
  <r>
    <x v="5"/>
    <n v="224626.25"/>
    <n v="189988.88"/>
    <d v="2020-07-21T00:00:00"/>
    <x v="8"/>
    <x v="33"/>
    <x v="5"/>
    <x v="21"/>
    <s v="PC"/>
    <s v="69-1300467"/>
    <m/>
    <n v="202007"/>
    <n v="7"/>
    <x v="0"/>
    <x v="2"/>
    <n v="224626.25"/>
  </r>
  <r>
    <x v="5"/>
    <n v="115689.22"/>
    <n v="98127.6"/>
    <d v="2019-07-15T00:00:00"/>
    <x v="2"/>
    <x v="34"/>
    <x v="5"/>
    <x v="23"/>
    <s v="PC"/>
    <s v="99-8643527"/>
    <m/>
    <n v="201907"/>
    <n v="7"/>
    <x v="1"/>
    <x v="2"/>
    <n v="-115689.22"/>
  </r>
  <r>
    <x v="8"/>
    <n v="78293.94"/>
    <n v="66236.67"/>
    <d v="2019-10-13T00:00:00"/>
    <x v="5"/>
    <x v="12"/>
    <x v="8"/>
    <x v="24"/>
    <s v="Mobile"/>
    <s v="14-1143584"/>
    <m/>
    <n v="201910"/>
    <n v="10"/>
    <x v="1"/>
    <x v="11"/>
    <n v="-78293.94"/>
  </r>
  <r>
    <x v="2"/>
    <n v="92698.45"/>
    <n v="73454.25"/>
    <d v="2020-01-13T00:00:00"/>
    <x v="2"/>
    <x v="3"/>
    <x v="2"/>
    <x v="12"/>
    <s v="PC"/>
    <s v="62-4331197"/>
    <m/>
    <n v="202001"/>
    <n v="1"/>
    <x v="0"/>
    <x v="7"/>
    <n v="92698.45"/>
  </r>
  <r>
    <x v="8"/>
    <n v="83141.47"/>
    <n v="72000.509999999995"/>
    <d v="2019-03-15T00:00:00"/>
    <x v="7"/>
    <x v="10"/>
    <x v="8"/>
    <x v="17"/>
    <s v="Mobile"/>
    <s v="02-3333733"/>
    <m/>
    <n v="201903"/>
    <n v="3"/>
    <x v="1"/>
    <x v="10"/>
    <n v="-83141.47"/>
  </r>
  <r>
    <x v="2"/>
    <n v="38982.26"/>
    <n v="32854.25"/>
    <d v="2019-10-12T00:00:00"/>
    <x v="2"/>
    <x v="35"/>
    <x v="2"/>
    <x v="2"/>
    <s v="Mobile"/>
    <s v="09-3959499"/>
    <m/>
    <n v="201910"/>
    <n v="10"/>
    <x v="1"/>
    <x v="11"/>
    <n v="-38982.26"/>
  </r>
  <r>
    <x v="2"/>
    <n v="57120.58"/>
    <n v="49654.92"/>
    <d v="2019-11-25T00:00:00"/>
    <x v="1"/>
    <x v="36"/>
    <x v="2"/>
    <x v="3"/>
    <s v="PC"/>
    <s v="55-7848276"/>
    <m/>
    <n v="201911"/>
    <n v="11"/>
    <x v="1"/>
    <x v="8"/>
    <n v="-57120.58"/>
  </r>
  <r>
    <x v="0"/>
    <n v="240759.07"/>
    <n v="205415.64"/>
    <d v="2020-06-14T00:00:00"/>
    <x v="5"/>
    <x v="26"/>
    <x v="0"/>
    <x v="25"/>
    <s v="PC"/>
    <s v="98-1814878"/>
    <m/>
    <n v="202006"/>
    <n v="6"/>
    <x v="0"/>
    <x v="9"/>
    <n v="240759.07"/>
  </r>
  <r>
    <x v="0"/>
    <n v="53849.120000000003"/>
    <n v="47354.92"/>
    <d v="2020-04-15T00:00:00"/>
    <x v="1"/>
    <x v="12"/>
    <x v="0"/>
    <x v="13"/>
    <s v="PC"/>
    <s v="83-9569509"/>
    <m/>
    <n v="202004"/>
    <n v="4"/>
    <x v="0"/>
    <x v="3"/>
    <n v="53849.120000000003"/>
  </r>
  <r>
    <x v="11"/>
    <n v="361182.87"/>
    <n v="288368.40000000002"/>
    <d v="2019-12-02T00:00:00"/>
    <x v="0"/>
    <x v="37"/>
    <x v="11"/>
    <x v="26"/>
    <s v="PC"/>
    <s v="44-1953194"/>
    <m/>
    <n v="201912"/>
    <n v="12"/>
    <x v="1"/>
    <x v="4"/>
    <n v="-361182.87"/>
  </r>
  <r>
    <x v="0"/>
    <n v="97063.22"/>
    <n v="78067.95"/>
    <d v="2019-10-19T00:00:00"/>
    <x v="5"/>
    <x v="38"/>
    <x v="0"/>
    <x v="0"/>
    <s v="Tablet"/>
    <s v="50-0376562"/>
    <m/>
    <n v="201910"/>
    <n v="10"/>
    <x v="1"/>
    <x v="11"/>
    <n v="-97063.22"/>
  </r>
  <r>
    <x v="3"/>
    <n v="39110.97"/>
    <n v="34315.97"/>
    <d v="2019-10-27T00:00:00"/>
    <x v="2"/>
    <x v="39"/>
    <x v="3"/>
    <x v="5"/>
    <s v="PC"/>
    <s v="06-9596696"/>
    <m/>
    <n v="201910"/>
    <n v="10"/>
    <x v="1"/>
    <x v="11"/>
    <n v="-39110.97"/>
  </r>
  <r>
    <x v="5"/>
    <n v="123672.7"/>
    <n v="106036.97"/>
    <d v="2020-11-13T00:00:00"/>
    <x v="6"/>
    <x v="40"/>
    <x v="5"/>
    <x v="20"/>
    <s v="PC"/>
    <s v="46-2632808"/>
    <m/>
    <n v="202011"/>
    <n v="11"/>
    <x v="0"/>
    <x v="8"/>
    <n v="123672.7"/>
  </r>
  <r>
    <x v="5"/>
    <n v="144640.79999999999"/>
    <n v="118345.1"/>
    <d v="2019-04-11T00:00:00"/>
    <x v="8"/>
    <x v="18"/>
    <x v="5"/>
    <x v="23"/>
    <s v="PC"/>
    <s v="77-7771177"/>
    <m/>
    <n v="201904"/>
    <n v="4"/>
    <x v="1"/>
    <x v="3"/>
    <n v="-144640.79999999999"/>
  </r>
  <r>
    <x v="5"/>
    <n v="268779.03000000003"/>
    <n v="233676.49"/>
    <d v="2019-12-27T00:00:00"/>
    <x v="6"/>
    <x v="41"/>
    <x v="5"/>
    <x v="21"/>
    <s v="Mobile"/>
    <s v="13-0624842"/>
    <m/>
    <n v="201912"/>
    <n v="12"/>
    <x v="1"/>
    <x v="4"/>
    <n v="-268779.03000000003"/>
  </r>
  <r>
    <x v="0"/>
    <n v="53593.86"/>
    <n v="45629.81"/>
    <d v="2020-07-12T00:00:00"/>
    <x v="8"/>
    <x v="21"/>
    <x v="0"/>
    <x v="19"/>
    <s v="PC"/>
    <s v="71-4409662"/>
    <m/>
    <n v="202007"/>
    <n v="7"/>
    <x v="0"/>
    <x v="2"/>
    <n v="53593.86"/>
  </r>
  <r>
    <x v="5"/>
    <n v="155044.01999999999"/>
    <n v="134268.12"/>
    <d v="2019-10-25T00:00:00"/>
    <x v="3"/>
    <x v="42"/>
    <x v="5"/>
    <x v="10"/>
    <s v="PC"/>
    <s v="46-0270404"/>
    <m/>
    <n v="201910"/>
    <n v="10"/>
    <x v="1"/>
    <x v="11"/>
    <n v="-155044.01999999999"/>
  </r>
  <r>
    <x v="2"/>
    <n v="102495.13"/>
    <n v="85009.46"/>
    <d v="2020-08-08T00:00:00"/>
    <x v="6"/>
    <x v="7"/>
    <x v="2"/>
    <x v="15"/>
    <s v="Tablet"/>
    <s v="70-7107956"/>
    <m/>
    <n v="202008"/>
    <n v="8"/>
    <x v="0"/>
    <x v="5"/>
    <n v="102495.13"/>
  </r>
  <r>
    <x v="2"/>
    <n v="294472.77"/>
    <n v="255572.92"/>
    <d v="2019-06-11T00:00:00"/>
    <x v="6"/>
    <x v="8"/>
    <x v="2"/>
    <x v="2"/>
    <s v="Tablet"/>
    <s v="84-5310661"/>
    <m/>
    <n v="201906"/>
    <n v="6"/>
    <x v="1"/>
    <x v="9"/>
    <n v="-294472.77"/>
  </r>
  <r>
    <x v="0"/>
    <n v="64053.77"/>
    <n v="54733.95"/>
    <d v="2020-09-01T00:00:00"/>
    <x v="3"/>
    <x v="17"/>
    <x v="0"/>
    <x v="9"/>
    <s v="PC"/>
    <s v="75-6638402"/>
    <m/>
    <n v="202009"/>
    <n v="9"/>
    <x v="0"/>
    <x v="1"/>
    <n v="64053.77"/>
  </r>
  <r>
    <x v="4"/>
    <n v="24543.72"/>
    <n v="19492.62"/>
    <d v="2019-03-22T00:00:00"/>
    <x v="2"/>
    <x v="3"/>
    <x v="4"/>
    <x v="11"/>
    <s v="PC"/>
    <s v="53-0615558"/>
    <m/>
    <n v="201903"/>
    <n v="3"/>
    <x v="1"/>
    <x v="10"/>
    <n v="-24543.72"/>
  </r>
  <r>
    <x v="2"/>
    <n v="161544.06"/>
    <n v="132579.21"/>
    <d v="2019-09-12T00:00:00"/>
    <x v="2"/>
    <x v="4"/>
    <x v="2"/>
    <x v="2"/>
    <s v="PC"/>
    <s v="00-2549549"/>
    <m/>
    <n v="201909"/>
    <n v="9"/>
    <x v="1"/>
    <x v="1"/>
    <n v="-161544.06"/>
  </r>
  <r>
    <x v="2"/>
    <n v="50303.66"/>
    <n v="41103.120000000003"/>
    <d v="2020-01-06T00:00:00"/>
    <x v="5"/>
    <x v="33"/>
    <x v="2"/>
    <x v="2"/>
    <s v="PC"/>
    <s v="23-1397222"/>
    <m/>
    <n v="202001"/>
    <n v="1"/>
    <x v="0"/>
    <x v="7"/>
    <n v="50303.66"/>
  </r>
  <r>
    <x v="0"/>
    <n v="124593.04"/>
    <n v="109106.13"/>
    <d v="2020-01-11T00:00:00"/>
    <x v="5"/>
    <x v="4"/>
    <x v="0"/>
    <x v="0"/>
    <s v="Mobile"/>
    <s v="00-4698524"/>
    <m/>
    <n v="202001"/>
    <n v="1"/>
    <x v="0"/>
    <x v="7"/>
    <n v="124593.04"/>
  </r>
  <r>
    <x v="0"/>
    <n v="44147.92"/>
    <n v="37163.72"/>
    <d v="2020-05-18T00:00:00"/>
    <x v="3"/>
    <x v="18"/>
    <x v="0"/>
    <x v="0"/>
    <s v="PC"/>
    <s v="76-3837496"/>
    <m/>
    <n v="202005"/>
    <n v="5"/>
    <x v="0"/>
    <x v="6"/>
    <n v="44147.92"/>
  </r>
  <r>
    <x v="8"/>
    <n v="42239.66"/>
    <n v="37039.96"/>
    <d v="2019-05-17T00:00:00"/>
    <x v="6"/>
    <x v="4"/>
    <x v="8"/>
    <x v="17"/>
    <s v="PC"/>
    <s v="61-7979087"/>
    <m/>
    <n v="201905"/>
    <n v="5"/>
    <x v="1"/>
    <x v="6"/>
    <n v="-42239.66"/>
  </r>
  <r>
    <x v="0"/>
    <n v="113763.38"/>
    <n v="91158.6"/>
    <d v="2020-04-01T00:00:00"/>
    <x v="0"/>
    <x v="33"/>
    <x v="0"/>
    <x v="0"/>
    <s v="PC"/>
    <s v="52-8377955"/>
    <m/>
    <n v="202004"/>
    <n v="4"/>
    <x v="0"/>
    <x v="3"/>
    <n v="113763.38"/>
  </r>
  <r>
    <x v="2"/>
    <n v="183363.6"/>
    <n v="155033.92000000001"/>
    <d v="2019-06-24T00:00:00"/>
    <x v="6"/>
    <x v="4"/>
    <x v="2"/>
    <x v="15"/>
    <s v="PC"/>
    <s v="87-6162387"/>
    <m/>
    <n v="201906"/>
    <n v="6"/>
    <x v="1"/>
    <x v="9"/>
    <n v="-183363.6"/>
  </r>
  <r>
    <x v="5"/>
    <n v="85220.83"/>
    <n v="73767.149999999994"/>
    <d v="2019-09-15T00:00:00"/>
    <x v="3"/>
    <x v="43"/>
    <x v="5"/>
    <x v="20"/>
    <s v="Tablet"/>
    <s v="11-8965256"/>
    <m/>
    <n v="201909"/>
    <n v="9"/>
    <x v="1"/>
    <x v="1"/>
    <n v="-85220.83"/>
  </r>
  <r>
    <x v="2"/>
    <n v="87513.27"/>
    <n v="72469.740000000005"/>
    <d v="2020-03-05T00:00:00"/>
    <x v="0"/>
    <x v="44"/>
    <x v="2"/>
    <x v="12"/>
    <s v="Mobile"/>
    <s v="16-9079414"/>
    <m/>
    <n v="202003"/>
    <n v="3"/>
    <x v="0"/>
    <x v="10"/>
    <n v="87513.27"/>
  </r>
  <r>
    <x v="8"/>
    <n v="37073.910000000003"/>
    <n v="30274.55"/>
    <d v="2019-04-26T00:00:00"/>
    <x v="0"/>
    <x v="45"/>
    <x v="8"/>
    <x v="24"/>
    <s v="Tablet"/>
    <s v="15-9091881"/>
    <m/>
    <n v="201904"/>
    <n v="4"/>
    <x v="1"/>
    <x v="3"/>
    <n v="-37073.910000000003"/>
  </r>
  <r>
    <x v="5"/>
    <n v="122139.94"/>
    <n v="103684.6"/>
    <d v="2019-11-02T00:00:00"/>
    <x v="6"/>
    <x v="37"/>
    <x v="5"/>
    <x v="21"/>
    <s v="PC"/>
    <s v="07-3222085"/>
    <m/>
    <n v="201911"/>
    <n v="11"/>
    <x v="1"/>
    <x v="8"/>
    <n v="-122139.94"/>
  </r>
  <r>
    <x v="5"/>
    <n v="107586.21"/>
    <n v="94525.24"/>
    <d v="2020-06-07T00:00:00"/>
    <x v="8"/>
    <x v="30"/>
    <x v="5"/>
    <x v="10"/>
    <s v="PC"/>
    <s v="20-3384992"/>
    <m/>
    <n v="202006"/>
    <n v="6"/>
    <x v="0"/>
    <x v="9"/>
    <n v="107586.21"/>
  </r>
  <r>
    <x v="4"/>
    <n v="203958.16"/>
    <n v="176444.2"/>
    <d v="2020-12-02T00:00:00"/>
    <x v="5"/>
    <x v="2"/>
    <x v="4"/>
    <x v="8"/>
    <s v="PC"/>
    <s v="09-3404706"/>
    <m/>
    <n v="202012"/>
    <n v="12"/>
    <x v="0"/>
    <x v="4"/>
    <n v="203958.16"/>
  </r>
  <r>
    <x v="2"/>
    <n v="55132.39"/>
    <n v="47121.65"/>
    <d v="2019-06-11T00:00:00"/>
    <x v="2"/>
    <x v="46"/>
    <x v="2"/>
    <x v="15"/>
    <s v="PC"/>
    <s v="97-8712680"/>
    <m/>
    <n v="201906"/>
    <n v="6"/>
    <x v="1"/>
    <x v="9"/>
    <n v="-55132.39"/>
  </r>
  <r>
    <x v="11"/>
    <n v="135424.06"/>
    <n v="116275.1"/>
    <d v="2020-01-15T00:00:00"/>
    <x v="8"/>
    <x v="27"/>
    <x v="11"/>
    <x v="27"/>
    <s v="PC"/>
    <s v="43-4245267"/>
    <m/>
    <n v="202001"/>
    <n v="1"/>
    <x v="0"/>
    <x v="7"/>
    <n v="135424.06"/>
  </r>
  <r>
    <x v="0"/>
    <n v="167123.72"/>
    <n v="132946.92000000001"/>
    <d v="2019-08-01T00:00:00"/>
    <x v="6"/>
    <x v="35"/>
    <x v="0"/>
    <x v="13"/>
    <s v="PC"/>
    <s v="58-8969119"/>
    <m/>
    <n v="201908"/>
    <n v="8"/>
    <x v="1"/>
    <x v="5"/>
    <n v="-167123.72"/>
  </r>
  <r>
    <x v="12"/>
    <n v="92868.37"/>
    <n v="79068.13"/>
    <d v="2020-03-30T00:00:00"/>
    <x v="8"/>
    <x v="28"/>
    <x v="12"/>
    <x v="28"/>
    <s v="PC"/>
    <s v="88-8436664"/>
    <m/>
    <n v="202003"/>
    <n v="3"/>
    <x v="0"/>
    <x v="10"/>
    <n v="92868.37"/>
  </r>
  <r>
    <x v="2"/>
    <n v="108689.45"/>
    <n v="91223.06"/>
    <d v="2019-11-09T00:00:00"/>
    <x v="5"/>
    <x v="32"/>
    <x v="2"/>
    <x v="29"/>
    <s v="Mobile"/>
    <s v="35-6825112"/>
    <m/>
    <n v="201911"/>
    <n v="11"/>
    <x v="1"/>
    <x v="8"/>
    <n v="-108689.45"/>
  </r>
  <r>
    <x v="2"/>
    <n v="79874.42"/>
    <n v="68132.88"/>
    <d v="2020-11-14T00:00:00"/>
    <x v="7"/>
    <x v="5"/>
    <x v="2"/>
    <x v="2"/>
    <s v="PC"/>
    <s v="24-4511396"/>
    <m/>
    <n v="202011"/>
    <n v="11"/>
    <x v="0"/>
    <x v="8"/>
    <n v="79874.42"/>
  </r>
  <r>
    <x v="12"/>
    <n v="153011.39000000001"/>
    <n v="131543.89000000001"/>
    <d v="2019-09-13T00:00:00"/>
    <x v="5"/>
    <x v="4"/>
    <x v="12"/>
    <x v="28"/>
    <s v="PC"/>
    <s v="99-0564964"/>
    <m/>
    <n v="201909"/>
    <n v="9"/>
    <x v="1"/>
    <x v="1"/>
    <n v="-153011.39000000001"/>
  </r>
  <r>
    <x v="2"/>
    <n v="72857.41"/>
    <n v="60442.51"/>
    <d v="2020-05-10T00:00:00"/>
    <x v="2"/>
    <x v="17"/>
    <x v="2"/>
    <x v="29"/>
    <s v="PC"/>
    <s v="47-9920494"/>
    <m/>
    <n v="202005"/>
    <n v="5"/>
    <x v="0"/>
    <x v="6"/>
    <n v="72857.41"/>
  </r>
  <r>
    <x v="5"/>
    <n v="102771.44"/>
    <n v="83584.009999999995"/>
    <d v="2019-11-24T00:00:00"/>
    <x v="4"/>
    <x v="47"/>
    <x v="5"/>
    <x v="7"/>
    <s v="PC"/>
    <s v="82-9352154"/>
    <m/>
    <n v="201911"/>
    <n v="11"/>
    <x v="1"/>
    <x v="8"/>
    <n v="-102771.44"/>
  </r>
  <r>
    <x v="4"/>
    <n v="90559.16"/>
    <n v="75318.05"/>
    <d v="2019-08-26T00:00:00"/>
    <x v="7"/>
    <x v="46"/>
    <x v="4"/>
    <x v="8"/>
    <s v="PC"/>
    <s v="74-6920956"/>
    <m/>
    <n v="201908"/>
    <n v="8"/>
    <x v="1"/>
    <x v="5"/>
    <n v="-90559.16"/>
  </r>
  <r>
    <x v="2"/>
    <n v="141796.75"/>
    <n v="112317.21"/>
    <d v="2020-09-16T00:00:00"/>
    <x v="1"/>
    <x v="4"/>
    <x v="2"/>
    <x v="12"/>
    <s v="PC"/>
    <s v="16-8778373"/>
    <m/>
    <n v="202009"/>
    <n v="9"/>
    <x v="0"/>
    <x v="1"/>
    <n v="141796.75"/>
  </r>
  <r>
    <x v="8"/>
    <n v="103874.1"/>
    <n v="82112.479999999996"/>
    <d v="2019-01-14T00:00:00"/>
    <x v="7"/>
    <x v="4"/>
    <x v="8"/>
    <x v="17"/>
    <s v="PC"/>
    <s v="85-4014655"/>
    <m/>
    <n v="201901"/>
    <n v="1"/>
    <x v="1"/>
    <x v="7"/>
    <n v="-103874.1"/>
  </r>
  <r>
    <x v="3"/>
    <n v="134908.19"/>
    <n v="114388.65"/>
    <d v="2020-08-18T00:00:00"/>
    <x v="2"/>
    <x v="14"/>
    <x v="3"/>
    <x v="5"/>
    <s v="PC"/>
    <s v="25-2355172"/>
    <m/>
    <n v="202008"/>
    <n v="8"/>
    <x v="0"/>
    <x v="5"/>
    <n v="134908.19"/>
  </r>
  <r>
    <x v="2"/>
    <n v="45256.74"/>
    <n v="38975.1"/>
    <d v="2019-01-14T00:00:00"/>
    <x v="9"/>
    <x v="30"/>
    <x v="2"/>
    <x v="2"/>
    <s v="PC"/>
    <s v="31-7667796"/>
    <m/>
    <n v="201901"/>
    <n v="1"/>
    <x v="1"/>
    <x v="7"/>
    <n v="-45256.74"/>
  </r>
  <r>
    <x v="2"/>
    <n v="131018.65"/>
    <n v="107920.06"/>
    <d v="2020-04-02T00:00:00"/>
    <x v="2"/>
    <x v="48"/>
    <x v="2"/>
    <x v="29"/>
    <s v="PC"/>
    <s v="39-2536155"/>
    <m/>
    <n v="202004"/>
    <n v="4"/>
    <x v="0"/>
    <x v="3"/>
    <n v="131018.65"/>
  </r>
  <r>
    <x v="11"/>
    <n v="84877.87"/>
    <n v="68454"/>
    <d v="2019-12-01T00:00:00"/>
    <x v="8"/>
    <x v="38"/>
    <x v="11"/>
    <x v="26"/>
    <s v="PC"/>
    <s v="30-8840089"/>
    <m/>
    <n v="201912"/>
    <n v="12"/>
    <x v="1"/>
    <x v="4"/>
    <n v="-84877.87"/>
  </r>
  <r>
    <x v="5"/>
    <n v="168197.78"/>
    <n v="144246.42000000001"/>
    <d v="2019-01-13T00:00:00"/>
    <x v="6"/>
    <x v="49"/>
    <x v="5"/>
    <x v="20"/>
    <s v="PC"/>
    <s v="93-8309926"/>
    <m/>
    <n v="201901"/>
    <n v="1"/>
    <x v="1"/>
    <x v="7"/>
    <n v="-168197.78"/>
  </r>
  <r>
    <x v="4"/>
    <n v="383996.76"/>
    <n v="304701.43"/>
    <d v="2019-12-19T00:00:00"/>
    <x v="9"/>
    <x v="4"/>
    <x v="4"/>
    <x v="6"/>
    <s v="PC"/>
    <s v="42-7823733"/>
    <m/>
    <n v="201912"/>
    <n v="12"/>
    <x v="1"/>
    <x v="4"/>
    <n v="-383996.76"/>
  </r>
  <r>
    <x v="5"/>
    <n v="56811.14"/>
    <n v="48221.3"/>
    <d v="2019-10-07T00:00:00"/>
    <x v="2"/>
    <x v="50"/>
    <x v="5"/>
    <x v="21"/>
    <s v="PC"/>
    <s v="03-9337803"/>
    <m/>
    <n v="201910"/>
    <n v="10"/>
    <x v="1"/>
    <x v="11"/>
    <n v="-56811.14"/>
  </r>
  <r>
    <x v="2"/>
    <n v="74364.460000000006"/>
    <n v="60145.98"/>
    <d v="2020-01-21T00:00:00"/>
    <x v="2"/>
    <x v="34"/>
    <x v="2"/>
    <x v="3"/>
    <s v="Mobile"/>
    <s v="42-1879788"/>
    <m/>
    <n v="202001"/>
    <n v="1"/>
    <x v="0"/>
    <x v="7"/>
    <n v="74364.460000000006"/>
  </r>
  <r>
    <x v="1"/>
    <n v="235608.66"/>
    <n v="201468.96"/>
    <d v="2020-07-27T00:00:00"/>
    <x v="1"/>
    <x v="35"/>
    <x v="1"/>
    <x v="1"/>
    <s v="Tablet"/>
    <s v="42-8394841"/>
    <m/>
    <n v="202007"/>
    <n v="7"/>
    <x v="0"/>
    <x v="2"/>
    <n v="235608.66"/>
  </r>
  <r>
    <x v="0"/>
    <n v="31627.37"/>
    <n v="25662.45"/>
    <d v="2020-08-27T00:00:00"/>
    <x v="3"/>
    <x v="33"/>
    <x v="0"/>
    <x v="19"/>
    <s v="Mobile"/>
    <s v="84-5642889"/>
    <m/>
    <n v="202008"/>
    <n v="8"/>
    <x v="0"/>
    <x v="5"/>
    <n v="31627.37"/>
  </r>
  <r>
    <x v="0"/>
    <n v="57227.99"/>
    <n v="46331.78"/>
    <d v="2019-03-28T00:00:00"/>
    <x v="5"/>
    <x v="4"/>
    <x v="0"/>
    <x v="13"/>
    <s v="PC"/>
    <s v="92-7234550"/>
    <m/>
    <n v="201903"/>
    <n v="3"/>
    <x v="1"/>
    <x v="10"/>
    <n v="-57227.99"/>
  </r>
  <r>
    <x v="2"/>
    <n v="84598.68"/>
    <n v="72391.09"/>
    <d v="2020-04-28T00:00:00"/>
    <x v="2"/>
    <x v="27"/>
    <x v="2"/>
    <x v="29"/>
    <s v="PC"/>
    <s v="98-5721101"/>
    <m/>
    <n v="202004"/>
    <n v="4"/>
    <x v="0"/>
    <x v="3"/>
    <n v="84598.68"/>
  </r>
  <r>
    <x v="0"/>
    <n v="98322.98"/>
    <n v="84872.4"/>
    <d v="2020-10-09T00:00:00"/>
    <x v="2"/>
    <x v="3"/>
    <x v="0"/>
    <x v="25"/>
    <s v="PC"/>
    <s v="32-9344186"/>
    <m/>
    <n v="202010"/>
    <n v="10"/>
    <x v="0"/>
    <x v="11"/>
    <n v="98322.98"/>
  </r>
  <r>
    <x v="6"/>
    <n v="62567.58"/>
    <n v="49916.42"/>
    <d v="2019-04-21T00:00:00"/>
    <x v="2"/>
    <x v="3"/>
    <x v="6"/>
    <x v="14"/>
    <s v="PC"/>
    <s v="40-7356336"/>
    <m/>
    <n v="201904"/>
    <n v="4"/>
    <x v="1"/>
    <x v="3"/>
    <n v="-62567.58"/>
  </r>
  <r>
    <x v="0"/>
    <n v="239423.57"/>
    <n v="199152.52"/>
    <d v="2019-12-08T00:00:00"/>
    <x v="8"/>
    <x v="27"/>
    <x v="0"/>
    <x v="0"/>
    <s v="Mobile"/>
    <s v="94-1762263"/>
    <m/>
    <n v="201912"/>
    <n v="12"/>
    <x v="1"/>
    <x v="4"/>
    <n v="-239423.57"/>
  </r>
  <r>
    <x v="5"/>
    <n v="68773.03"/>
    <n v="59082.91"/>
    <d v="2019-09-30T00:00:00"/>
    <x v="1"/>
    <x v="3"/>
    <x v="5"/>
    <x v="10"/>
    <s v="PC"/>
    <s v="26-5649751"/>
    <m/>
    <n v="201909"/>
    <n v="9"/>
    <x v="1"/>
    <x v="1"/>
    <n v="-68773.03"/>
  </r>
  <r>
    <x v="12"/>
    <n v="102918.09"/>
    <n v="87480.38"/>
    <d v="2019-10-28T00:00:00"/>
    <x v="6"/>
    <x v="9"/>
    <x v="12"/>
    <x v="28"/>
    <s v="PC"/>
    <s v="88-5343320"/>
    <m/>
    <n v="201910"/>
    <n v="10"/>
    <x v="1"/>
    <x v="11"/>
    <n v="-102918.09"/>
  </r>
  <r>
    <x v="4"/>
    <n v="150313.19"/>
    <n v="118927.8"/>
    <d v="2020-01-23T00:00:00"/>
    <x v="3"/>
    <x v="4"/>
    <x v="4"/>
    <x v="11"/>
    <s v="PC"/>
    <s v="09-6527060"/>
    <m/>
    <n v="202001"/>
    <n v="1"/>
    <x v="0"/>
    <x v="7"/>
    <n v="150313.19"/>
  </r>
  <r>
    <x v="0"/>
    <n v="144072.9"/>
    <n v="123729.81"/>
    <d v="2019-07-13T00:00:00"/>
    <x v="3"/>
    <x v="28"/>
    <x v="0"/>
    <x v="9"/>
    <s v="PC"/>
    <s v="85-3431441"/>
    <m/>
    <n v="201907"/>
    <n v="7"/>
    <x v="1"/>
    <x v="2"/>
    <n v="-144072.9"/>
  </r>
  <r>
    <x v="0"/>
    <n v="69681.429999999993"/>
    <n v="55529.13"/>
    <d v="2020-01-25T00:00:00"/>
    <x v="2"/>
    <x v="14"/>
    <x v="0"/>
    <x v="13"/>
    <s v="PC"/>
    <s v="78-3301264"/>
    <m/>
    <n v="202001"/>
    <n v="1"/>
    <x v="0"/>
    <x v="7"/>
    <n v="69681.429999999993"/>
  </r>
  <r>
    <x v="0"/>
    <n v="78542.59"/>
    <n v="68010.03"/>
    <d v="2019-05-26T00:00:00"/>
    <x v="1"/>
    <x v="49"/>
    <x v="0"/>
    <x v="19"/>
    <s v="PC"/>
    <s v="02-9523107"/>
    <m/>
    <n v="201905"/>
    <n v="5"/>
    <x v="1"/>
    <x v="6"/>
    <n v="-78542.59"/>
  </r>
  <r>
    <x v="2"/>
    <n v="37582.129999999997"/>
    <n v="31967.360000000001"/>
    <d v="2020-05-07T00:00:00"/>
    <x v="5"/>
    <x v="1"/>
    <x v="2"/>
    <x v="2"/>
    <s v="Mobile"/>
    <s v="19-9205287"/>
    <m/>
    <n v="202005"/>
    <n v="5"/>
    <x v="0"/>
    <x v="6"/>
    <n v="37582.129999999997"/>
  </r>
  <r>
    <x v="0"/>
    <n v="88329.48"/>
    <n v="73755.12"/>
    <d v="2020-08-16T00:00:00"/>
    <x v="2"/>
    <x v="51"/>
    <x v="0"/>
    <x v="19"/>
    <s v="Mobile"/>
    <s v="94-1199389"/>
    <m/>
    <n v="202008"/>
    <n v="8"/>
    <x v="0"/>
    <x v="5"/>
    <n v="88329.48"/>
  </r>
  <r>
    <x v="2"/>
    <n v="249099.44"/>
    <n v="215695.2"/>
    <d v="2020-06-15T00:00:00"/>
    <x v="9"/>
    <x v="4"/>
    <x v="2"/>
    <x v="12"/>
    <s v="PC"/>
    <s v="88-4621939"/>
    <m/>
    <n v="202006"/>
    <n v="6"/>
    <x v="0"/>
    <x v="9"/>
    <n v="249099.44"/>
  </r>
  <r>
    <x v="4"/>
    <n v="28328.78"/>
    <n v="24408.080000000002"/>
    <d v="2019-02-19T00:00:00"/>
    <x v="2"/>
    <x v="46"/>
    <x v="4"/>
    <x v="11"/>
    <s v="PC"/>
    <s v="68-9634139"/>
    <m/>
    <n v="201902"/>
    <n v="2"/>
    <x v="1"/>
    <x v="0"/>
    <n v="-28328.78"/>
  </r>
  <r>
    <x v="2"/>
    <n v="162246.76"/>
    <n v="142663.57999999999"/>
    <d v="2019-08-28T00:00:00"/>
    <x v="1"/>
    <x v="3"/>
    <x v="2"/>
    <x v="12"/>
    <s v="PC"/>
    <s v="44-5200140"/>
    <m/>
    <n v="201908"/>
    <n v="8"/>
    <x v="1"/>
    <x v="5"/>
    <n v="-162246.76"/>
  </r>
  <r>
    <x v="12"/>
    <n v="161217.16"/>
    <n v="135696.48000000001"/>
    <d v="2019-10-20T00:00:00"/>
    <x v="1"/>
    <x v="24"/>
    <x v="12"/>
    <x v="28"/>
    <s v="PC"/>
    <s v="98-6247105"/>
    <m/>
    <n v="201910"/>
    <n v="10"/>
    <x v="1"/>
    <x v="11"/>
    <n v="-161217.16"/>
  </r>
  <r>
    <x v="5"/>
    <n v="37397.43"/>
    <n v="30837.919999999998"/>
    <d v="2020-05-17T00:00:00"/>
    <x v="1"/>
    <x v="35"/>
    <x v="5"/>
    <x v="23"/>
    <s v="PC"/>
    <s v="24-6566439"/>
    <m/>
    <n v="202005"/>
    <n v="5"/>
    <x v="0"/>
    <x v="6"/>
    <n v="37397.43"/>
  </r>
  <r>
    <x v="4"/>
    <n v="99064.31"/>
    <n v="85393.44"/>
    <d v="2020-07-10T00:00:00"/>
    <x v="0"/>
    <x v="4"/>
    <x v="4"/>
    <x v="6"/>
    <s v="PC"/>
    <s v="52-9152387"/>
    <m/>
    <n v="202007"/>
    <n v="7"/>
    <x v="0"/>
    <x v="2"/>
    <n v="99064.31"/>
  </r>
  <r>
    <x v="0"/>
    <n v="15817.05"/>
    <n v="13743.44"/>
    <d v="2019-03-10T00:00:00"/>
    <x v="2"/>
    <x v="49"/>
    <x v="0"/>
    <x v="9"/>
    <s v="PC"/>
    <s v="26-9787272"/>
    <m/>
    <n v="201903"/>
    <n v="3"/>
    <x v="1"/>
    <x v="10"/>
    <n v="-15817.05"/>
  </r>
  <r>
    <x v="2"/>
    <n v="38930.160000000003"/>
    <n v="32837.589999999997"/>
    <d v="2020-11-18T00:00:00"/>
    <x v="7"/>
    <x v="30"/>
    <x v="2"/>
    <x v="29"/>
    <s v="PC"/>
    <s v="12-2202467"/>
    <m/>
    <n v="202011"/>
    <n v="11"/>
    <x v="0"/>
    <x v="8"/>
    <n v="38930.160000000003"/>
  </r>
  <r>
    <x v="2"/>
    <n v="28859.73"/>
    <n v="23656.32"/>
    <d v="2019-01-09T00:00:00"/>
    <x v="8"/>
    <x v="2"/>
    <x v="2"/>
    <x v="12"/>
    <s v="Mobile"/>
    <s v="82-0537890"/>
    <m/>
    <n v="201901"/>
    <n v="1"/>
    <x v="1"/>
    <x v="7"/>
    <n v="-28859.73"/>
  </r>
  <r>
    <x v="5"/>
    <n v="54079.040000000001"/>
    <n v="45031.62"/>
    <d v="2020-05-29T00:00:00"/>
    <x v="1"/>
    <x v="52"/>
    <x v="5"/>
    <x v="23"/>
    <s v="PC"/>
    <s v="15-6838362"/>
    <m/>
    <n v="202005"/>
    <n v="5"/>
    <x v="0"/>
    <x v="6"/>
    <n v="54079.040000000001"/>
  </r>
  <r>
    <x v="0"/>
    <n v="70596.7"/>
    <n v="60564.91"/>
    <d v="2020-02-09T00:00:00"/>
    <x v="8"/>
    <x v="1"/>
    <x v="0"/>
    <x v="13"/>
    <s v="PC"/>
    <s v="51-0685379"/>
    <m/>
    <n v="202002"/>
    <n v="2"/>
    <x v="0"/>
    <x v="0"/>
    <n v="70596.7"/>
  </r>
  <r>
    <x v="4"/>
    <n v="169629.55"/>
    <n v="135347.42000000001"/>
    <d v="2019-10-23T00:00:00"/>
    <x v="7"/>
    <x v="4"/>
    <x v="4"/>
    <x v="11"/>
    <s v="PC"/>
    <s v="76-5919033"/>
    <m/>
    <n v="201910"/>
    <n v="10"/>
    <x v="1"/>
    <x v="11"/>
    <n v="-169629.55"/>
  </r>
  <r>
    <x v="2"/>
    <n v="95387.89"/>
    <n v="76195.850000000006"/>
    <d v="2020-05-08T00:00:00"/>
    <x v="0"/>
    <x v="8"/>
    <x v="2"/>
    <x v="3"/>
    <s v="PC"/>
    <s v="34-7627348"/>
    <m/>
    <n v="202005"/>
    <n v="5"/>
    <x v="0"/>
    <x v="6"/>
    <n v="95387.89"/>
  </r>
  <r>
    <x v="5"/>
    <n v="50585.98"/>
    <n v="40999.94"/>
    <d v="2020-08-29T00:00:00"/>
    <x v="3"/>
    <x v="39"/>
    <x v="5"/>
    <x v="7"/>
    <s v="Tablet"/>
    <s v="32-1940437"/>
    <m/>
    <n v="202008"/>
    <n v="8"/>
    <x v="0"/>
    <x v="5"/>
    <n v="50585.98"/>
  </r>
  <r>
    <x v="0"/>
    <n v="103726.57"/>
    <n v="90231.74"/>
    <d v="2020-05-21T00:00:00"/>
    <x v="2"/>
    <x v="23"/>
    <x v="0"/>
    <x v="19"/>
    <s v="Mobile"/>
    <s v="25-9913528"/>
    <m/>
    <n v="202005"/>
    <n v="5"/>
    <x v="0"/>
    <x v="6"/>
    <n v="103726.57"/>
  </r>
  <r>
    <x v="4"/>
    <n v="222700.23"/>
    <n v="194951.78"/>
    <d v="2020-12-12T00:00:00"/>
    <x v="5"/>
    <x v="4"/>
    <x v="4"/>
    <x v="8"/>
    <s v="Mobile"/>
    <s v="73-3464233"/>
    <m/>
    <n v="202012"/>
    <n v="12"/>
    <x v="0"/>
    <x v="4"/>
    <n v="222700.23"/>
  </r>
  <r>
    <x v="2"/>
    <n v="143322.47"/>
    <n v="114213.68"/>
    <d v="2020-05-19T00:00:00"/>
    <x v="0"/>
    <x v="4"/>
    <x v="2"/>
    <x v="12"/>
    <s v="PC"/>
    <s v="04-2863062"/>
    <m/>
    <n v="202005"/>
    <n v="5"/>
    <x v="0"/>
    <x v="6"/>
    <n v="143322.47"/>
  </r>
  <r>
    <x v="4"/>
    <n v="128227.36"/>
    <n v="106710.81"/>
    <d v="2019-06-01T00:00:00"/>
    <x v="4"/>
    <x v="18"/>
    <x v="4"/>
    <x v="11"/>
    <s v="PC"/>
    <s v="18-7077174"/>
    <m/>
    <n v="201906"/>
    <n v="6"/>
    <x v="1"/>
    <x v="9"/>
    <n v="-128227.36"/>
  </r>
  <r>
    <x v="0"/>
    <n v="127939.8"/>
    <n v="112267.17"/>
    <d v="2019-12-09T00:00:00"/>
    <x v="2"/>
    <x v="8"/>
    <x v="0"/>
    <x v="13"/>
    <s v="PC"/>
    <s v="64-8300193"/>
    <m/>
    <n v="201912"/>
    <n v="12"/>
    <x v="1"/>
    <x v="4"/>
    <n v="-127939.8"/>
  </r>
  <r>
    <x v="0"/>
    <n v="146540.75"/>
    <n v="120822.85"/>
    <d v="2019-04-30T00:00:00"/>
    <x v="6"/>
    <x v="9"/>
    <x v="0"/>
    <x v="9"/>
    <s v="PC"/>
    <s v="84-2858993"/>
    <m/>
    <n v="201904"/>
    <n v="4"/>
    <x v="1"/>
    <x v="3"/>
    <n v="-146540.75"/>
  </r>
  <r>
    <x v="2"/>
    <n v="36321.68"/>
    <n v="31581.7"/>
    <d v="2020-10-29T00:00:00"/>
    <x v="0"/>
    <x v="20"/>
    <x v="2"/>
    <x v="2"/>
    <s v="PC"/>
    <s v="72-2647440"/>
    <m/>
    <n v="202010"/>
    <n v="10"/>
    <x v="0"/>
    <x v="11"/>
    <n v="36321.68"/>
  </r>
  <r>
    <x v="3"/>
    <n v="42814.57"/>
    <n v="35356.269999999997"/>
    <d v="2019-02-01T00:00:00"/>
    <x v="3"/>
    <x v="25"/>
    <x v="3"/>
    <x v="5"/>
    <s v="PC"/>
    <s v="68-1806238"/>
    <m/>
    <n v="201902"/>
    <n v="2"/>
    <x v="1"/>
    <x v="0"/>
    <n v="-42814.57"/>
  </r>
  <r>
    <x v="4"/>
    <n v="169262.2"/>
    <n v="141080.04"/>
    <d v="2020-04-26T00:00:00"/>
    <x v="3"/>
    <x v="19"/>
    <x v="4"/>
    <x v="6"/>
    <s v="PC"/>
    <s v="87-0922827"/>
    <m/>
    <n v="202004"/>
    <n v="4"/>
    <x v="0"/>
    <x v="3"/>
    <n v="169262.2"/>
  </r>
  <r>
    <x v="0"/>
    <n v="114427.36"/>
    <n v="93727.45"/>
    <d v="2020-03-11T00:00:00"/>
    <x v="9"/>
    <x v="11"/>
    <x v="0"/>
    <x v="0"/>
    <s v="PC"/>
    <s v="33-8547717"/>
    <m/>
    <n v="202003"/>
    <n v="3"/>
    <x v="0"/>
    <x v="10"/>
    <n v="114427.36"/>
  </r>
  <r>
    <x v="4"/>
    <n v="126979.62"/>
    <n v="105113.73"/>
    <d v="2019-09-26T00:00:00"/>
    <x v="8"/>
    <x v="23"/>
    <x v="4"/>
    <x v="8"/>
    <s v="PC"/>
    <s v="15-5051694"/>
    <m/>
    <n v="201909"/>
    <n v="9"/>
    <x v="1"/>
    <x v="1"/>
    <n v="-126979.62"/>
  </r>
  <r>
    <x v="9"/>
    <n v="294874.74"/>
    <n v="259106.43"/>
    <d v="2020-12-15T00:00:00"/>
    <x v="0"/>
    <x v="53"/>
    <x v="9"/>
    <x v="18"/>
    <s v="PC"/>
    <s v="37-2363680"/>
    <m/>
    <n v="202012"/>
    <n v="12"/>
    <x v="0"/>
    <x v="4"/>
    <n v="294874.74"/>
  </r>
  <r>
    <x v="4"/>
    <n v="173258.94"/>
    <n v="143198.51"/>
    <d v="2019-05-24T00:00:00"/>
    <x v="2"/>
    <x v="4"/>
    <x v="4"/>
    <x v="11"/>
    <s v="PC"/>
    <s v="92-4106004"/>
    <m/>
    <n v="201905"/>
    <n v="5"/>
    <x v="1"/>
    <x v="6"/>
    <n v="-173258.94"/>
  </r>
  <r>
    <x v="9"/>
    <n v="158362.32999999999"/>
    <n v="133990.37"/>
    <d v="2020-08-14T00:00:00"/>
    <x v="0"/>
    <x v="3"/>
    <x v="9"/>
    <x v="18"/>
    <s v="PC"/>
    <s v="39-1671087"/>
    <m/>
    <n v="202008"/>
    <n v="8"/>
    <x v="0"/>
    <x v="5"/>
    <n v="158362.32999999999"/>
  </r>
  <r>
    <x v="4"/>
    <n v="50689.19"/>
    <n v="43597.77"/>
    <d v="2020-11-18T00:00:00"/>
    <x v="2"/>
    <x v="9"/>
    <x v="4"/>
    <x v="11"/>
    <s v="PC"/>
    <s v="77-9240051"/>
    <m/>
    <n v="202011"/>
    <n v="11"/>
    <x v="0"/>
    <x v="8"/>
    <n v="50689.19"/>
  </r>
  <r>
    <x v="11"/>
    <n v="117358.02"/>
    <n v="102664.8"/>
    <d v="2020-11-02T00:00:00"/>
    <x v="2"/>
    <x v="0"/>
    <x v="11"/>
    <x v="27"/>
    <s v="PC"/>
    <s v="79-8966057"/>
    <m/>
    <n v="202011"/>
    <n v="11"/>
    <x v="0"/>
    <x v="8"/>
    <n v="117358.02"/>
  </r>
  <r>
    <x v="0"/>
    <n v="93996.68"/>
    <n v="77171.27"/>
    <d v="2020-10-10T00:00:00"/>
    <x v="1"/>
    <x v="9"/>
    <x v="0"/>
    <x v="13"/>
    <s v="Mobile"/>
    <s v="75-0683725"/>
    <m/>
    <n v="202010"/>
    <n v="10"/>
    <x v="0"/>
    <x v="11"/>
    <n v="93996.68"/>
  </r>
  <r>
    <x v="4"/>
    <n v="119769.22"/>
    <n v="98234.71"/>
    <d v="2020-01-11T00:00:00"/>
    <x v="0"/>
    <x v="39"/>
    <x v="4"/>
    <x v="11"/>
    <s v="PC"/>
    <s v="55-5032186"/>
    <m/>
    <n v="202001"/>
    <n v="1"/>
    <x v="0"/>
    <x v="7"/>
    <n v="119769.22"/>
  </r>
  <r>
    <x v="5"/>
    <n v="84194.21"/>
    <n v="71885.02"/>
    <d v="2020-12-26T00:00:00"/>
    <x v="0"/>
    <x v="38"/>
    <x v="5"/>
    <x v="23"/>
    <s v="Mobile"/>
    <s v="31-8836719"/>
    <m/>
    <n v="202012"/>
    <n v="12"/>
    <x v="0"/>
    <x v="4"/>
    <n v="84194.21"/>
  </r>
  <r>
    <x v="1"/>
    <n v="205582.75"/>
    <n v="166748.17000000001"/>
    <d v="2020-12-22T00:00:00"/>
    <x v="3"/>
    <x v="54"/>
    <x v="1"/>
    <x v="1"/>
    <s v="PC"/>
    <s v="64-4923214"/>
    <m/>
    <n v="202012"/>
    <n v="12"/>
    <x v="0"/>
    <x v="4"/>
    <n v="205582.75"/>
  </r>
  <r>
    <x v="0"/>
    <n v="159793.46"/>
    <n v="139180.1"/>
    <d v="2019-06-15T00:00:00"/>
    <x v="6"/>
    <x v="9"/>
    <x v="0"/>
    <x v="13"/>
    <s v="Tablet"/>
    <s v="98-2574776"/>
    <m/>
    <n v="201906"/>
    <n v="6"/>
    <x v="1"/>
    <x v="9"/>
    <n v="-159793.46"/>
  </r>
  <r>
    <x v="2"/>
    <n v="104711.22"/>
    <n v="90868.4"/>
    <d v="2020-08-25T00:00:00"/>
    <x v="2"/>
    <x v="55"/>
    <x v="2"/>
    <x v="12"/>
    <s v="PC"/>
    <s v="33-0729966"/>
    <m/>
    <n v="202008"/>
    <n v="8"/>
    <x v="0"/>
    <x v="5"/>
    <n v="104711.22"/>
  </r>
  <r>
    <x v="5"/>
    <n v="69126.5"/>
    <n v="55902.6"/>
    <d v="2019-12-08T00:00:00"/>
    <x v="8"/>
    <x v="5"/>
    <x v="5"/>
    <x v="23"/>
    <s v="PC"/>
    <s v="07-3201531"/>
    <m/>
    <n v="201912"/>
    <n v="12"/>
    <x v="1"/>
    <x v="4"/>
    <n v="-69126.5"/>
  </r>
  <r>
    <x v="0"/>
    <n v="20226.11"/>
    <n v="17408.61"/>
    <d v="2019-02-23T00:00:00"/>
    <x v="8"/>
    <x v="2"/>
    <x v="0"/>
    <x v="19"/>
    <s v="PC"/>
    <s v="21-3278349"/>
    <m/>
    <n v="201902"/>
    <n v="2"/>
    <x v="1"/>
    <x v="0"/>
    <n v="-20226.11"/>
  </r>
  <r>
    <x v="5"/>
    <n v="65036.81"/>
    <n v="52361.14"/>
    <d v="2019-05-30T00:00:00"/>
    <x v="9"/>
    <x v="19"/>
    <x v="5"/>
    <x v="10"/>
    <s v="PC"/>
    <s v="50-1695443"/>
    <m/>
    <n v="201905"/>
    <n v="5"/>
    <x v="1"/>
    <x v="6"/>
    <n v="-65036.81"/>
  </r>
  <r>
    <x v="5"/>
    <n v="254021.98"/>
    <n v="205605.39"/>
    <d v="2019-07-03T00:00:00"/>
    <x v="2"/>
    <x v="40"/>
    <x v="5"/>
    <x v="7"/>
    <s v="PC"/>
    <s v="52-3693331"/>
    <m/>
    <n v="201907"/>
    <n v="7"/>
    <x v="1"/>
    <x v="2"/>
    <n v="-254021.98"/>
  </r>
  <r>
    <x v="9"/>
    <n v="160185.99"/>
    <n v="130487.51"/>
    <d v="2020-09-27T00:00:00"/>
    <x v="4"/>
    <x v="38"/>
    <x v="9"/>
    <x v="18"/>
    <s v="PC"/>
    <s v="98-3033030"/>
    <m/>
    <n v="202009"/>
    <n v="9"/>
    <x v="0"/>
    <x v="1"/>
    <n v="160185.99"/>
  </r>
  <r>
    <x v="4"/>
    <n v="81219.67"/>
    <n v="70319.990000000005"/>
    <d v="2020-05-20T00:00:00"/>
    <x v="2"/>
    <x v="3"/>
    <x v="4"/>
    <x v="8"/>
    <s v="PC"/>
    <s v="34-5793997"/>
    <m/>
    <n v="202005"/>
    <n v="5"/>
    <x v="0"/>
    <x v="6"/>
    <n v="81219.67"/>
  </r>
  <r>
    <x v="2"/>
    <n v="108412.76"/>
    <n v="88594.91"/>
    <d v="2019-08-03T00:00:00"/>
    <x v="6"/>
    <x v="56"/>
    <x v="2"/>
    <x v="12"/>
    <s v="Mobile"/>
    <s v="52-7280101"/>
    <m/>
    <n v="201908"/>
    <n v="8"/>
    <x v="1"/>
    <x v="5"/>
    <n v="-108412.76"/>
  </r>
  <r>
    <x v="3"/>
    <n v="42028.45"/>
    <n v="36299.97"/>
    <d v="2020-03-01T00:00:00"/>
    <x v="9"/>
    <x v="3"/>
    <x v="3"/>
    <x v="5"/>
    <s v="PC"/>
    <s v="55-3118263"/>
    <m/>
    <n v="202003"/>
    <n v="3"/>
    <x v="0"/>
    <x v="10"/>
    <n v="42028.45"/>
  </r>
  <r>
    <x v="0"/>
    <n v="62272.959999999999"/>
    <n v="54600.93"/>
    <d v="2019-02-20T00:00:00"/>
    <x v="3"/>
    <x v="56"/>
    <x v="0"/>
    <x v="19"/>
    <s v="PC"/>
    <s v="58-9822844"/>
    <m/>
    <n v="201902"/>
    <n v="2"/>
    <x v="1"/>
    <x v="0"/>
    <n v="-62272.959999999999"/>
  </r>
  <r>
    <x v="0"/>
    <n v="91350.76"/>
    <n v="75839.399999999994"/>
    <d v="2019-02-04T00:00:00"/>
    <x v="1"/>
    <x v="11"/>
    <x v="0"/>
    <x v="13"/>
    <s v="PC"/>
    <s v="51-5324396"/>
    <m/>
    <n v="201902"/>
    <n v="2"/>
    <x v="1"/>
    <x v="0"/>
    <n v="-91350.76"/>
  </r>
  <r>
    <x v="4"/>
    <n v="123272.44"/>
    <n v="101576.49"/>
    <d v="2019-01-20T00:00:00"/>
    <x v="2"/>
    <x v="33"/>
    <x v="4"/>
    <x v="8"/>
    <s v="Tablet"/>
    <s v="99-5465830"/>
    <m/>
    <n v="201901"/>
    <n v="1"/>
    <x v="1"/>
    <x v="7"/>
    <n v="-123272.44"/>
  </r>
  <r>
    <x v="9"/>
    <n v="182852.21"/>
    <n v="145440.65"/>
    <d v="2019-12-28T00:00:00"/>
    <x v="7"/>
    <x v="4"/>
    <x v="9"/>
    <x v="18"/>
    <s v="PC"/>
    <s v="01-8696189"/>
    <m/>
    <n v="201912"/>
    <n v="12"/>
    <x v="1"/>
    <x v="4"/>
    <n v="-182852.21"/>
  </r>
  <r>
    <x v="2"/>
    <n v="118321.11"/>
    <n v="94822.54"/>
    <d v="2020-11-23T00:00:00"/>
    <x v="8"/>
    <x v="11"/>
    <x v="2"/>
    <x v="3"/>
    <s v="Tablet"/>
    <s v="20-7636879"/>
    <m/>
    <n v="202011"/>
    <n v="11"/>
    <x v="0"/>
    <x v="8"/>
    <n v="118321.11"/>
  </r>
  <r>
    <x v="4"/>
    <n v="74295.81"/>
    <n v="63716.09"/>
    <d v="2019-04-11T00:00:00"/>
    <x v="1"/>
    <x v="22"/>
    <x v="4"/>
    <x v="8"/>
    <s v="PC"/>
    <s v="85-8092784"/>
    <m/>
    <n v="201904"/>
    <n v="4"/>
    <x v="1"/>
    <x v="3"/>
    <n v="-74295.81"/>
  </r>
  <r>
    <x v="4"/>
    <n v="152865.34"/>
    <n v="121130.5"/>
    <d v="2020-12-06T00:00:00"/>
    <x v="2"/>
    <x v="57"/>
    <x v="4"/>
    <x v="8"/>
    <s v="PC"/>
    <s v="97-5905883"/>
    <m/>
    <n v="202012"/>
    <n v="12"/>
    <x v="0"/>
    <x v="4"/>
    <n v="152865.34"/>
  </r>
  <r>
    <x v="5"/>
    <n v="171458.64"/>
    <n v="148877.54"/>
    <d v="2019-08-16T00:00:00"/>
    <x v="0"/>
    <x v="29"/>
    <x v="5"/>
    <x v="20"/>
    <s v="PC"/>
    <s v="74-6473826"/>
    <m/>
    <n v="201908"/>
    <n v="8"/>
    <x v="1"/>
    <x v="5"/>
    <n v="-171458.64"/>
  </r>
  <r>
    <x v="4"/>
    <n v="156177.76999999999"/>
    <n v="130096.08"/>
    <d v="2019-12-24T00:00:00"/>
    <x v="2"/>
    <x v="4"/>
    <x v="4"/>
    <x v="6"/>
    <s v="PC"/>
    <s v="91-0416047"/>
    <m/>
    <n v="201912"/>
    <n v="12"/>
    <x v="1"/>
    <x v="4"/>
    <n v="-156177.76999999999"/>
  </r>
  <r>
    <x v="2"/>
    <n v="116023.51"/>
    <n v="96566.37"/>
    <d v="2020-06-02T00:00:00"/>
    <x v="6"/>
    <x v="11"/>
    <x v="2"/>
    <x v="2"/>
    <s v="PC"/>
    <s v="34-0232219"/>
    <m/>
    <n v="202006"/>
    <n v="6"/>
    <x v="0"/>
    <x v="9"/>
    <n v="116023.51"/>
  </r>
  <r>
    <x v="5"/>
    <n v="70657.259999999995"/>
    <n v="61330.5"/>
    <d v="2020-09-05T00:00:00"/>
    <x v="9"/>
    <x v="12"/>
    <x v="5"/>
    <x v="7"/>
    <s v="PC"/>
    <s v="34-0783331"/>
    <m/>
    <n v="202009"/>
    <n v="9"/>
    <x v="0"/>
    <x v="1"/>
    <n v="70657.259999999995"/>
  </r>
  <r>
    <x v="6"/>
    <n v="104152.15"/>
    <n v="85696.39"/>
    <d v="2019-05-06T00:00:00"/>
    <x v="6"/>
    <x v="9"/>
    <x v="6"/>
    <x v="14"/>
    <s v="Mobile"/>
    <s v="30-8215510"/>
    <m/>
    <n v="201905"/>
    <n v="5"/>
    <x v="1"/>
    <x v="6"/>
    <n v="-104152.15"/>
  </r>
  <r>
    <x v="2"/>
    <n v="84224.98"/>
    <n v="68239.08"/>
    <d v="2019-01-21T00:00:00"/>
    <x v="5"/>
    <x v="3"/>
    <x v="2"/>
    <x v="3"/>
    <s v="Mobile"/>
    <s v="95-3196761"/>
    <m/>
    <n v="201901"/>
    <n v="1"/>
    <x v="1"/>
    <x v="7"/>
    <n v="-84224.98"/>
  </r>
  <r>
    <x v="2"/>
    <n v="172505.24"/>
    <n v="139125.48000000001"/>
    <d v="2020-10-02T00:00:00"/>
    <x v="4"/>
    <x v="56"/>
    <x v="2"/>
    <x v="29"/>
    <s v="PC"/>
    <s v="99-3651863"/>
    <m/>
    <n v="202010"/>
    <n v="10"/>
    <x v="0"/>
    <x v="11"/>
    <n v="172505.24"/>
  </r>
  <r>
    <x v="2"/>
    <n v="89830.34"/>
    <n v="76795.960000000006"/>
    <d v="2019-04-19T00:00:00"/>
    <x v="1"/>
    <x v="4"/>
    <x v="2"/>
    <x v="3"/>
    <s v="Tablet"/>
    <s v="94-8641337"/>
    <m/>
    <n v="201904"/>
    <n v="4"/>
    <x v="1"/>
    <x v="3"/>
    <n v="-89830.34"/>
  </r>
  <r>
    <x v="6"/>
    <n v="353925.06"/>
    <n v="287528.71999999997"/>
    <d v="2020-12-04T00:00:00"/>
    <x v="2"/>
    <x v="51"/>
    <x v="6"/>
    <x v="14"/>
    <s v="PC"/>
    <s v="36-2694099"/>
    <m/>
    <n v="202012"/>
    <n v="12"/>
    <x v="0"/>
    <x v="4"/>
    <n v="353925.06"/>
  </r>
  <r>
    <x v="5"/>
    <n v="141436.98000000001"/>
    <n v="114691.25"/>
    <d v="2019-05-26T00:00:00"/>
    <x v="7"/>
    <x v="32"/>
    <x v="5"/>
    <x v="7"/>
    <s v="PC"/>
    <s v="40-5308505"/>
    <m/>
    <n v="201905"/>
    <n v="5"/>
    <x v="1"/>
    <x v="6"/>
    <n v="-141436.98000000001"/>
  </r>
  <r>
    <x v="4"/>
    <n v="178465.4"/>
    <n v="156282.15"/>
    <d v="2020-04-27T00:00:00"/>
    <x v="4"/>
    <x v="56"/>
    <x v="4"/>
    <x v="6"/>
    <s v="PC"/>
    <s v="68-8279682"/>
    <m/>
    <n v="202004"/>
    <n v="4"/>
    <x v="0"/>
    <x v="3"/>
    <n v="178465.4"/>
  </r>
  <r>
    <x v="0"/>
    <n v="110092.84"/>
    <n v="92797.25"/>
    <d v="2020-06-29T00:00:00"/>
    <x v="9"/>
    <x v="12"/>
    <x v="0"/>
    <x v="9"/>
    <s v="Tablet"/>
    <s v="50-2481520"/>
    <m/>
    <n v="202006"/>
    <n v="6"/>
    <x v="0"/>
    <x v="9"/>
    <n v="110092.84"/>
  </r>
  <r>
    <x v="4"/>
    <n v="154715.49"/>
    <n v="126572.74"/>
    <d v="2020-10-23T00:00:00"/>
    <x v="8"/>
    <x v="37"/>
    <x v="4"/>
    <x v="8"/>
    <s v="PC"/>
    <s v="46-1054213"/>
    <m/>
    <n v="202010"/>
    <n v="10"/>
    <x v="0"/>
    <x v="11"/>
    <n v="154715.49"/>
  </r>
  <r>
    <x v="0"/>
    <n v="92877.57"/>
    <n v="75936.7"/>
    <d v="2020-04-05T00:00:00"/>
    <x v="8"/>
    <x v="10"/>
    <x v="0"/>
    <x v="0"/>
    <s v="Mobile"/>
    <s v="40-9497268"/>
    <m/>
    <n v="202004"/>
    <n v="4"/>
    <x v="0"/>
    <x v="3"/>
    <n v="92877.57"/>
  </r>
  <r>
    <x v="5"/>
    <n v="66141.13"/>
    <n v="53435.42"/>
    <d v="2019-05-26T00:00:00"/>
    <x v="2"/>
    <x v="58"/>
    <x v="5"/>
    <x v="21"/>
    <s v="PC"/>
    <s v="54-5107115"/>
    <m/>
    <n v="201905"/>
    <n v="5"/>
    <x v="1"/>
    <x v="6"/>
    <n v="-66141.13"/>
  </r>
  <r>
    <x v="12"/>
    <n v="241782.39"/>
    <n v="196544.91"/>
    <d v="2020-06-09T00:00:00"/>
    <x v="5"/>
    <x v="4"/>
    <x v="12"/>
    <x v="28"/>
    <s v="PC"/>
    <s v="15-7053450"/>
    <m/>
    <n v="202006"/>
    <n v="6"/>
    <x v="0"/>
    <x v="9"/>
    <n v="241782.39"/>
  </r>
  <r>
    <x v="2"/>
    <n v="211872.69"/>
    <n v="177930.69"/>
    <d v="2019-07-23T00:00:00"/>
    <x v="1"/>
    <x v="4"/>
    <x v="2"/>
    <x v="15"/>
    <s v="Mobile"/>
    <s v="36-2012010"/>
    <m/>
    <n v="201907"/>
    <n v="7"/>
    <x v="1"/>
    <x v="2"/>
    <n v="-211872.69"/>
  </r>
  <r>
    <x v="2"/>
    <n v="170408.23"/>
    <n v="143432.60999999999"/>
    <d v="2020-11-03T00:00:00"/>
    <x v="2"/>
    <x v="56"/>
    <x v="2"/>
    <x v="3"/>
    <s v="Mobile"/>
    <s v="61-7521706"/>
    <m/>
    <n v="202011"/>
    <n v="11"/>
    <x v="0"/>
    <x v="8"/>
    <n v="170408.23"/>
  </r>
  <r>
    <x v="0"/>
    <n v="157683.41"/>
    <n v="130624.94"/>
    <d v="2019-06-08T00:00:00"/>
    <x v="8"/>
    <x v="35"/>
    <x v="0"/>
    <x v="13"/>
    <s v="Tablet"/>
    <s v="17-0893784"/>
    <m/>
    <n v="201906"/>
    <n v="6"/>
    <x v="1"/>
    <x v="9"/>
    <n v="-157683.41"/>
  </r>
  <r>
    <x v="2"/>
    <n v="116157.89"/>
    <n v="97166.07"/>
    <d v="2019-11-14T00:00:00"/>
    <x v="1"/>
    <x v="59"/>
    <x v="2"/>
    <x v="15"/>
    <s v="PC"/>
    <s v="23-5766200"/>
    <m/>
    <n v="201911"/>
    <n v="11"/>
    <x v="1"/>
    <x v="8"/>
    <n v="-116157.89"/>
  </r>
  <r>
    <x v="5"/>
    <n v="56106.13"/>
    <n v="45081.27"/>
    <d v="2020-03-12T00:00:00"/>
    <x v="8"/>
    <x v="12"/>
    <x v="5"/>
    <x v="10"/>
    <s v="PC"/>
    <s v="24-3140242"/>
    <m/>
    <n v="202003"/>
    <n v="3"/>
    <x v="0"/>
    <x v="10"/>
    <n v="56106.13"/>
  </r>
  <r>
    <x v="0"/>
    <n v="40385.449999999997"/>
    <n v="32591.06"/>
    <d v="2020-07-15T00:00:00"/>
    <x v="6"/>
    <x v="17"/>
    <x v="0"/>
    <x v="25"/>
    <s v="PC"/>
    <s v="81-0573181"/>
    <m/>
    <n v="202007"/>
    <n v="7"/>
    <x v="0"/>
    <x v="2"/>
    <n v="40385.449999999997"/>
  </r>
  <r>
    <x v="4"/>
    <n v="112491.58"/>
    <n v="92254.34"/>
    <d v="2019-10-24T00:00:00"/>
    <x v="5"/>
    <x v="3"/>
    <x v="4"/>
    <x v="8"/>
    <s v="Mobile"/>
    <s v="13-1936536"/>
    <m/>
    <n v="201910"/>
    <n v="10"/>
    <x v="1"/>
    <x v="11"/>
    <n v="-112491.58"/>
  </r>
  <r>
    <x v="1"/>
    <n v="200635.57"/>
    <n v="172245.64"/>
    <d v="2019-12-11T00:00:00"/>
    <x v="2"/>
    <x v="2"/>
    <x v="1"/>
    <x v="1"/>
    <s v="PC"/>
    <s v="94-8026718"/>
    <m/>
    <n v="201912"/>
    <n v="12"/>
    <x v="1"/>
    <x v="4"/>
    <n v="-200635.57"/>
  </r>
  <r>
    <x v="2"/>
    <n v="243176.92"/>
    <n v="202250.23999999999"/>
    <d v="2020-07-03T00:00:00"/>
    <x v="5"/>
    <x v="8"/>
    <x v="2"/>
    <x v="15"/>
    <s v="PC"/>
    <s v="81-5976459"/>
    <m/>
    <n v="202007"/>
    <n v="7"/>
    <x v="0"/>
    <x v="2"/>
    <n v="243176.92"/>
  </r>
  <r>
    <x v="2"/>
    <n v="52227.07"/>
    <n v="45124.19"/>
    <d v="2019-03-14T00:00:00"/>
    <x v="0"/>
    <x v="5"/>
    <x v="2"/>
    <x v="12"/>
    <s v="PC"/>
    <s v="28-6038070"/>
    <m/>
    <n v="201903"/>
    <n v="3"/>
    <x v="1"/>
    <x v="10"/>
    <n v="-52227.07"/>
  </r>
  <r>
    <x v="8"/>
    <n v="147672.87"/>
    <n v="129110.39"/>
    <d v="2019-10-15T00:00:00"/>
    <x v="8"/>
    <x v="60"/>
    <x v="8"/>
    <x v="24"/>
    <s v="PC"/>
    <s v="81-7970957"/>
    <m/>
    <n v="201910"/>
    <n v="10"/>
    <x v="1"/>
    <x v="11"/>
    <n v="-147672.87"/>
  </r>
  <r>
    <x v="5"/>
    <n v="149500.60999999999"/>
    <n v="125401.11"/>
    <d v="2020-07-24T00:00:00"/>
    <x v="1"/>
    <x v="29"/>
    <x v="5"/>
    <x v="20"/>
    <s v="PC"/>
    <s v="60-8646184"/>
    <m/>
    <n v="202007"/>
    <n v="7"/>
    <x v="0"/>
    <x v="2"/>
    <n v="149500.60999999999"/>
  </r>
  <r>
    <x v="5"/>
    <n v="53089.52"/>
    <n v="44812.86"/>
    <d v="2019-08-24T00:00:00"/>
    <x v="3"/>
    <x v="0"/>
    <x v="5"/>
    <x v="20"/>
    <s v="PC"/>
    <s v="32-2114915"/>
    <m/>
    <n v="201908"/>
    <n v="8"/>
    <x v="1"/>
    <x v="5"/>
    <n v="-53089.52"/>
  </r>
  <r>
    <x v="5"/>
    <n v="85223.07"/>
    <n v="73002.080000000002"/>
    <d v="2019-09-15T00:00:00"/>
    <x v="3"/>
    <x v="27"/>
    <x v="5"/>
    <x v="7"/>
    <s v="PC"/>
    <s v="58-7865136"/>
    <m/>
    <n v="201909"/>
    <n v="9"/>
    <x v="1"/>
    <x v="1"/>
    <n v="-85223.07"/>
  </r>
  <r>
    <x v="13"/>
    <n v="58948.52"/>
    <n v="49416.54"/>
    <d v="2020-05-20T00:00:00"/>
    <x v="2"/>
    <x v="10"/>
    <x v="13"/>
    <x v="30"/>
    <s v="PC"/>
    <s v="98-9112505"/>
    <m/>
    <n v="202005"/>
    <n v="5"/>
    <x v="0"/>
    <x v="6"/>
    <n v="58948.52"/>
  </r>
  <r>
    <x v="2"/>
    <n v="165696.9"/>
    <n v="132275.84"/>
    <d v="2020-10-22T00:00:00"/>
    <x v="8"/>
    <x v="15"/>
    <x v="2"/>
    <x v="3"/>
    <s v="PC"/>
    <s v="03-0455038"/>
    <m/>
    <n v="202010"/>
    <n v="10"/>
    <x v="0"/>
    <x v="11"/>
    <n v="165696.9"/>
  </r>
  <r>
    <x v="0"/>
    <n v="177993.88"/>
    <n v="145029.41"/>
    <d v="2019-12-02T00:00:00"/>
    <x v="7"/>
    <x v="4"/>
    <x v="0"/>
    <x v="13"/>
    <s v="Tablet"/>
    <s v="71-0122842"/>
    <m/>
    <n v="201912"/>
    <n v="12"/>
    <x v="1"/>
    <x v="4"/>
    <n v="-177993.88"/>
  </r>
  <r>
    <x v="5"/>
    <n v="108713.83"/>
    <n v="90341.19"/>
    <d v="2020-03-09T00:00:00"/>
    <x v="2"/>
    <x v="3"/>
    <x v="5"/>
    <x v="10"/>
    <s v="PC"/>
    <s v="55-1395838"/>
    <m/>
    <n v="202003"/>
    <n v="3"/>
    <x v="0"/>
    <x v="10"/>
    <n v="108713.83"/>
  </r>
  <r>
    <x v="1"/>
    <n v="25816.05"/>
    <n v="21447.97"/>
    <d v="2019-09-08T00:00:00"/>
    <x v="2"/>
    <x v="37"/>
    <x v="1"/>
    <x v="31"/>
    <s v="Mobile"/>
    <s v="95-7886861"/>
    <m/>
    <n v="201909"/>
    <n v="9"/>
    <x v="1"/>
    <x v="1"/>
    <n v="-25816.05"/>
  </r>
  <r>
    <x v="2"/>
    <n v="154072.89000000001"/>
    <n v="121887.06"/>
    <d v="2020-09-30T00:00:00"/>
    <x v="3"/>
    <x v="12"/>
    <x v="2"/>
    <x v="2"/>
    <s v="PC"/>
    <s v="19-3013452"/>
    <m/>
    <n v="202009"/>
    <n v="9"/>
    <x v="0"/>
    <x v="1"/>
    <n v="154072.89000000001"/>
  </r>
  <r>
    <x v="1"/>
    <n v="194962.05"/>
    <n v="154975.32999999999"/>
    <d v="2020-07-05T00:00:00"/>
    <x v="5"/>
    <x v="12"/>
    <x v="1"/>
    <x v="31"/>
    <s v="PC"/>
    <s v="54-5082146"/>
    <m/>
    <n v="202007"/>
    <n v="7"/>
    <x v="0"/>
    <x v="2"/>
    <n v="194962.05"/>
  </r>
  <r>
    <x v="2"/>
    <n v="60744.83"/>
    <n v="52805.48"/>
    <d v="2020-03-19T00:00:00"/>
    <x v="6"/>
    <x v="8"/>
    <x v="2"/>
    <x v="29"/>
    <s v="PC"/>
    <s v="69-4462108"/>
    <m/>
    <n v="202003"/>
    <n v="3"/>
    <x v="0"/>
    <x v="10"/>
    <n v="60744.83"/>
  </r>
  <r>
    <x v="0"/>
    <n v="39313.39"/>
    <n v="34273.410000000003"/>
    <d v="2020-10-10T00:00:00"/>
    <x v="3"/>
    <x v="51"/>
    <x v="0"/>
    <x v="9"/>
    <s v="Mobile"/>
    <s v="68-3731565"/>
    <m/>
    <n v="202010"/>
    <n v="10"/>
    <x v="0"/>
    <x v="11"/>
    <n v="39313.39"/>
  </r>
  <r>
    <x v="5"/>
    <n v="119820.82"/>
    <n v="98289.02"/>
    <d v="2019-06-16T00:00:00"/>
    <x v="5"/>
    <x v="19"/>
    <x v="5"/>
    <x v="10"/>
    <s v="PC"/>
    <s v="82-2972108"/>
    <m/>
    <n v="201906"/>
    <n v="6"/>
    <x v="1"/>
    <x v="9"/>
    <n v="-119820.82"/>
  </r>
  <r>
    <x v="4"/>
    <n v="129485.51"/>
    <n v="112794.83"/>
    <d v="2019-01-05T00:00:00"/>
    <x v="5"/>
    <x v="40"/>
    <x v="4"/>
    <x v="11"/>
    <s v="PC"/>
    <s v="15-2503493"/>
    <m/>
    <n v="201901"/>
    <n v="1"/>
    <x v="1"/>
    <x v="7"/>
    <n v="-129485.51"/>
  </r>
  <r>
    <x v="10"/>
    <n v="163203.64000000001"/>
    <n v="140893.70000000001"/>
    <d v="2019-06-21T00:00:00"/>
    <x v="6"/>
    <x v="9"/>
    <x v="10"/>
    <x v="22"/>
    <s v="PC"/>
    <s v="37-0857161"/>
    <m/>
    <n v="201906"/>
    <n v="6"/>
    <x v="1"/>
    <x v="9"/>
    <n v="-163203.64000000001"/>
  </r>
  <r>
    <x v="5"/>
    <n v="62788.04"/>
    <n v="53049.61"/>
    <d v="2020-02-13T00:00:00"/>
    <x v="5"/>
    <x v="34"/>
    <x v="5"/>
    <x v="23"/>
    <s v="PC"/>
    <s v="71-2709641"/>
    <m/>
    <n v="202002"/>
    <n v="2"/>
    <x v="0"/>
    <x v="0"/>
    <n v="62788.04"/>
  </r>
  <r>
    <x v="2"/>
    <n v="148037.71"/>
    <n v="117867.62"/>
    <d v="2020-04-14T00:00:00"/>
    <x v="8"/>
    <x v="14"/>
    <x v="2"/>
    <x v="12"/>
    <s v="PC"/>
    <s v="10-5899580"/>
    <m/>
    <n v="202004"/>
    <n v="4"/>
    <x v="0"/>
    <x v="3"/>
    <n v="148037.71"/>
  </r>
  <r>
    <x v="11"/>
    <n v="55539.67"/>
    <n v="45620.29"/>
    <d v="2020-03-21T00:00:00"/>
    <x v="8"/>
    <x v="34"/>
    <x v="11"/>
    <x v="27"/>
    <s v="PC"/>
    <s v="10-9241948"/>
    <m/>
    <n v="202003"/>
    <n v="3"/>
    <x v="0"/>
    <x v="10"/>
    <n v="55539.67"/>
  </r>
  <r>
    <x v="5"/>
    <n v="150135"/>
    <n v="131067.85"/>
    <d v="2020-09-09T00:00:00"/>
    <x v="6"/>
    <x v="2"/>
    <x v="5"/>
    <x v="23"/>
    <s v="PC"/>
    <s v="68-0080728"/>
    <m/>
    <n v="202009"/>
    <n v="9"/>
    <x v="0"/>
    <x v="1"/>
    <n v="150135"/>
  </r>
  <r>
    <x v="11"/>
    <n v="85294.3"/>
    <n v="72662.210000000006"/>
    <d v="2020-03-25T00:00:00"/>
    <x v="3"/>
    <x v="38"/>
    <x v="11"/>
    <x v="26"/>
    <s v="PC"/>
    <s v="47-0640313"/>
    <m/>
    <n v="202003"/>
    <n v="3"/>
    <x v="0"/>
    <x v="10"/>
    <n v="85294.3"/>
  </r>
  <r>
    <x v="9"/>
    <n v="136079.62"/>
    <n v="119178.53"/>
    <d v="2019-08-29T00:00:00"/>
    <x v="1"/>
    <x v="42"/>
    <x v="9"/>
    <x v="18"/>
    <s v="PC"/>
    <s v="37-6597365"/>
    <m/>
    <n v="201908"/>
    <n v="8"/>
    <x v="1"/>
    <x v="5"/>
    <n v="-136079.62"/>
  </r>
  <r>
    <x v="1"/>
    <n v="186397.6"/>
    <n v="161233.92000000001"/>
    <d v="2020-12-04T00:00:00"/>
    <x v="5"/>
    <x v="61"/>
    <x v="1"/>
    <x v="31"/>
    <s v="Mobile"/>
    <s v="13-0833129"/>
    <m/>
    <n v="202012"/>
    <n v="12"/>
    <x v="0"/>
    <x v="4"/>
    <n v="186397.6"/>
  </r>
  <r>
    <x v="12"/>
    <n v="32695.37"/>
    <n v="26375.35"/>
    <d v="2020-11-28T00:00:00"/>
    <x v="4"/>
    <x v="4"/>
    <x v="12"/>
    <x v="28"/>
    <s v="Mobile"/>
    <s v="15-2994585"/>
    <m/>
    <n v="202011"/>
    <n v="11"/>
    <x v="0"/>
    <x v="8"/>
    <n v="32695.37"/>
  </r>
  <r>
    <x v="5"/>
    <n v="86077.83"/>
    <n v="72288.160000000003"/>
    <d v="2019-11-03T00:00:00"/>
    <x v="5"/>
    <x v="4"/>
    <x v="5"/>
    <x v="10"/>
    <s v="PC"/>
    <s v="85-7784608"/>
    <m/>
    <n v="201911"/>
    <n v="11"/>
    <x v="1"/>
    <x v="8"/>
    <n v="-86077.83"/>
  </r>
  <r>
    <x v="0"/>
    <n v="72885.55"/>
    <n v="59773.440000000002"/>
    <d v="2020-12-29T00:00:00"/>
    <x v="2"/>
    <x v="4"/>
    <x v="0"/>
    <x v="9"/>
    <s v="PC"/>
    <s v="22-3969127"/>
    <m/>
    <n v="202012"/>
    <n v="12"/>
    <x v="0"/>
    <x v="4"/>
    <n v="72885.55"/>
  </r>
  <r>
    <x v="2"/>
    <n v="100469.75"/>
    <n v="82566.039999999994"/>
    <d v="2019-05-17T00:00:00"/>
    <x v="8"/>
    <x v="4"/>
    <x v="2"/>
    <x v="3"/>
    <s v="PC"/>
    <s v="80-2242820"/>
    <m/>
    <n v="201905"/>
    <n v="5"/>
    <x v="1"/>
    <x v="6"/>
    <n v="-100469.75"/>
  </r>
  <r>
    <x v="0"/>
    <n v="40831.519999999997"/>
    <n v="34192.31"/>
    <d v="2019-04-26T00:00:00"/>
    <x v="5"/>
    <x v="24"/>
    <x v="0"/>
    <x v="0"/>
    <s v="PC"/>
    <s v="35-1705563"/>
    <m/>
    <n v="201904"/>
    <n v="4"/>
    <x v="1"/>
    <x v="3"/>
    <n v="-40831.519999999997"/>
  </r>
  <r>
    <x v="10"/>
    <n v="142353.07"/>
    <n v="116046.22"/>
    <d v="2019-07-24T00:00:00"/>
    <x v="0"/>
    <x v="23"/>
    <x v="10"/>
    <x v="22"/>
    <s v="PC"/>
    <s v="93-9941140"/>
    <m/>
    <n v="201907"/>
    <n v="7"/>
    <x v="1"/>
    <x v="2"/>
    <n v="-142353.07"/>
  </r>
  <r>
    <x v="0"/>
    <n v="250315.06"/>
    <n v="218825.43"/>
    <d v="2019-07-08T00:00:00"/>
    <x v="3"/>
    <x v="40"/>
    <x v="0"/>
    <x v="13"/>
    <s v="PC"/>
    <s v="36-2366573"/>
    <m/>
    <n v="201907"/>
    <n v="7"/>
    <x v="1"/>
    <x v="2"/>
    <n v="-250315.06"/>
  </r>
  <r>
    <x v="4"/>
    <n v="100094.97"/>
    <n v="84690.35"/>
    <d v="2020-11-08T00:00:00"/>
    <x v="1"/>
    <x v="9"/>
    <x v="4"/>
    <x v="8"/>
    <s v="PC"/>
    <s v="10-9932801"/>
    <m/>
    <n v="202011"/>
    <n v="11"/>
    <x v="0"/>
    <x v="8"/>
    <n v="100094.97"/>
  </r>
  <r>
    <x v="4"/>
    <n v="77128.75"/>
    <n v="65536.3"/>
    <d v="2020-08-09T00:00:00"/>
    <x v="0"/>
    <x v="46"/>
    <x v="4"/>
    <x v="11"/>
    <s v="Mobile"/>
    <s v="70-8991739"/>
    <m/>
    <n v="202008"/>
    <n v="8"/>
    <x v="0"/>
    <x v="5"/>
    <n v="77128.75"/>
  </r>
  <r>
    <x v="5"/>
    <n v="176114.73"/>
    <n v="149257.23000000001"/>
    <d v="2020-11-24T00:00:00"/>
    <x v="8"/>
    <x v="4"/>
    <x v="5"/>
    <x v="7"/>
    <s v="PC"/>
    <s v="97-4830372"/>
    <m/>
    <n v="202011"/>
    <n v="11"/>
    <x v="0"/>
    <x v="8"/>
    <n v="176114.73"/>
  </r>
  <r>
    <x v="5"/>
    <n v="146325.53"/>
    <n v="118333.46"/>
    <d v="2020-08-09T00:00:00"/>
    <x v="1"/>
    <x v="62"/>
    <x v="5"/>
    <x v="20"/>
    <s v="PC"/>
    <s v="95-8015610"/>
    <m/>
    <n v="202008"/>
    <n v="8"/>
    <x v="0"/>
    <x v="5"/>
    <n v="146325.53"/>
  </r>
  <r>
    <x v="12"/>
    <n v="161823.46"/>
    <n v="130494.44"/>
    <d v="2020-07-20T00:00:00"/>
    <x v="2"/>
    <x v="21"/>
    <x v="12"/>
    <x v="28"/>
    <s v="PC"/>
    <s v="84-1062113"/>
    <m/>
    <n v="202007"/>
    <n v="7"/>
    <x v="0"/>
    <x v="2"/>
    <n v="161823.46"/>
  </r>
  <r>
    <x v="0"/>
    <n v="132632.97"/>
    <n v="112035.07"/>
    <d v="2019-04-23T00:00:00"/>
    <x v="8"/>
    <x v="22"/>
    <x v="0"/>
    <x v="9"/>
    <s v="PC"/>
    <s v="05-5082715"/>
    <m/>
    <n v="201904"/>
    <n v="4"/>
    <x v="1"/>
    <x v="3"/>
    <n v="-132632.97"/>
  </r>
  <r>
    <x v="2"/>
    <n v="107232.99"/>
    <n v="85207.33"/>
    <d v="2020-03-08T00:00:00"/>
    <x v="5"/>
    <x v="3"/>
    <x v="2"/>
    <x v="2"/>
    <s v="PC"/>
    <s v="35-6942653"/>
    <m/>
    <n v="202003"/>
    <n v="3"/>
    <x v="0"/>
    <x v="10"/>
    <n v="107232.99"/>
  </r>
  <r>
    <x v="0"/>
    <n v="120763.23"/>
    <n v="96719.27"/>
    <d v="2020-04-14T00:00:00"/>
    <x v="2"/>
    <x v="18"/>
    <x v="0"/>
    <x v="9"/>
    <s v="PC"/>
    <s v="79-6623911"/>
    <m/>
    <n v="202004"/>
    <n v="4"/>
    <x v="0"/>
    <x v="3"/>
    <n v="120763.23"/>
  </r>
  <r>
    <x v="8"/>
    <n v="278731.90000000002"/>
    <n v="221591.86"/>
    <d v="2019-12-05T00:00:00"/>
    <x v="5"/>
    <x v="42"/>
    <x v="8"/>
    <x v="24"/>
    <s v="PC"/>
    <s v="48-7662634"/>
    <m/>
    <n v="201912"/>
    <n v="12"/>
    <x v="1"/>
    <x v="4"/>
    <n v="-278731.90000000002"/>
  </r>
  <r>
    <x v="8"/>
    <n v="138153.70000000001"/>
    <n v="112926.83"/>
    <d v="2019-02-14T00:00:00"/>
    <x v="1"/>
    <x v="29"/>
    <x v="8"/>
    <x v="24"/>
    <s v="PC"/>
    <s v="46-5888587"/>
    <m/>
    <n v="201902"/>
    <n v="2"/>
    <x v="1"/>
    <x v="0"/>
    <n v="-138153.70000000001"/>
  </r>
  <r>
    <x v="11"/>
    <n v="68802.13"/>
    <n v="54635.77"/>
    <d v="2020-09-15T00:00:00"/>
    <x v="3"/>
    <x v="20"/>
    <x v="11"/>
    <x v="26"/>
    <s v="PC"/>
    <s v="17-3178991"/>
    <m/>
    <n v="202009"/>
    <n v="9"/>
    <x v="0"/>
    <x v="1"/>
    <n v="68802.13"/>
  </r>
  <r>
    <x v="1"/>
    <n v="35619.279999999999"/>
    <n v="28192.66"/>
    <d v="2019-01-08T00:00:00"/>
    <x v="8"/>
    <x v="18"/>
    <x v="1"/>
    <x v="1"/>
    <s v="PC"/>
    <s v="18-8528486"/>
    <m/>
    <n v="201901"/>
    <n v="1"/>
    <x v="1"/>
    <x v="7"/>
    <n v="-35619.279999999999"/>
  </r>
  <r>
    <x v="4"/>
    <n v="65014.84"/>
    <n v="53669.75"/>
    <d v="2020-03-27T00:00:00"/>
    <x v="7"/>
    <x v="46"/>
    <x v="4"/>
    <x v="8"/>
    <s v="Mobile"/>
    <s v="55-4588115"/>
    <m/>
    <n v="202003"/>
    <n v="3"/>
    <x v="0"/>
    <x v="10"/>
    <n v="65014.84"/>
  </r>
  <r>
    <x v="12"/>
    <n v="48922.42"/>
    <n v="39387.440000000002"/>
    <d v="2020-10-19T00:00:00"/>
    <x v="7"/>
    <x v="18"/>
    <x v="12"/>
    <x v="28"/>
    <s v="Tablet"/>
    <s v="19-9073616"/>
    <m/>
    <n v="202010"/>
    <n v="10"/>
    <x v="0"/>
    <x v="11"/>
    <n v="48922.42"/>
  </r>
  <r>
    <x v="5"/>
    <n v="165262.34"/>
    <n v="142621.4"/>
    <d v="2020-05-19T00:00:00"/>
    <x v="8"/>
    <x v="34"/>
    <x v="5"/>
    <x v="10"/>
    <s v="Mobile"/>
    <s v="96-0020600"/>
    <m/>
    <n v="202005"/>
    <n v="5"/>
    <x v="0"/>
    <x v="6"/>
    <n v="165262.34"/>
  </r>
  <r>
    <x v="2"/>
    <n v="164117.24"/>
    <n v="133509.37"/>
    <d v="2020-05-28T00:00:00"/>
    <x v="8"/>
    <x v="38"/>
    <x v="2"/>
    <x v="12"/>
    <s v="PC"/>
    <s v="88-7664123"/>
    <m/>
    <n v="202005"/>
    <n v="5"/>
    <x v="0"/>
    <x v="6"/>
    <n v="164117.24"/>
  </r>
  <r>
    <x v="2"/>
    <n v="238085.99"/>
    <n v="193587.72"/>
    <d v="2020-07-16T00:00:00"/>
    <x v="2"/>
    <x v="12"/>
    <x v="2"/>
    <x v="15"/>
    <s v="PC"/>
    <s v="17-8884817"/>
    <m/>
    <n v="202007"/>
    <n v="7"/>
    <x v="0"/>
    <x v="2"/>
    <n v="238085.99"/>
  </r>
  <r>
    <x v="0"/>
    <n v="117733.51"/>
    <n v="97294.97"/>
    <d v="2019-07-13T00:00:00"/>
    <x v="8"/>
    <x v="63"/>
    <x v="0"/>
    <x v="25"/>
    <s v="PC"/>
    <s v="45-5509135"/>
    <m/>
    <n v="201907"/>
    <n v="7"/>
    <x v="1"/>
    <x v="2"/>
    <n v="-117733.51"/>
  </r>
  <r>
    <x v="5"/>
    <n v="26713.46"/>
    <n v="22043.95"/>
    <d v="2020-10-12T00:00:00"/>
    <x v="3"/>
    <x v="10"/>
    <x v="5"/>
    <x v="21"/>
    <s v="PC"/>
    <s v="81-4176165"/>
    <m/>
    <n v="202010"/>
    <n v="10"/>
    <x v="0"/>
    <x v="11"/>
    <n v="26713.46"/>
  </r>
  <r>
    <x v="5"/>
    <n v="49664.17"/>
    <n v="39244.629999999997"/>
    <d v="2019-10-30T00:00:00"/>
    <x v="0"/>
    <x v="9"/>
    <x v="5"/>
    <x v="10"/>
    <s v="PC"/>
    <s v="24-9702599"/>
    <m/>
    <n v="201910"/>
    <n v="10"/>
    <x v="1"/>
    <x v="11"/>
    <n v="-49664.17"/>
  </r>
  <r>
    <x v="0"/>
    <n v="162101.93"/>
    <n v="133912.4"/>
    <d v="2019-12-19T00:00:00"/>
    <x v="6"/>
    <x v="12"/>
    <x v="0"/>
    <x v="25"/>
    <s v="PC"/>
    <s v="24-4272786"/>
    <m/>
    <n v="201912"/>
    <n v="12"/>
    <x v="1"/>
    <x v="4"/>
    <n v="-162101.93"/>
  </r>
  <r>
    <x v="5"/>
    <n v="118027.37"/>
    <n v="96050.67"/>
    <d v="2019-04-06T00:00:00"/>
    <x v="3"/>
    <x v="4"/>
    <x v="5"/>
    <x v="21"/>
    <s v="PC"/>
    <s v="77-3656041"/>
    <m/>
    <n v="201904"/>
    <n v="4"/>
    <x v="1"/>
    <x v="3"/>
    <n v="-118027.37"/>
  </r>
  <r>
    <x v="0"/>
    <n v="147994.63"/>
    <n v="129643.3"/>
    <d v="2019-01-27T00:00:00"/>
    <x v="1"/>
    <x v="13"/>
    <x v="0"/>
    <x v="13"/>
    <s v="PC"/>
    <s v="47-7207206"/>
    <m/>
    <n v="201901"/>
    <n v="1"/>
    <x v="1"/>
    <x v="7"/>
    <n v="-147994.63"/>
  </r>
  <r>
    <x v="1"/>
    <n v="48946.74"/>
    <n v="38765.82"/>
    <d v="2019-04-19T00:00:00"/>
    <x v="4"/>
    <x v="9"/>
    <x v="1"/>
    <x v="31"/>
    <s v="PC"/>
    <s v="65-2022928"/>
    <m/>
    <n v="201904"/>
    <n v="4"/>
    <x v="1"/>
    <x v="3"/>
    <n v="-48946.74"/>
  </r>
  <r>
    <x v="0"/>
    <n v="73860.570000000007"/>
    <n v="60336.7"/>
    <d v="2020-11-13T00:00:00"/>
    <x v="2"/>
    <x v="40"/>
    <x v="0"/>
    <x v="0"/>
    <s v="PC"/>
    <s v="16-5837761"/>
    <m/>
    <n v="202011"/>
    <n v="11"/>
    <x v="0"/>
    <x v="8"/>
    <n v="73860.570000000007"/>
  </r>
  <r>
    <x v="2"/>
    <n v="86083.27"/>
    <n v="72309.95"/>
    <d v="2019-11-30T00:00:00"/>
    <x v="8"/>
    <x v="63"/>
    <x v="2"/>
    <x v="15"/>
    <s v="PC"/>
    <s v="80-7090422"/>
    <m/>
    <n v="201911"/>
    <n v="11"/>
    <x v="1"/>
    <x v="8"/>
    <n v="-86083.27"/>
  </r>
  <r>
    <x v="1"/>
    <n v="72385.53"/>
    <n v="60181.33"/>
    <d v="2019-09-10T00:00:00"/>
    <x v="2"/>
    <x v="4"/>
    <x v="1"/>
    <x v="1"/>
    <s v="PC"/>
    <s v="66-8222460"/>
    <m/>
    <n v="201909"/>
    <n v="9"/>
    <x v="1"/>
    <x v="1"/>
    <n v="-72385.53"/>
  </r>
  <r>
    <x v="2"/>
    <n v="120332.26"/>
    <n v="102282.42"/>
    <d v="2020-01-14T00:00:00"/>
    <x v="2"/>
    <x v="59"/>
    <x v="2"/>
    <x v="15"/>
    <s v="Tablet"/>
    <s v="44-0527427"/>
    <m/>
    <n v="202001"/>
    <n v="1"/>
    <x v="0"/>
    <x v="7"/>
    <n v="120332.26"/>
  </r>
  <r>
    <x v="0"/>
    <n v="81262.34"/>
    <n v="65326.8"/>
    <d v="2019-09-06T00:00:00"/>
    <x v="0"/>
    <x v="4"/>
    <x v="0"/>
    <x v="9"/>
    <s v="Mobile"/>
    <s v="75-9517276"/>
    <m/>
    <n v="201909"/>
    <n v="9"/>
    <x v="1"/>
    <x v="1"/>
    <n v="-81262.34"/>
  </r>
  <r>
    <x v="14"/>
    <n v="139075.59"/>
    <n v="113708.2"/>
    <d v="2020-12-16T00:00:00"/>
    <x v="1"/>
    <x v="18"/>
    <x v="14"/>
    <x v="32"/>
    <s v="PC"/>
    <s v="24-2403756"/>
    <m/>
    <n v="202012"/>
    <n v="12"/>
    <x v="0"/>
    <x v="4"/>
    <n v="139075.59"/>
  </r>
  <r>
    <x v="5"/>
    <n v="50516.2"/>
    <n v="43918.78"/>
    <d v="2019-03-22T00:00:00"/>
    <x v="8"/>
    <x v="25"/>
    <x v="5"/>
    <x v="7"/>
    <s v="PC"/>
    <s v="50-1986322"/>
    <m/>
    <n v="201903"/>
    <n v="3"/>
    <x v="1"/>
    <x v="10"/>
    <n v="-50516.2"/>
  </r>
  <r>
    <x v="0"/>
    <n v="112228.82"/>
    <n v="97470.73"/>
    <d v="2019-09-15T00:00:00"/>
    <x v="7"/>
    <x v="8"/>
    <x v="0"/>
    <x v="0"/>
    <s v="PC"/>
    <s v="75-9585763"/>
    <m/>
    <n v="201909"/>
    <n v="9"/>
    <x v="1"/>
    <x v="1"/>
    <n v="-112228.82"/>
  </r>
  <r>
    <x v="5"/>
    <n v="79833.600000000006"/>
    <n v="63411.83"/>
    <d v="2019-06-15T00:00:00"/>
    <x v="5"/>
    <x v="29"/>
    <x v="5"/>
    <x v="23"/>
    <s v="PC"/>
    <s v="86-6760202"/>
    <m/>
    <n v="201906"/>
    <n v="6"/>
    <x v="1"/>
    <x v="9"/>
    <n v="-79833.600000000006"/>
  </r>
  <r>
    <x v="1"/>
    <n v="135629.35999999999"/>
    <n v="118526.5"/>
    <d v="2020-08-12T00:00:00"/>
    <x v="1"/>
    <x v="11"/>
    <x v="1"/>
    <x v="31"/>
    <s v="PC"/>
    <s v="66-7717800"/>
    <m/>
    <n v="202008"/>
    <n v="8"/>
    <x v="0"/>
    <x v="5"/>
    <n v="135629.35999999999"/>
  </r>
  <r>
    <x v="9"/>
    <n v="175332.04"/>
    <n v="144999.6"/>
    <d v="2020-09-24T00:00:00"/>
    <x v="4"/>
    <x v="35"/>
    <x v="9"/>
    <x v="18"/>
    <s v="PC"/>
    <s v="89-8942175"/>
    <m/>
    <n v="202009"/>
    <n v="9"/>
    <x v="0"/>
    <x v="1"/>
    <n v="175332.04"/>
  </r>
  <r>
    <x v="2"/>
    <n v="101923.36"/>
    <n v="86115.05"/>
    <d v="2019-01-19T00:00:00"/>
    <x v="3"/>
    <x v="43"/>
    <x v="2"/>
    <x v="29"/>
    <s v="Mobile"/>
    <s v="38-0584273"/>
    <m/>
    <n v="201901"/>
    <n v="1"/>
    <x v="1"/>
    <x v="7"/>
    <n v="-101923.36"/>
  </r>
  <r>
    <x v="12"/>
    <n v="190100.96"/>
    <n v="160749.37"/>
    <d v="2019-12-20T00:00:00"/>
    <x v="8"/>
    <x v="32"/>
    <x v="12"/>
    <x v="28"/>
    <s v="PC"/>
    <s v="38-8840357"/>
    <m/>
    <n v="201912"/>
    <n v="12"/>
    <x v="1"/>
    <x v="4"/>
    <n v="-190100.96"/>
  </r>
  <r>
    <x v="6"/>
    <n v="152771.9"/>
    <n v="134423.99"/>
    <d v="2020-05-02T00:00:00"/>
    <x v="2"/>
    <x v="47"/>
    <x v="6"/>
    <x v="14"/>
    <s v="PC"/>
    <s v="82-4495901"/>
    <m/>
    <n v="202005"/>
    <n v="5"/>
    <x v="0"/>
    <x v="6"/>
    <n v="152771.9"/>
  </r>
  <r>
    <x v="5"/>
    <n v="52805.94"/>
    <n v="43791.97"/>
    <d v="2020-06-22T00:00:00"/>
    <x v="6"/>
    <x v="49"/>
    <x v="5"/>
    <x v="10"/>
    <s v="PC"/>
    <s v="81-2373308"/>
    <m/>
    <n v="202006"/>
    <n v="6"/>
    <x v="0"/>
    <x v="9"/>
    <n v="52805.94"/>
  </r>
  <r>
    <x v="2"/>
    <n v="51416.24"/>
    <n v="43338.75"/>
    <d v="2020-04-15T00:00:00"/>
    <x v="6"/>
    <x v="30"/>
    <x v="2"/>
    <x v="3"/>
    <s v="PC"/>
    <s v="15-0224516"/>
    <m/>
    <n v="202004"/>
    <n v="4"/>
    <x v="0"/>
    <x v="3"/>
    <n v="51416.24"/>
  </r>
  <r>
    <x v="9"/>
    <n v="76426.539999999994"/>
    <n v="66116.600000000006"/>
    <d v="2019-03-16T00:00:00"/>
    <x v="2"/>
    <x v="41"/>
    <x v="9"/>
    <x v="18"/>
    <s v="PC"/>
    <s v="95-6935153"/>
    <m/>
    <n v="201903"/>
    <n v="3"/>
    <x v="1"/>
    <x v="10"/>
    <n v="-76426.539999999994"/>
  </r>
  <r>
    <x v="5"/>
    <n v="118021.59"/>
    <n v="98229.37"/>
    <d v="2019-04-21T00:00:00"/>
    <x v="3"/>
    <x v="44"/>
    <x v="5"/>
    <x v="7"/>
    <s v="PC"/>
    <s v="60-8661261"/>
    <m/>
    <n v="201904"/>
    <n v="4"/>
    <x v="1"/>
    <x v="3"/>
    <n v="-118021.59"/>
  </r>
  <r>
    <x v="2"/>
    <n v="59378.97"/>
    <n v="52176.3"/>
    <d v="2020-04-25T00:00:00"/>
    <x v="5"/>
    <x v="6"/>
    <x v="2"/>
    <x v="12"/>
    <s v="PC"/>
    <s v="56-2783503"/>
    <m/>
    <n v="202004"/>
    <n v="4"/>
    <x v="0"/>
    <x v="3"/>
    <n v="59378.97"/>
  </r>
  <r>
    <x v="3"/>
    <n v="61325.25"/>
    <n v="49379.09"/>
    <d v="2020-07-29T00:00:00"/>
    <x v="3"/>
    <x v="3"/>
    <x v="3"/>
    <x v="33"/>
    <s v="Tablet"/>
    <s v="95-1516475"/>
    <m/>
    <n v="202007"/>
    <n v="7"/>
    <x v="0"/>
    <x v="2"/>
    <n v="61325.25"/>
  </r>
  <r>
    <x v="5"/>
    <n v="80431.34"/>
    <n v="69774.19"/>
    <d v="2019-07-22T00:00:00"/>
    <x v="3"/>
    <x v="3"/>
    <x v="5"/>
    <x v="20"/>
    <s v="PC"/>
    <s v="32-5562588"/>
    <m/>
    <n v="201907"/>
    <n v="7"/>
    <x v="1"/>
    <x v="2"/>
    <n v="-80431.34"/>
  </r>
  <r>
    <x v="2"/>
    <n v="177919.14"/>
    <n v="147370.42000000001"/>
    <d v="2020-06-07T00:00:00"/>
    <x v="3"/>
    <x v="32"/>
    <x v="2"/>
    <x v="3"/>
    <s v="PC"/>
    <s v="70-7769332"/>
    <m/>
    <n v="202006"/>
    <n v="6"/>
    <x v="0"/>
    <x v="9"/>
    <n v="177919.14"/>
  </r>
  <r>
    <x v="11"/>
    <n v="37520.089999999997"/>
    <n v="32781.300000000003"/>
    <d v="2020-05-27T00:00:00"/>
    <x v="2"/>
    <x v="49"/>
    <x v="11"/>
    <x v="26"/>
    <s v="Mobile"/>
    <s v="07-6200800"/>
    <m/>
    <n v="202005"/>
    <n v="5"/>
    <x v="0"/>
    <x v="6"/>
    <n v="37520.089999999997"/>
  </r>
  <r>
    <x v="3"/>
    <n v="68745.86"/>
    <n v="58014.63"/>
    <d v="2019-04-09T00:00:00"/>
    <x v="8"/>
    <x v="24"/>
    <x v="3"/>
    <x v="33"/>
    <s v="PC"/>
    <s v="11-2988171"/>
    <m/>
    <n v="201904"/>
    <n v="4"/>
    <x v="1"/>
    <x v="3"/>
    <n v="-68745.86"/>
  </r>
  <r>
    <x v="13"/>
    <n v="69017.42"/>
    <n v="55897.21"/>
    <d v="2020-04-02T00:00:00"/>
    <x v="8"/>
    <x v="35"/>
    <x v="13"/>
    <x v="30"/>
    <s v="PC"/>
    <s v="38-3894304"/>
    <m/>
    <n v="202004"/>
    <n v="4"/>
    <x v="0"/>
    <x v="3"/>
    <n v="69017.42"/>
  </r>
  <r>
    <x v="5"/>
    <n v="48850.38"/>
    <n v="39788.629999999997"/>
    <d v="2019-03-31T00:00:00"/>
    <x v="5"/>
    <x v="30"/>
    <x v="5"/>
    <x v="20"/>
    <s v="PC"/>
    <s v="33-6126082"/>
    <m/>
    <n v="201903"/>
    <n v="3"/>
    <x v="1"/>
    <x v="10"/>
    <n v="-48850.38"/>
  </r>
  <r>
    <x v="6"/>
    <n v="253291.55"/>
    <n v="219502.46"/>
    <d v="2020-06-12T00:00:00"/>
    <x v="0"/>
    <x v="34"/>
    <x v="6"/>
    <x v="14"/>
    <s v="PC"/>
    <s v="25-4970452"/>
    <m/>
    <n v="202006"/>
    <n v="6"/>
    <x v="0"/>
    <x v="9"/>
    <n v="253291.55"/>
  </r>
  <r>
    <x v="2"/>
    <n v="47186.74"/>
    <n v="38112.730000000003"/>
    <d v="2019-07-28T00:00:00"/>
    <x v="8"/>
    <x v="64"/>
    <x v="2"/>
    <x v="3"/>
    <s v="PC"/>
    <s v="34-8903845"/>
    <m/>
    <n v="201907"/>
    <n v="7"/>
    <x v="1"/>
    <x v="2"/>
    <n v="-47186.74"/>
  </r>
  <r>
    <x v="2"/>
    <n v="59670.68"/>
    <n v="51269.05"/>
    <d v="2019-09-10T00:00:00"/>
    <x v="5"/>
    <x v="43"/>
    <x v="2"/>
    <x v="3"/>
    <s v="PC"/>
    <s v="32-2110689"/>
    <m/>
    <n v="201909"/>
    <n v="9"/>
    <x v="1"/>
    <x v="1"/>
    <n v="-59670.68"/>
  </r>
  <r>
    <x v="2"/>
    <n v="228961.3"/>
    <n v="183764.34"/>
    <d v="2020-06-01T00:00:00"/>
    <x v="5"/>
    <x v="4"/>
    <x v="2"/>
    <x v="15"/>
    <s v="PC"/>
    <s v="37-8204282"/>
    <m/>
    <n v="202006"/>
    <n v="6"/>
    <x v="0"/>
    <x v="9"/>
    <n v="228961.3"/>
  </r>
  <r>
    <x v="5"/>
    <n v="165259.57999999999"/>
    <n v="130703.8"/>
    <d v="2020-06-26T00:00:00"/>
    <x v="7"/>
    <x v="17"/>
    <x v="5"/>
    <x v="20"/>
    <s v="PC"/>
    <s v="46-1318487"/>
    <m/>
    <n v="202006"/>
    <n v="6"/>
    <x v="0"/>
    <x v="9"/>
    <n v="165259.57999999999"/>
  </r>
  <r>
    <x v="5"/>
    <n v="219911.81"/>
    <n v="179426.05"/>
    <d v="2019-07-05T00:00:00"/>
    <x v="2"/>
    <x v="37"/>
    <x v="5"/>
    <x v="20"/>
    <s v="PC"/>
    <s v="99-3971751"/>
    <m/>
    <n v="201907"/>
    <n v="7"/>
    <x v="1"/>
    <x v="2"/>
    <n v="-219911.81"/>
  </r>
  <r>
    <x v="1"/>
    <n v="55882.12"/>
    <n v="48561.56"/>
    <d v="2020-05-20T00:00:00"/>
    <x v="2"/>
    <x v="18"/>
    <x v="1"/>
    <x v="31"/>
    <s v="PC"/>
    <s v="24-7985425"/>
    <m/>
    <n v="202005"/>
    <n v="5"/>
    <x v="0"/>
    <x v="6"/>
    <n v="55882.12"/>
  </r>
  <r>
    <x v="5"/>
    <n v="16388.900000000001"/>
    <n v="13430.7"/>
    <d v="2020-03-15T00:00:00"/>
    <x v="8"/>
    <x v="42"/>
    <x v="5"/>
    <x v="20"/>
    <s v="PC"/>
    <s v="30-9690927"/>
    <m/>
    <n v="202003"/>
    <n v="3"/>
    <x v="0"/>
    <x v="10"/>
    <n v="16388.900000000001"/>
  </r>
  <r>
    <x v="3"/>
    <n v="85927.37"/>
    <n v="74490.44"/>
    <d v="2019-04-15T00:00:00"/>
    <x v="2"/>
    <x v="64"/>
    <x v="3"/>
    <x v="5"/>
    <s v="PC"/>
    <s v="37-5025811"/>
    <m/>
    <n v="201904"/>
    <n v="4"/>
    <x v="1"/>
    <x v="3"/>
    <n v="-85927.37"/>
  </r>
  <r>
    <x v="5"/>
    <n v="161212.39000000001"/>
    <n v="138046.17000000001"/>
    <d v="2020-07-04T00:00:00"/>
    <x v="4"/>
    <x v="1"/>
    <x v="5"/>
    <x v="20"/>
    <s v="PC"/>
    <s v="21-6670877"/>
    <m/>
    <n v="202007"/>
    <n v="7"/>
    <x v="0"/>
    <x v="2"/>
    <n v="161212.39000000001"/>
  </r>
  <r>
    <x v="5"/>
    <n v="66678.38"/>
    <n v="53009.31"/>
    <d v="2019-03-04T00:00:00"/>
    <x v="6"/>
    <x v="32"/>
    <x v="5"/>
    <x v="10"/>
    <s v="PC"/>
    <s v="34-3119010"/>
    <m/>
    <n v="201903"/>
    <n v="3"/>
    <x v="1"/>
    <x v="10"/>
    <n v="-66678.38"/>
  </r>
  <r>
    <x v="0"/>
    <n v="148243.04999999999"/>
    <n v="120566.07"/>
    <d v="2020-12-07T00:00:00"/>
    <x v="3"/>
    <x v="4"/>
    <x v="0"/>
    <x v="0"/>
    <s v="PC"/>
    <s v="54-7503816"/>
    <m/>
    <n v="202012"/>
    <n v="12"/>
    <x v="0"/>
    <x v="4"/>
    <n v="148243.04999999999"/>
  </r>
  <r>
    <x v="11"/>
    <n v="126523.36"/>
    <n v="106368.19"/>
    <d v="2020-05-14T00:00:00"/>
    <x v="1"/>
    <x v="65"/>
    <x v="11"/>
    <x v="26"/>
    <s v="PC"/>
    <s v="96-1698894"/>
    <m/>
    <n v="202005"/>
    <n v="5"/>
    <x v="0"/>
    <x v="6"/>
    <n v="126523.36"/>
  </r>
  <r>
    <x v="11"/>
    <n v="63373.72"/>
    <n v="55572.41"/>
    <d v="2020-03-03T00:00:00"/>
    <x v="2"/>
    <x v="46"/>
    <x v="11"/>
    <x v="26"/>
    <s v="PC"/>
    <s v="92-0523700"/>
    <m/>
    <n v="202003"/>
    <n v="3"/>
    <x v="0"/>
    <x v="10"/>
    <n v="63373.72"/>
  </r>
  <r>
    <x v="11"/>
    <n v="76767.77"/>
    <n v="64500.28"/>
    <d v="2020-01-22T00:00:00"/>
    <x v="1"/>
    <x v="30"/>
    <x v="11"/>
    <x v="26"/>
    <s v="PC"/>
    <s v="15-3657248"/>
    <m/>
    <n v="202001"/>
    <n v="1"/>
    <x v="0"/>
    <x v="7"/>
    <n v="76767.77"/>
  </r>
  <r>
    <x v="2"/>
    <n v="78938.820000000007"/>
    <n v="65471.86"/>
    <d v="2019-04-24T00:00:00"/>
    <x v="1"/>
    <x v="28"/>
    <x v="2"/>
    <x v="29"/>
    <s v="PC"/>
    <s v="16-3423161"/>
    <m/>
    <n v="201904"/>
    <n v="4"/>
    <x v="1"/>
    <x v="3"/>
    <n v="-78938.820000000007"/>
  </r>
  <r>
    <x v="5"/>
    <n v="131864.04"/>
    <n v="110277.9"/>
    <d v="2019-04-09T00:00:00"/>
    <x v="5"/>
    <x v="18"/>
    <x v="5"/>
    <x v="21"/>
    <s v="PC"/>
    <s v="67-2684209"/>
    <m/>
    <n v="201904"/>
    <n v="4"/>
    <x v="1"/>
    <x v="3"/>
    <n v="-131864.04"/>
  </r>
  <r>
    <x v="2"/>
    <n v="116774.43"/>
    <n v="98954.65"/>
    <d v="2019-04-21T00:00:00"/>
    <x v="4"/>
    <x v="24"/>
    <x v="2"/>
    <x v="15"/>
    <s v="Mobile"/>
    <s v="21-7344983"/>
    <m/>
    <n v="201904"/>
    <n v="4"/>
    <x v="1"/>
    <x v="3"/>
    <n v="-116774.43"/>
  </r>
  <r>
    <x v="5"/>
    <n v="141112.84"/>
    <n v="120044.69"/>
    <d v="2020-08-08T00:00:00"/>
    <x v="8"/>
    <x v="8"/>
    <x v="5"/>
    <x v="23"/>
    <s v="Mobile"/>
    <s v="47-9701762"/>
    <m/>
    <n v="202008"/>
    <n v="8"/>
    <x v="0"/>
    <x v="5"/>
    <n v="141112.84"/>
  </r>
  <r>
    <x v="8"/>
    <n v="33210.559999999998"/>
    <n v="29109.06"/>
    <d v="2020-11-20T00:00:00"/>
    <x v="0"/>
    <x v="3"/>
    <x v="8"/>
    <x v="24"/>
    <s v="PC"/>
    <s v="86-3876359"/>
    <m/>
    <n v="202011"/>
    <n v="11"/>
    <x v="0"/>
    <x v="8"/>
    <n v="33210.559999999998"/>
  </r>
  <r>
    <x v="5"/>
    <n v="174392.33"/>
    <n v="141449.62"/>
    <d v="2020-08-03T00:00:00"/>
    <x v="6"/>
    <x v="24"/>
    <x v="5"/>
    <x v="21"/>
    <s v="PC"/>
    <s v="34-4313860"/>
    <m/>
    <n v="202008"/>
    <n v="8"/>
    <x v="0"/>
    <x v="5"/>
    <n v="174392.33"/>
  </r>
  <r>
    <x v="0"/>
    <n v="204484.61"/>
    <n v="177308.61"/>
    <d v="2019-06-16T00:00:00"/>
    <x v="1"/>
    <x v="7"/>
    <x v="0"/>
    <x v="19"/>
    <s v="Tablet"/>
    <s v="71-4782689"/>
    <m/>
    <n v="201906"/>
    <n v="6"/>
    <x v="1"/>
    <x v="9"/>
    <n v="-204484.61"/>
  </r>
  <r>
    <x v="12"/>
    <n v="80986.100000000006"/>
    <n v="64124.79"/>
    <d v="2019-12-02T00:00:00"/>
    <x v="5"/>
    <x v="46"/>
    <x v="12"/>
    <x v="28"/>
    <s v="Mobile"/>
    <s v="85-3690127"/>
    <m/>
    <n v="201912"/>
    <n v="12"/>
    <x v="1"/>
    <x v="4"/>
    <n v="-80986.100000000006"/>
  </r>
  <r>
    <x v="0"/>
    <n v="179179.73"/>
    <n v="154936.71"/>
    <d v="2019-10-22T00:00:00"/>
    <x v="0"/>
    <x v="38"/>
    <x v="0"/>
    <x v="9"/>
    <s v="PC"/>
    <s v="66-5810051"/>
    <m/>
    <n v="201910"/>
    <n v="10"/>
    <x v="1"/>
    <x v="11"/>
    <n v="-179179.73"/>
  </r>
  <r>
    <x v="6"/>
    <n v="99731.4"/>
    <n v="84731.8"/>
    <d v="2020-01-12T00:00:00"/>
    <x v="8"/>
    <x v="37"/>
    <x v="6"/>
    <x v="14"/>
    <s v="PC"/>
    <s v="81-9170157"/>
    <m/>
    <n v="202001"/>
    <n v="1"/>
    <x v="0"/>
    <x v="7"/>
    <n v="99731.4"/>
  </r>
  <r>
    <x v="5"/>
    <n v="32661.62"/>
    <n v="27922.42"/>
    <d v="2020-02-08T00:00:00"/>
    <x v="8"/>
    <x v="38"/>
    <x v="5"/>
    <x v="10"/>
    <s v="PC"/>
    <s v="24-7300640"/>
    <m/>
    <n v="202002"/>
    <n v="2"/>
    <x v="0"/>
    <x v="0"/>
    <n v="32661.62"/>
  </r>
  <r>
    <x v="0"/>
    <n v="30166.93"/>
    <n v="24658.45"/>
    <d v="2019-11-29T00:00:00"/>
    <x v="5"/>
    <x v="51"/>
    <x v="0"/>
    <x v="25"/>
    <s v="PC"/>
    <s v="97-1288901"/>
    <m/>
    <n v="201911"/>
    <n v="11"/>
    <x v="1"/>
    <x v="8"/>
    <n v="-30166.93"/>
  </r>
  <r>
    <x v="12"/>
    <n v="36747.24"/>
    <n v="31900.28"/>
    <d v="2019-01-19T00:00:00"/>
    <x v="4"/>
    <x v="4"/>
    <x v="12"/>
    <x v="28"/>
    <s v="PC"/>
    <s v="81-9757849"/>
    <m/>
    <n v="201901"/>
    <n v="1"/>
    <x v="1"/>
    <x v="7"/>
    <n v="-36747.24"/>
  </r>
  <r>
    <x v="5"/>
    <n v="66884.7"/>
    <n v="58544.18"/>
    <d v="2020-01-19T00:00:00"/>
    <x v="6"/>
    <x v="10"/>
    <x v="5"/>
    <x v="20"/>
    <s v="PC"/>
    <s v="44-9179070"/>
    <m/>
    <n v="202001"/>
    <n v="1"/>
    <x v="0"/>
    <x v="7"/>
    <n v="66884.7"/>
  </r>
  <r>
    <x v="2"/>
    <n v="165305.70000000001"/>
    <n v="134757.21"/>
    <d v="2019-07-13T00:00:00"/>
    <x v="1"/>
    <x v="33"/>
    <x v="2"/>
    <x v="3"/>
    <s v="PC"/>
    <s v="55-2137809"/>
    <m/>
    <n v="201907"/>
    <n v="7"/>
    <x v="1"/>
    <x v="2"/>
    <n v="-165305.70000000001"/>
  </r>
  <r>
    <x v="0"/>
    <n v="50618.21"/>
    <n v="41835.949999999997"/>
    <d v="2019-03-05T00:00:00"/>
    <x v="3"/>
    <x v="35"/>
    <x v="0"/>
    <x v="25"/>
    <s v="PC"/>
    <s v="56-1063618"/>
    <m/>
    <n v="201903"/>
    <n v="3"/>
    <x v="1"/>
    <x v="10"/>
    <n v="-50618.21"/>
  </r>
  <r>
    <x v="0"/>
    <n v="82116.31"/>
    <n v="70652.87"/>
    <d v="2020-05-30T00:00:00"/>
    <x v="3"/>
    <x v="38"/>
    <x v="0"/>
    <x v="19"/>
    <s v="Tablet"/>
    <s v="01-8080546"/>
    <m/>
    <n v="202005"/>
    <n v="5"/>
    <x v="0"/>
    <x v="6"/>
    <n v="82116.31"/>
  </r>
  <r>
    <x v="0"/>
    <n v="106142.65"/>
    <n v="88151.47"/>
    <d v="2019-06-04T00:00:00"/>
    <x v="1"/>
    <x v="66"/>
    <x v="0"/>
    <x v="9"/>
    <s v="PC"/>
    <s v="29-5632797"/>
    <m/>
    <n v="201906"/>
    <n v="6"/>
    <x v="1"/>
    <x v="9"/>
    <n v="-106142.65"/>
  </r>
  <r>
    <x v="2"/>
    <n v="149514"/>
    <n v="122646.33"/>
    <d v="2020-10-18T00:00:00"/>
    <x v="1"/>
    <x v="39"/>
    <x v="2"/>
    <x v="2"/>
    <s v="Mobile"/>
    <s v="20-1191256"/>
    <m/>
    <n v="202010"/>
    <n v="10"/>
    <x v="0"/>
    <x v="11"/>
    <n v="149514"/>
  </r>
  <r>
    <x v="0"/>
    <n v="30975.79"/>
    <n v="27072.84"/>
    <d v="2020-03-15T00:00:00"/>
    <x v="2"/>
    <x v="29"/>
    <x v="0"/>
    <x v="25"/>
    <s v="PC"/>
    <s v="33-4022317"/>
    <m/>
    <n v="202003"/>
    <n v="3"/>
    <x v="0"/>
    <x v="10"/>
    <n v="30975.79"/>
  </r>
  <r>
    <x v="5"/>
    <n v="165118.74"/>
    <n v="137527.4"/>
    <d v="2019-11-02T00:00:00"/>
    <x v="2"/>
    <x v="37"/>
    <x v="5"/>
    <x v="10"/>
    <s v="PC"/>
    <s v="59-5892824"/>
    <m/>
    <n v="201911"/>
    <n v="11"/>
    <x v="1"/>
    <x v="8"/>
    <n v="-165118.74"/>
  </r>
  <r>
    <x v="12"/>
    <n v="76652.73"/>
    <n v="64311.64"/>
    <d v="2020-08-04T00:00:00"/>
    <x v="4"/>
    <x v="5"/>
    <x v="12"/>
    <x v="28"/>
    <s v="PC"/>
    <s v="52-3394023"/>
    <m/>
    <n v="202008"/>
    <n v="8"/>
    <x v="0"/>
    <x v="5"/>
    <n v="76652.73"/>
  </r>
  <r>
    <x v="4"/>
    <n v="151632.32999999999"/>
    <n v="120744.82"/>
    <d v="2020-07-14T00:00:00"/>
    <x v="2"/>
    <x v="17"/>
    <x v="4"/>
    <x v="6"/>
    <s v="PC"/>
    <s v="89-5350599"/>
    <m/>
    <n v="202007"/>
    <n v="7"/>
    <x v="0"/>
    <x v="2"/>
    <n v="151632.32999999999"/>
  </r>
  <r>
    <x v="5"/>
    <n v="35289.75"/>
    <n v="29424.59"/>
    <d v="2019-02-26T00:00:00"/>
    <x v="6"/>
    <x v="17"/>
    <x v="5"/>
    <x v="7"/>
    <s v="PC"/>
    <s v="92-6298656"/>
    <m/>
    <n v="201902"/>
    <n v="2"/>
    <x v="1"/>
    <x v="0"/>
    <n v="-35289.75"/>
  </r>
  <r>
    <x v="5"/>
    <n v="77043.839999999997"/>
    <n v="63245.29"/>
    <d v="2020-02-08T00:00:00"/>
    <x v="7"/>
    <x v="17"/>
    <x v="5"/>
    <x v="23"/>
    <s v="PC"/>
    <s v="91-7317758"/>
    <m/>
    <n v="202002"/>
    <n v="2"/>
    <x v="0"/>
    <x v="0"/>
    <n v="77043.839999999997"/>
  </r>
  <r>
    <x v="2"/>
    <n v="59691.71"/>
    <n v="49239.69"/>
    <d v="2019-06-17T00:00:00"/>
    <x v="9"/>
    <x v="32"/>
    <x v="2"/>
    <x v="15"/>
    <s v="PC"/>
    <s v="60-6055725"/>
    <m/>
    <n v="201906"/>
    <n v="6"/>
    <x v="1"/>
    <x v="9"/>
    <n v="-59691.71"/>
  </r>
  <r>
    <x v="2"/>
    <n v="181882.43"/>
    <n v="149834.75"/>
    <d v="2019-07-28T00:00:00"/>
    <x v="0"/>
    <x v="47"/>
    <x v="2"/>
    <x v="12"/>
    <s v="PC"/>
    <s v="33-2816759"/>
    <m/>
    <n v="201907"/>
    <n v="7"/>
    <x v="1"/>
    <x v="2"/>
    <n v="-181882.43"/>
  </r>
  <r>
    <x v="2"/>
    <n v="50796.04"/>
    <n v="44090.96"/>
    <d v="2019-09-21T00:00:00"/>
    <x v="0"/>
    <x v="5"/>
    <x v="2"/>
    <x v="15"/>
    <s v="PC"/>
    <s v="05-2359767"/>
    <m/>
    <n v="201909"/>
    <n v="9"/>
    <x v="1"/>
    <x v="1"/>
    <n v="-50796.04"/>
  </r>
  <r>
    <x v="6"/>
    <n v="73981.77"/>
    <n v="61959.73"/>
    <d v="2019-11-18T00:00:00"/>
    <x v="2"/>
    <x v="27"/>
    <x v="6"/>
    <x v="14"/>
    <s v="PC"/>
    <s v="73-9492768"/>
    <m/>
    <n v="201911"/>
    <n v="11"/>
    <x v="1"/>
    <x v="8"/>
    <n v="-73981.77"/>
  </r>
  <r>
    <x v="4"/>
    <n v="105686.13"/>
    <n v="86694.33"/>
    <d v="2019-10-13T00:00:00"/>
    <x v="7"/>
    <x v="4"/>
    <x v="4"/>
    <x v="8"/>
    <s v="PC"/>
    <s v="31-6770318"/>
    <m/>
    <n v="201910"/>
    <n v="10"/>
    <x v="1"/>
    <x v="11"/>
    <n v="-105686.13"/>
  </r>
  <r>
    <x v="0"/>
    <n v="149376.26"/>
    <n v="123653.67"/>
    <d v="2020-01-31T00:00:00"/>
    <x v="9"/>
    <x v="28"/>
    <x v="0"/>
    <x v="13"/>
    <s v="PC"/>
    <s v="52-0695511"/>
    <m/>
    <n v="202001"/>
    <n v="1"/>
    <x v="0"/>
    <x v="7"/>
    <n v="149376.26"/>
  </r>
  <r>
    <x v="6"/>
    <n v="85237.91"/>
    <n v="72384.03"/>
    <d v="2020-03-18T00:00:00"/>
    <x v="6"/>
    <x v="17"/>
    <x v="6"/>
    <x v="14"/>
    <s v="PC"/>
    <s v="45-8314773"/>
    <m/>
    <n v="202003"/>
    <n v="3"/>
    <x v="0"/>
    <x v="10"/>
    <n v="85237.91"/>
  </r>
  <r>
    <x v="9"/>
    <n v="104743.22"/>
    <n v="83281.33"/>
    <d v="2019-03-24T00:00:00"/>
    <x v="8"/>
    <x v="4"/>
    <x v="9"/>
    <x v="18"/>
    <s v="Mobile"/>
    <s v="53-0205940"/>
    <m/>
    <n v="201903"/>
    <n v="3"/>
    <x v="1"/>
    <x v="10"/>
    <n v="-104743.22"/>
  </r>
  <r>
    <x v="2"/>
    <n v="290551.74"/>
    <n v="239530.86"/>
    <d v="2020-12-14T00:00:00"/>
    <x v="9"/>
    <x v="3"/>
    <x v="2"/>
    <x v="29"/>
    <s v="PC"/>
    <s v="53-1660551"/>
    <m/>
    <n v="202012"/>
    <n v="12"/>
    <x v="0"/>
    <x v="4"/>
    <n v="290551.74"/>
  </r>
  <r>
    <x v="5"/>
    <n v="72314.73"/>
    <n v="57309.42"/>
    <d v="2019-08-27T00:00:00"/>
    <x v="5"/>
    <x v="4"/>
    <x v="5"/>
    <x v="21"/>
    <s v="PC"/>
    <s v="70-5394452"/>
    <m/>
    <n v="201908"/>
    <n v="8"/>
    <x v="1"/>
    <x v="5"/>
    <n v="-72314.73"/>
  </r>
  <r>
    <x v="6"/>
    <n v="119858.15"/>
    <n v="99997.65"/>
    <d v="2020-11-19T00:00:00"/>
    <x v="8"/>
    <x v="40"/>
    <x v="6"/>
    <x v="14"/>
    <s v="PC"/>
    <s v="10-0386535"/>
    <m/>
    <n v="202011"/>
    <n v="11"/>
    <x v="0"/>
    <x v="8"/>
    <n v="119858.15"/>
  </r>
  <r>
    <x v="2"/>
    <n v="119937.47"/>
    <n v="98720.53"/>
    <d v="2019-08-13T00:00:00"/>
    <x v="1"/>
    <x v="64"/>
    <x v="2"/>
    <x v="3"/>
    <s v="PC"/>
    <s v="56-8476539"/>
    <m/>
    <n v="201908"/>
    <n v="8"/>
    <x v="1"/>
    <x v="5"/>
    <n v="-119937.47"/>
  </r>
  <r>
    <x v="5"/>
    <n v="60592.4"/>
    <n v="52363.95"/>
    <d v="2019-02-22T00:00:00"/>
    <x v="4"/>
    <x v="12"/>
    <x v="5"/>
    <x v="20"/>
    <s v="PC"/>
    <s v="04-7976277"/>
    <m/>
    <n v="201902"/>
    <n v="2"/>
    <x v="1"/>
    <x v="0"/>
    <n v="-60592.4"/>
  </r>
  <r>
    <x v="11"/>
    <n v="31966.82"/>
    <n v="26593.200000000001"/>
    <d v="2020-08-24T00:00:00"/>
    <x v="5"/>
    <x v="4"/>
    <x v="11"/>
    <x v="27"/>
    <s v="PC"/>
    <s v="21-2965409"/>
    <m/>
    <n v="202008"/>
    <n v="8"/>
    <x v="0"/>
    <x v="5"/>
    <n v="31966.82"/>
  </r>
  <r>
    <x v="2"/>
    <n v="83226.45"/>
    <n v="71699.59"/>
    <d v="2020-11-22T00:00:00"/>
    <x v="3"/>
    <x v="9"/>
    <x v="2"/>
    <x v="12"/>
    <s v="PC"/>
    <s v="04-2788693"/>
    <m/>
    <n v="202011"/>
    <n v="11"/>
    <x v="0"/>
    <x v="8"/>
    <n v="83226.45"/>
  </r>
  <r>
    <x v="12"/>
    <n v="51407.3"/>
    <n v="44292.53"/>
    <d v="2019-05-02T00:00:00"/>
    <x v="2"/>
    <x v="34"/>
    <x v="12"/>
    <x v="28"/>
    <s v="Tablet"/>
    <s v="20-6477396"/>
    <m/>
    <n v="201905"/>
    <n v="5"/>
    <x v="1"/>
    <x v="6"/>
    <n v="-51407.3"/>
  </r>
  <r>
    <x v="12"/>
    <n v="61968.26"/>
    <n v="50690.04"/>
    <d v="2020-12-27T00:00:00"/>
    <x v="8"/>
    <x v="14"/>
    <x v="12"/>
    <x v="28"/>
    <s v="PC"/>
    <s v="22-7259031"/>
    <m/>
    <n v="202012"/>
    <n v="12"/>
    <x v="0"/>
    <x v="4"/>
    <n v="61968.26"/>
  </r>
  <r>
    <x v="11"/>
    <n v="271465.15000000002"/>
    <n v="217959.37"/>
    <d v="2019-07-03T00:00:00"/>
    <x v="8"/>
    <x v="51"/>
    <x v="11"/>
    <x v="26"/>
    <s v="Mobile"/>
    <s v="44-9239029"/>
    <m/>
    <n v="201907"/>
    <n v="7"/>
    <x v="1"/>
    <x v="2"/>
    <n v="-271465.15000000002"/>
  </r>
  <r>
    <x v="0"/>
    <n v="86854.64"/>
    <n v="72219.63"/>
    <d v="2020-02-04T00:00:00"/>
    <x v="0"/>
    <x v="11"/>
    <x v="0"/>
    <x v="25"/>
    <s v="PC"/>
    <s v="77-4566105"/>
    <m/>
    <n v="202002"/>
    <n v="2"/>
    <x v="0"/>
    <x v="0"/>
    <n v="86854.64"/>
  </r>
  <r>
    <x v="11"/>
    <n v="119819.37"/>
    <n v="105441.05"/>
    <d v="2020-12-07T00:00:00"/>
    <x v="6"/>
    <x v="23"/>
    <x v="11"/>
    <x v="27"/>
    <s v="PC"/>
    <s v="29-3662564"/>
    <m/>
    <n v="202012"/>
    <n v="12"/>
    <x v="0"/>
    <x v="4"/>
    <n v="119819.37"/>
  </r>
  <r>
    <x v="4"/>
    <n v="160763.9"/>
    <n v="131102.96"/>
    <d v="2019-04-18T00:00:00"/>
    <x v="5"/>
    <x v="40"/>
    <x v="4"/>
    <x v="8"/>
    <s v="PC"/>
    <s v="73-8057834"/>
    <m/>
    <n v="201904"/>
    <n v="4"/>
    <x v="1"/>
    <x v="3"/>
    <n v="-160763.9"/>
  </r>
  <r>
    <x v="0"/>
    <n v="44029.07"/>
    <n v="38344.92"/>
    <d v="2019-09-09T00:00:00"/>
    <x v="9"/>
    <x v="29"/>
    <x v="0"/>
    <x v="13"/>
    <s v="PC"/>
    <s v="87-9980890"/>
    <m/>
    <n v="201909"/>
    <n v="9"/>
    <x v="1"/>
    <x v="1"/>
    <n v="-44029.07"/>
  </r>
  <r>
    <x v="5"/>
    <n v="86628.32"/>
    <n v="72464.59"/>
    <d v="2019-11-06T00:00:00"/>
    <x v="5"/>
    <x v="49"/>
    <x v="5"/>
    <x v="20"/>
    <s v="PC"/>
    <s v="98-8250897"/>
    <m/>
    <n v="201911"/>
    <n v="11"/>
    <x v="1"/>
    <x v="8"/>
    <n v="-86628.32"/>
  </r>
  <r>
    <x v="2"/>
    <n v="97641.25"/>
    <n v="83414.92"/>
    <d v="2020-10-17T00:00:00"/>
    <x v="0"/>
    <x v="53"/>
    <x v="2"/>
    <x v="29"/>
    <s v="PC"/>
    <s v="98-3051699"/>
    <m/>
    <n v="202010"/>
    <n v="10"/>
    <x v="0"/>
    <x v="11"/>
    <n v="97641.25"/>
  </r>
  <r>
    <x v="2"/>
    <n v="98746.66"/>
    <n v="80399.53"/>
    <d v="2020-02-10T00:00:00"/>
    <x v="5"/>
    <x v="19"/>
    <x v="2"/>
    <x v="2"/>
    <s v="PC"/>
    <s v="75-7291972"/>
    <m/>
    <n v="202002"/>
    <n v="2"/>
    <x v="0"/>
    <x v="0"/>
    <n v="98746.66"/>
  </r>
  <r>
    <x v="5"/>
    <n v="109562.5"/>
    <n v="89917.94"/>
    <d v="2020-08-05T00:00:00"/>
    <x v="5"/>
    <x v="46"/>
    <x v="5"/>
    <x v="7"/>
    <s v="PC"/>
    <s v="67-3672347"/>
    <m/>
    <n v="202008"/>
    <n v="8"/>
    <x v="0"/>
    <x v="5"/>
    <n v="109562.5"/>
  </r>
  <r>
    <x v="4"/>
    <n v="60301.96"/>
    <n v="48820.47"/>
    <d v="2019-02-08T00:00:00"/>
    <x v="3"/>
    <x v="25"/>
    <x v="4"/>
    <x v="11"/>
    <s v="PC"/>
    <s v="75-1785229"/>
    <m/>
    <n v="201902"/>
    <n v="2"/>
    <x v="1"/>
    <x v="0"/>
    <n v="-60301.96"/>
  </r>
  <r>
    <x v="5"/>
    <n v="80781.62"/>
    <n v="68971.350000000006"/>
    <d v="2019-01-19T00:00:00"/>
    <x v="6"/>
    <x v="40"/>
    <x v="5"/>
    <x v="21"/>
    <s v="Mobile"/>
    <s v="53-1426071"/>
    <m/>
    <n v="201901"/>
    <n v="1"/>
    <x v="1"/>
    <x v="7"/>
    <n v="-80781.62"/>
  </r>
  <r>
    <x v="5"/>
    <n v="238659.41"/>
    <n v="204507.25"/>
    <d v="2019-12-23T00:00:00"/>
    <x v="5"/>
    <x v="51"/>
    <x v="5"/>
    <x v="10"/>
    <s v="Tablet"/>
    <s v="49-7167664"/>
    <m/>
    <n v="201912"/>
    <n v="12"/>
    <x v="1"/>
    <x v="4"/>
    <n v="-238659.41"/>
  </r>
  <r>
    <x v="4"/>
    <n v="165631.75"/>
    <n v="139114.10999999999"/>
    <d v="2019-09-03T00:00:00"/>
    <x v="5"/>
    <x v="4"/>
    <x v="4"/>
    <x v="11"/>
    <s v="PC"/>
    <s v="07-7047482"/>
    <m/>
    <n v="201909"/>
    <n v="9"/>
    <x v="1"/>
    <x v="1"/>
    <n v="-165631.75"/>
  </r>
  <r>
    <x v="0"/>
    <n v="126682.79"/>
    <n v="106514.89"/>
    <d v="2019-06-11T00:00:00"/>
    <x v="6"/>
    <x v="18"/>
    <x v="0"/>
    <x v="0"/>
    <s v="PC"/>
    <s v="57-1931933"/>
    <m/>
    <n v="201906"/>
    <n v="6"/>
    <x v="1"/>
    <x v="9"/>
    <n v="-126682.79"/>
  </r>
  <r>
    <x v="0"/>
    <n v="145558"/>
    <n v="116257.18"/>
    <d v="2019-12-20T00:00:00"/>
    <x v="2"/>
    <x v="57"/>
    <x v="0"/>
    <x v="25"/>
    <s v="Tablet"/>
    <s v="15-5167065"/>
    <m/>
    <n v="201912"/>
    <n v="12"/>
    <x v="1"/>
    <x v="4"/>
    <n v="-145558"/>
  </r>
  <r>
    <x v="3"/>
    <n v="59163.79"/>
    <n v="50419.38"/>
    <d v="2019-03-11T00:00:00"/>
    <x v="6"/>
    <x v="47"/>
    <x v="3"/>
    <x v="5"/>
    <s v="Mobile"/>
    <s v="98-9382686"/>
    <m/>
    <n v="201903"/>
    <n v="3"/>
    <x v="1"/>
    <x v="10"/>
    <n v="-59163.79"/>
  </r>
  <r>
    <x v="0"/>
    <n v="140352.81"/>
    <n v="122303.44"/>
    <d v="2019-12-01T00:00:00"/>
    <x v="6"/>
    <x v="1"/>
    <x v="0"/>
    <x v="19"/>
    <s v="PC"/>
    <s v="47-5733147"/>
    <m/>
    <n v="201912"/>
    <n v="12"/>
    <x v="1"/>
    <x v="4"/>
    <n v="-140352.81"/>
  </r>
  <r>
    <x v="5"/>
    <n v="163401.23000000001"/>
    <n v="139413.93"/>
    <d v="2019-04-22T00:00:00"/>
    <x v="2"/>
    <x v="10"/>
    <x v="5"/>
    <x v="23"/>
    <s v="PC"/>
    <s v="98-2104934"/>
    <m/>
    <n v="201904"/>
    <n v="4"/>
    <x v="1"/>
    <x v="3"/>
    <n v="-163401.23000000001"/>
  </r>
  <r>
    <x v="0"/>
    <n v="177867.3"/>
    <n v="140675.25"/>
    <d v="2020-10-03T00:00:00"/>
    <x v="6"/>
    <x v="32"/>
    <x v="0"/>
    <x v="9"/>
    <s v="PC"/>
    <s v="30-6005742"/>
    <m/>
    <n v="202010"/>
    <n v="10"/>
    <x v="0"/>
    <x v="11"/>
    <n v="177867.3"/>
  </r>
  <r>
    <x v="12"/>
    <n v="58416.81"/>
    <n v="46745.13"/>
    <d v="2019-02-07T00:00:00"/>
    <x v="2"/>
    <x v="53"/>
    <x v="12"/>
    <x v="28"/>
    <s v="PC"/>
    <s v="21-7461655"/>
    <m/>
    <n v="201902"/>
    <n v="2"/>
    <x v="1"/>
    <x v="0"/>
    <n v="-58416.81"/>
  </r>
  <r>
    <x v="12"/>
    <n v="169544.95"/>
    <n v="137568.76999999999"/>
    <d v="2020-04-12T00:00:00"/>
    <x v="5"/>
    <x v="22"/>
    <x v="12"/>
    <x v="28"/>
    <s v="Mobile"/>
    <s v="96-7625873"/>
    <m/>
    <n v="202004"/>
    <n v="4"/>
    <x v="0"/>
    <x v="3"/>
    <n v="169544.95"/>
  </r>
  <r>
    <x v="9"/>
    <n v="74732.789999999994"/>
    <n v="64098.31"/>
    <d v="2020-02-24T00:00:00"/>
    <x v="3"/>
    <x v="47"/>
    <x v="9"/>
    <x v="18"/>
    <s v="PC"/>
    <s v="53-2132479"/>
    <m/>
    <n v="202002"/>
    <n v="2"/>
    <x v="0"/>
    <x v="0"/>
    <n v="74732.789999999994"/>
  </r>
  <r>
    <x v="2"/>
    <n v="55166.78"/>
    <n v="47443.43"/>
    <d v="2020-04-13T00:00:00"/>
    <x v="0"/>
    <x v="8"/>
    <x v="2"/>
    <x v="15"/>
    <s v="PC"/>
    <s v="70-4650708"/>
    <m/>
    <n v="202004"/>
    <n v="4"/>
    <x v="0"/>
    <x v="3"/>
    <n v="55166.78"/>
  </r>
  <r>
    <x v="5"/>
    <n v="99319.33"/>
    <n v="79127.710000000006"/>
    <d v="2020-05-26T00:00:00"/>
    <x v="1"/>
    <x v="3"/>
    <x v="5"/>
    <x v="10"/>
    <s v="PC"/>
    <s v="53-3037652"/>
    <m/>
    <n v="202005"/>
    <n v="5"/>
    <x v="0"/>
    <x v="6"/>
    <n v="99319.33"/>
  </r>
  <r>
    <x v="0"/>
    <n v="118982.14"/>
    <n v="95506.96"/>
    <d v="2020-01-15T00:00:00"/>
    <x v="2"/>
    <x v="62"/>
    <x v="0"/>
    <x v="19"/>
    <s v="Mobile"/>
    <s v="76-0774122"/>
    <m/>
    <n v="202001"/>
    <n v="1"/>
    <x v="0"/>
    <x v="7"/>
    <n v="118982.14"/>
  </r>
  <r>
    <x v="11"/>
    <n v="157007.51999999999"/>
    <n v="126940.58"/>
    <d v="2019-08-31T00:00:00"/>
    <x v="3"/>
    <x v="21"/>
    <x v="11"/>
    <x v="26"/>
    <s v="PC"/>
    <s v="72-3928347"/>
    <m/>
    <n v="201908"/>
    <n v="8"/>
    <x v="1"/>
    <x v="5"/>
    <n v="-157007.51999999999"/>
  </r>
  <r>
    <x v="5"/>
    <n v="49374.25"/>
    <n v="39208.089999999997"/>
    <d v="2019-05-21T00:00:00"/>
    <x v="0"/>
    <x v="58"/>
    <x v="5"/>
    <x v="21"/>
    <s v="PC"/>
    <s v="87-1399932"/>
    <m/>
    <n v="201905"/>
    <n v="5"/>
    <x v="1"/>
    <x v="6"/>
    <n v="-49374.25"/>
  </r>
  <r>
    <x v="2"/>
    <n v="123891.6"/>
    <n v="104118.5"/>
    <d v="2019-07-23T00:00:00"/>
    <x v="1"/>
    <x v="35"/>
    <x v="2"/>
    <x v="2"/>
    <s v="PC"/>
    <s v="25-1045028"/>
    <m/>
    <n v="201907"/>
    <n v="7"/>
    <x v="1"/>
    <x v="2"/>
    <n v="-123891.6"/>
  </r>
  <r>
    <x v="5"/>
    <n v="234340.31"/>
    <n v="204438.49"/>
    <d v="2020-12-13T00:00:00"/>
    <x v="2"/>
    <x v="3"/>
    <x v="5"/>
    <x v="23"/>
    <s v="PC"/>
    <s v="70-0364033"/>
    <m/>
    <n v="202012"/>
    <n v="12"/>
    <x v="0"/>
    <x v="4"/>
    <n v="234340.31"/>
  </r>
  <r>
    <x v="6"/>
    <n v="95575.75"/>
    <n v="75504.84"/>
    <d v="2020-12-23T00:00:00"/>
    <x v="0"/>
    <x v="3"/>
    <x v="6"/>
    <x v="14"/>
    <s v="PC"/>
    <s v="35-9372764"/>
    <m/>
    <n v="202012"/>
    <n v="12"/>
    <x v="0"/>
    <x v="4"/>
    <n v="95575.75"/>
  </r>
  <r>
    <x v="1"/>
    <n v="125280.28"/>
    <n v="99372.32"/>
    <d v="2019-10-18T00:00:00"/>
    <x v="3"/>
    <x v="14"/>
    <x v="1"/>
    <x v="1"/>
    <s v="PC"/>
    <s v="36-1142710"/>
    <m/>
    <n v="201910"/>
    <n v="10"/>
    <x v="1"/>
    <x v="11"/>
    <n v="-125280.28"/>
  </r>
  <r>
    <x v="2"/>
    <n v="127482.28"/>
    <n v="108614.9"/>
    <d v="2020-08-26T00:00:00"/>
    <x v="3"/>
    <x v="1"/>
    <x v="2"/>
    <x v="3"/>
    <s v="PC"/>
    <s v="75-6291395"/>
    <m/>
    <n v="202008"/>
    <n v="8"/>
    <x v="0"/>
    <x v="5"/>
    <n v="127482.28"/>
  </r>
  <r>
    <x v="2"/>
    <n v="120453.52"/>
    <n v="97218.04"/>
    <d v="2019-02-11T00:00:00"/>
    <x v="3"/>
    <x v="50"/>
    <x v="2"/>
    <x v="29"/>
    <s v="PC"/>
    <s v="00-3338378"/>
    <m/>
    <n v="201902"/>
    <n v="2"/>
    <x v="1"/>
    <x v="0"/>
    <n v="-120453.52"/>
  </r>
  <r>
    <x v="2"/>
    <n v="120152.33"/>
    <n v="97527.65"/>
    <d v="2019-09-29T00:00:00"/>
    <x v="7"/>
    <x v="14"/>
    <x v="2"/>
    <x v="2"/>
    <s v="PC"/>
    <s v="55-1904761"/>
    <m/>
    <n v="201909"/>
    <n v="9"/>
    <x v="1"/>
    <x v="1"/>
    <n v="-120152.33"/>
  </r>
  <r>
    <x v="2"/>
    <n v="95410.97"/>
    <n v="80593.649999999994"/>
    <d v="2020-09-22T00:00:00"/>
    <x v="0"/>
    <x v="18"/>
    <x v="2"/>
    <x v="15"/>
    <s v="Mobile"/>
    <s v="70-9736399"/>
    <m/>
    <n v="202009"/>
    <n v="9"/>
    <x v="0"/>
    <x v="1"/>
    <n v="95410.97"/>
  </r>
  <r>
    <x v="5"/>
    <n v="128804.51"/>
    <n v="105709.86"/>
    <d v="2019-09-13T00:00:00"/>
    <x v="5"/>
    <x v="63"/>
    <x v="5"/>
    <x v="10"/>
    <s v="Tablet"/>
    <s v="20-3125420"/>
    <m/>
    <n v="201909"/>
    <n v="9"/>
    <x v="1"/>
    <x v="1"/>
    <n v="-128804.51"/>
  </r>
  <r>
    <x v="10"/>
    <n v="26899.97"/>
    <n v="23198.53"/>
    <d v="2019-03-19T00:00:00"/>
    <x v="1"/>
    <x v="3"/>
    <x v="10"/>
    <x v="22"/>
    <s v="PC"/>
    <s v="57-2968987"/>
    <m/>
    <n v="201903"/>
    <n v="3"/>
    <x v="1"/>
    <x v="10"/>
    <n v="-26899.97"/>
  </r>
  <r>
    <x v="4"/>
    <n v="123751.91"/>
    <n v="102590.33"/>
    <d v="2019-11-18T00:00:00"/>
    <x v="6"/>
    <x v="4"/>
    <x v="4"/>
    <x v="11"/>
    <s v="PC"/>
    <s v="76-2146784"/>
    <m/>
    <n v="201911"/>
    <n v="11"/>
    <x v="1"/>
    <x v="8"/>
    <n v="-123751.91"/>
  </r>
  <r>
    <x v="0"/>
    <n v="37081.31"/>
    <n v="31304.04"/>
    <d v="2019-03-11T00:00:00"/>
    <x v="3"/>
    <x v="40"/>
    <x v="0"/>
    <x v="9"/>
    <s v="PC"/>
    <s v="19-3129154"/>
    <m/>
    <n v="201903"/>
    <n v="3"/>
    <x v="1"/>
    <x v="10"/>
    <n v="-37081.31"/>
  </r>
  <r>
    <x v="5"/>
    <n v="133905.54999999999"/>
    <n v="116886.15"/>
    <d v="2020-08-01T00:00:00"/>
    <x v="0"/>
    <x v="22"/>
    <x v="5"/>
    <x v="23"/>
    <s v="Mobile"/>
    <s v="79-0973971"/>
    <m/>
    <n v="202008"/>
    <n v="8"/>
    <x v="0"/>
    <x v="5"/>
    <n v="133905.54999999999"/>
  </r>
  <r>
    <x v="5"/>
    <n v="63298.61"/>
    <n v="53645.57"/>
    <d v="2020-04-10T00:00:00"/>
    <x v="5"/>
    <x v="50"/>
    <x v="5"/>
    <x v="23"/>
    <s v="Mobile"/>
    <s v="65-5376517"/>
    <m/>
    <n v="202004"/>
    <n v="4"/>
    <x v="0"/>
    <x v="3"/>
    <n v="63298.61"/>
  </r>
  <r>
    <x v="5"/>
    <n v="274242.36"/>
    <n v="227950.25"/>
    <d v="2020-12-09T00:00:00"/>
    <x v="7"/>
    <x v="3"/>
    <x v="5"/>
    <x v="10"/>
    <s v="Mobile"/>
    <s v="80-5258827"/>
    <m/>
    <n v="202012"/>
    <n v="12"/>
    <x v="0"/>
    <x v="4"/>
    <n v="274242.36"/>
  </r>
  <r>
    <x v="9"/>
    <n v="312928.71999999997"/>
    <n v="270401.71000000002"/>
    <d v="2019-12-12T00:00:00"/>
    <x v="3"/>
    <x v="34"/>
    <x v="9"/>
    <x v="18"/>
    <s v="Tablet"/>
    <s v="98-5257166"/>
    <m/>
    <n v="201912"/>
    <n v="12"/>
    <x v="1"/>
    <x v="4"/>
    <n v="-312928.71999999997"/>
  </r>
  <r>
    <x v="5"/>
    <n v="119156.18"/>
    <n v="100710.8"/>
    <d v="2019-08-20T00:00:00"/>
    <x v="3"/>
    <x v="4"/>
    <x v="5"/>
    <x v="21"/>
    <s v="PC"/>
    <s v="19-5610175"/>
    <m/>
    <n v="201908"/>
    <n v="8"/>
    <x v="1"/>
    <x v="5"/>
    <n v="-119156.18"/>
  </r>
  <r>
    <x v="5"/>
    <n v="162123.74"/>
    <n v="133979.06"/>
    <d v="2020-04-14T00:00:00"/>
    <x v="3"/>
    <x v="4"/>
    <x v="5"/>
    <x v="7"/>
    <s v="PC"/>
    <s v="94-3509391"/>
    <m/>
    <n v="202004"/>
    <n v="4"/>
    <x v="0"/>
    <x v="3"/>
    <n v="162123.74"/>
  </r>
  <r>
    <x v="11"/>
    <n v="65831.42"/>
    <n v="52487.39"/>
    <d v="2019-01-12T00:00:00"/>
    <x v="8"/>
    <x v="33"/>
    <x v="11"/>
    <x v="27"/>
    <s v="PC"/>
    <s v="43-5417299"/>
    <m/>
    <n v="201901"/>
    <n v="1"/>
    <x v="1"/>
    <x v="7"/>
    <n v="-65831.42"/>
  </r>
  <r>
    <x v="5"/>
    <n v="180515.09"/>
    <n v="148852.74"/>
    <d v="2019-12-26T00:00:00"/>
    <x v="0"/>
    <x v="15"/>
    <x v="5"/>
    <x v="10"/>
    <s v="PC"/>
    <s v="68-6141868"/>
    <m/>
    <n v="201912"/>
    <n v="12"/>
    <x v="1"/>
    <x v="4"/>
    <n v="-180515.09"/>
  </r>
  <r>
    <x v="4"/>
    <n v="99114.91"/>
    <n v="84217.94"/>
    <d v="2020-04-04T00:00:00"/>
    <x v="2"/>
    <x v="4"/>
    <x v="4"/>
    <x v="6"/>
    <s v="PC"/>
    <s v="29-8979189"/>
    <m/>
    <n v="202004"/>
    <n v="4"/>
    <x v="0"/>
    <x v="3"/>
    <n v="99114.91"/>
  </r>
  <r>
    <x v="2"/>
    <n v="171884"/>
    <n v="146702.99"/>
    <d v="2019-10-13T00:00:00"/>
    <x v="1"/>
    <x v="4"/>
    <x v="2"/>
    <x v="2"/>
    <s v="PC"/>
    <s v="58-9821508"/>
    <m/>
    <n v="201910"/>
    <n v="10"/>
    <x v="1"/>
    <x v="11"/>
    <n v="-171884"/>
  </r>
  <r>
    <x v="13"/>
    <n v="26745.94"/>
    <n v="22600.32"/>
    <d v="2019-11-10T00:00:00"/>
    <x v="5"/>
    <x v="2"/>
    <x v="13"/>
    <x v="30"/>
    <s v="PC"/>
    <s v="49-1493117"/>
    <m/>
    <n v="201911"/>
    <n v="11"/>
    <x v="1"/>
    <x v="8"/>
    <n v="-26745.94"/>
  </r>
  <r>
    <x v="2"/>
    <n v="77087.839999999997"/>
    <n v="65894.69"/>
    <d v="2020-05-17T00:00:00"/>
    <x v="9"/>
    <x v="12"/>
    <x v="2"/>
    <x v="3"/>
    <s v="PC"/>
    <s v="51-5334556"/>
    <m/>
    <n v="202005"/>
    <n v="5"/>
    <x v="0"/>
    <x v="6"/>
    <n v="77087.839999999997"/>
  </r>
  <r>
    <x v="5"/>
    <n v="87404"/>
    <n v="69363.81"/>
    <d v="2019-12-26T00:00:00"/>
    <x v="8"/>
    <x v="4"/>
    <x v="5"/>
    <x v="7"/>
    <s v="PC"/>
    <s v="79-3154360"/>
    <m/>
    <n v="201912"/>
    <n v="12"/>
    <x v="1"/>
    <x v="4"/>
    <n v="-87404"/>
  </r>
  <r>
    <x v="5"/>
    <n v="47680.2"/>
    <n v="40575.85"/>
    <d v="2019-07-08T00:00:00"/>
    <x v="2"/>
    <x v="23"/>
    <x v="5"/>
    <x v="20"/>
    <s v="PC"/>
    <s v="11-6024248"/>
    <m/>
    <n v="201907"/>
    <n v="7"/>
    <x v="1"/>
    <x v="2"/>
    <n v="-47680.2"/>
  </r>
  <r>
    <x v="1"/>
    <n v="27824.83"/>
    <n v="23517.55"/>
    <d v="2019-09-06T00:00:00"/>
    <x v="1"/>
    <x v="47"/>
    <x v="1"/>
    <x v="1"/>
    <s v="PC"/>
    <s v="61-4610981"/>
    <m/>
    <n v="201909"/>
    <n v="9"/>
    <x v="1"/>
    <x v="1"/>
    <n v="-27824.83"/>
  </r>
  <r>
    <x v="2"/>
    <n v="106516.4"/>
    <n v="86928.03"/>
    <d v="2019-03-21T00:00:00"/>
    <x v="2"/>
    <x v="64"/>
    <x v="2"/>
    <x v="2"/>
    <s v="PC"/>
    <s v="12-4509008"/>
    <m/>
    <n v="201903"/>
    <n v="3"/>
    <x v="1"/>
    <x v="10"/>
    <n v="-106516.4"/>
  </r>
  <r>
    <x v="5"/>
    <n v="141948.10999999999"/>
    <n v="112948.11"/>
    <d v="2020-04-25T00:00:00"/>
    <x v="0"/>
    <x v="58"/>
    <x v="5"/>
    <x v="7"/>
    <s v="PC"/>
    <s v="46-5576111"/>
    <m/>
    <n v="202004"/>
    <n v="4"/>
    <x v="0"/>
    <x v="3"/>
    <n v="141948.10999999999"/>
  </r>
  <r>
    <x v="11"/>
    <n v="226021.18"/>
    <n v="180455.31"/>
    <d v="2019-07-18T00:00:00"/>
    <x v="4"/>
    <x v="50"/>
    <x v="11"/>
    <x v="27"/>
    <s v="PC"/>
    <s v="44-6718687"/>
    <m/>
    <n v="201907"/>
    <n v="7"/>
    <x v="1"/>
    <x v="2"/>
    <n v="-226021.18"/>
  </r>
  <r>
    <x v="10"/>
    <n v="44232.84"/>
    <n v="38880.67"/>
    <d v="2020-02-20T00:00:00"/>
    <x v="0"/>
    <x v="4"/>
    <x v="10"/>
    <x v="22"/>
    <s v="Tablet"/>
    <s v="67-7432229"/>
    <m/>
    <n v="202002"/>
    <n v="2"/>
    <x v="0"/>
    <x v="0"/>
    <n v="44232.84"/>
  </r>
  <r>
    <x v="11"/>
    <n v="135344.51999999999"/>
    <n v="117492.58"/>
    <d v="2019-01-17T00:00:00"/>
    <x v="1"/>
    <x v="11"/>
    <x v="11"/>
    <x v="27"/>
    <s v="PC"/>
    <s v="17-4401585"/>
    <m/>
    <n v="201901"/>
    <n v="1"/>
    <x v="1"/>
    <x v="7"/>
    <n v="-135344.51999999999"/>
  </r>
  <r>
    <x v="5"/>
    <n v="271411.92"/>
    <n v="231514.37"/>
    <d v="2019-12-09T00:00:00"/>
    <x v="2"/>
    <x v="3"/>
    <x v="5"/>
    <x v="10"/>
    <s v="Tablet"/>
    <s v="56-9241023"/>
    <m/>
    <n v="201912"/>
    <n v="12"/>
    <x v="1"/>
    <x v="4"/>
    <n v="-271411.92"/>
  </r>
  <r>
    <x v="2"/>
    <n v="125253.59"/>
    <n v="108269.2"/>
    <d v="2020-02-17T00:00:00"/>
    <x v="6"/>
    <x v="18"/>
    <x v="2"/>
    <x v="12"/>
    <s v="PC"/>
    <s v="90-2194359"/>
    <m/>
    <n v="202002"/>
    <n v="2"/>
    <x v="0"/>
    <x v="0"/>
    <n v="125253.59"/>
  </r>
  <r>
    <x v="0"/>
    <n v="15100.57"/>
    <n v="12113.68"/>
    <d v="2019-02-20T00:00:00"/>
    <x v="1"/>
    <x v="18"/>
    <x v="0"/>
    <x v="25"/>
    <s v="PC"/>
    <s v="89-2424262"/>
    <m/>
    <n v="201902"/>
    <n v="2"/>
    <x v="1"/>
    <x v="0"/>
    <n v="-15100.57"/>
  </r>
  <r>
    <x v="5"/>
    <n v="157932.84"/>
    <n v="134148.15"/>
    <d v="2020-01-31T00:00:00"/>
    <x v="1"/>
    <x v="50"/>
    <x v="5"/>
    <x v="10"/>
    <s v="PC"/>
    <s v="30-2982340"/>
    <m/>
    <n v="202001"/>
    <n v="1"/>
    <x v="0"/>
    <x v="7"/>
    <n v="157932.84"/>
  </r>
  <r>
    <x v="2"/>
    <n v="64192.86"/>
    <n v="52837.14"/>
    <d v="2020-04-12T00:00:00"/>
    <x v="5"/>
    <x v="4"/>
    <x v="2"/>
    <x v="29"/>
    <s v="PC"/>
    <s v="10-4704941"/>
    <m/>
    <n v="202004"/>
    <n v="4"/>
    <x v="0"/>
    <x v="3"/>
    <n v="64192.86"/>
  </r>
  <r>
    <x v="0"/>
    <n v="156453.01"/>
    <n v="128494.86"/>
    <d v="2020-10-04T00:00:00"/>
    <x v="2"/>
    <x v="4"/>
    <x v="0"/>
    <x v="0"/>
    <s v="PC"/>
    <s v="48-3484986"/>
    <m/>
    <n v="202010"/>
    <n v="10"/>
    <x v="0"/>
    <x v="11"/>
    <n v="156453.01"/>
  </r>
  <r>
    <x v="1"/>
    <n v="53616.06"/>
    <n v="45589.74"/>
    <d v="2020-01-03T00:00:00"/>
    <x v="5"/>
    <x v="49"/>
    <x v="1"/>
    <x v="1"/>
    <s v="PC"/>
    <s v="84-4478396"/>
    <m/>
    <n v="202001"/>
    <n v="1"/>
    <x v="0"/>
    <x v="7"/>
    <n v="53616.06"/>
  </r>
  <r>
    <x v="1"/>
    <n v="163967.89000000001"/>
    <n v="138208.53"/>
    <d v="2019-05-30T00:00:00"/>
    <x v="5"/>
    <x v="21"/>
    <x v="1"/>
    <x v="1"/>
    <s v="Tablet"/>
    <s v="28-0849652"/>
    <m/>
    <n v="201905"/>
    <n v="5"/>
    <x v="1"/>
    <x v="6"/>
    <n v="-163967.89000000001"/>
  </r>
  <r>
    <x v="0"/>
    <n v="171748.56"/>
    <n v="136574.45000000001"/>
    <d v="2020-11-20T00:00:00"/>
    <x v="1"/>
    <x v="32"/>
    <x v="0"/>
    <x v="0"/>
    <s v="PC"/>
    <s v="74-0214938"/>
    <m/>
    <n v="202011"/>
    <n v="11"/>
    <x v="0"/>
    <x v="8"/>
    <n v="171748.56"/>
  </r>
  <r>
    <x v="5"/>
    <n v="26103.94"/>
    <n v="22339.75"/>
    <d v="2020-08-31T00:00:00"/>
    <x v="5"/>
    <x v="28"/>
    <x v="5"/>
    <x v="21"/>
    <s v="Tablet"/>
    <s v="89-0187996"/>
    <m/>
    <n v="202008"/>
    <n v="8"/>
    <x v="0"/>
    <x v="5"/>
    <n v="26103.94"/>
  </r>
  <r>
    <x v="2"/>
    <n v="140337.34"/>
    <n v="115708.14"/>
    <d v="2020-09-04T00:00:00"/>
    <x v="5"/>
    <x v="35"/>
    <x v="2"/>
    <x v="12"/>
    <s v="PC"/>
    <s v="65-8218141"/>
    <m/>
    <n v="202009"/>
    <n v="9"/>
    <x v="0"/>
    <x v="1"/>
    <n v="140337.34"/>
  </r>
  <r>
    <x v="0"/>
    <n v="33617.03"/>
    <n v="26614.6"/>
    <d v="2020-04-07T00:00:00"/>
    <x v="5"/>
    <x v="34"/>
    <x v="0"/>
    <x v="0"/>
    <s v="PC"/>
    <s v="49-8489293"/>
    <m/>
    <n v="202004"/>
    <n v="4"/>
    <x v="0"/>
    <x v="3"/>
    <n v="33617.03"/>
  </r>
  <r>
    <x v="2"/>
    <n v="187874.45"/>
    <n v="160031.46"/>
    <d v="2019-06-26T00:00:00"/>
    <x v="4"/>
    <x v="4"/>
    <x v="2"/>
    <x v="15"/>
    <s v="PC"/>
    <s v="91-8142232"/>
    <m/>
    <n v="201906"/>
    <n v="6"/>
    <x v="1"/>
    <x v="9"/>
    <n v="-187874.45"/>
  </r>
  <r>
    <x v="1"/>
    <n v="41675.01"/>
    <n v="33765.089999999997"/>
    <d v="2019-06-25T00:00:00"/>
    <x v="3"/>
    <x v="27"/>
    <x v="1"/>
    <x v="1"/>
    <s v="PC"/>
    <s v="75-5380350"/>
    <m/>
    <n v="201906"/>
    <n v="6"/>
    <x v="1"/>
    <x v="9"/>
    <n v="-41675.01"/>
  </r>
  <r>
    <x v="2"/>
    <n v="34930.080000000002"/>
    <n v="28017.42"/>
    <d v="2019-11-01T00:00:00"/>
    <x v="5"/>
    <x v="49"/>
    <x v="2"/>
    <x v="2"/>
    <s v="PC"/>
    <s v="35-4551515"/>
    <m/>
    <n v="201911"/>
    <n v="11"/>
    <x v="1"/>
    <x v="8"/>
    <n v="-34930.080000000002"/>
  </r>
  <r>
    <x v="1"/>
    <n v="127994.87"/>
    <n v="105800.56"/>
    <d v="2020-09-01T00:00:00"/>
    <x v="0"/>
    <x v="35"/>
    <x v="1"/>
    <x v="31"/>
    <s v="PC"/>
    <s v="73-2763209"/>
    <m/>
    <n v="202009"/>
    <n v="9"/>
    <x v="0"/>
    <x v="1"/>
    <n v="127994.87"/>
  </r>
  <r>
    <x v="2"/>
    <n v="162637.68"/>
    <n v="130402.89"/>
    <d v="2019-09-27T00:00:00"/>
    <x v="2"/>
    <x v="2"/>
    <x v="2"/>
    <x v="12"/>
    <s v="PC"/>
    <s v="56-0800364"/>
    <m/>
    <n v="201909"/>
    <n v="9"/>
    <x v="1"/>
    <x v="1"/>
    <n v="-162637.68"/>
  </r>
  <r>
    <x v="2"/>
    <n v="40728.28"/>
    <n v="35669.83"/>
    <d v="2019-09-22T00:00:00"/>
    <x v="3"/>
    <x v="56"/>
    <x v="2"/>
    <x v="15"/>
    <s v="Mobile"/>
    <s v="42-7027181"/>
    <m/>
    <n v="201909"/>
    <n v="9"/>
    <x v="1"/>
    <x v="1"/>
    <n v="-40728.28"/>
  </r>
  <r>
    <x v="1"/>
    <n v="293767.28000000003"/>
    <n v="254079.32"/>
    <d v="2020-06-05T00:00:00"/>
    <x v="1"/>
    <x v="42"/>
    <x v="1"/>
    <x v="1"/>
    <s v="PC"/>
    <s v="29-0601002"/>
    <m/>
    <n v="202006"/>
    <n v="6"/>
    <x v="0"/>
    <x v="9"/>
    <n v="293767.28000000003"/>
  </r>
  <r>
    <x v="0"/>
    <n v="57913.36"/>
    <n v="48693.55"/>
    <d v="2019-09-11T00:00:00"/>
    <x v="1"/>
    <x v="18"/>
    <x v="0"/>
    <x v="13"/>
    <s v="PC"/>
    <s v="90-2797129"/>
    <m/>
    <n v="201909"/>
    <n v="9"/>
    <x v="1"/>
    <x v="1"/>
    <n v="-57913.36"/>
  </r>
  <r>
    <x v="4"/>
    <n v="63979.040000000001"/>
    <n v="56032.84"/>
    <d v="2019-10-22T00:00:00"/>
    <x v="1"/>
    <x v="6"/>
    <x v="4"/>
    <x v="8"/>
    <s v="PC"/>
    <s v="27-3437546"/>
    <m/>
    <n v="201910"/>
    <n v="10"/>
    <x v="1"/>
    <x v="11"/>
    <n v="-63979.040000000001"/>
  </r>
  <r>
    <x v="5"/>
    <n v="102255.86"/>
    <n v="83379.429999999993"/>
    <d v="2020-11-12T00:00:00"/>
    <x v="6"/>
    <x v="45"/>
    <x v="5"/>
    <x v="23"/>
    <s v="PC"/>
    <s v="78-3726363"/>
    <m/>
    <n v="202011"/>
    <n v="11"/>
    <x v="0"/>
    <x v="8"/>
    <n v="102255.86"/>
  </r>
  <r>
    <x v="1"/>
    <n v="107271.94"/>
    <n v="86665"/>
    <d v="2020-08-23T00:00:00"/>
    <x v="1"/>
    <x v="4"/>
    <x v="1"/>
    <x v="1"/>
    <s v="PC"/>
    <s v="78-8990131"/>
    <m/>
    <n v="202008"/>
    <n v="8"/>
    <x v="0"/>
    <x v="5"/>
    <n v="107271.94"/>
  </r>
  <r>
    <x v="14"/>
    <n v="51090.76"/>
    <n v="40739.769999999997"/>
    <d v="2020-03-12T00:00:00"/>
    <x v="8"/>
    <x v="37"/>
    <x v="14"/>
    <x v="32"/>
    <s v="PC"/>
    <s v="85-2223377"/>
    <m/>
    <n v="202003"/>
    <n v="3"/>
    <x v="0"/>
    <x v="10"/>
    <n v="51090.76"/>
  </r>
  <r>
    <x v="0"/>
    <n v="102299.92"/>
    <n v="81706.95"/>
    <d v="2019-08-22T00:00:00"/>
    <x v="3"/>
    <x v="12"/>
    <x v="0"/>
    <x v="13"/>
    <s v="PC"/>
    <s v="73-9246627"/>
    <m/>
    <n v="201908"/>
    <n v="8"/>
    <x v="1"/>
    <x v="5"/>
    <n v="-102299.92"/>
  </r>
  <r>
    <x v="5"/>
    <n v="144204.85999999999"/>
    <n v="115262.94"/>
    <d v="2020-11-08T00:00:00"/>
    <x v="0"/>
    <x v="47"/>
    <x v="5"/>
    <x v="10"/>
    <s v="PC"/>
    <s v="56-7910696"/>
    <m/>
    <n v="202011"/>
    <n v="11"/>
    <x v="0"/>
    <x v="8"/>
    <n v="144204.85999999999"/>
  </r>
  <r>
    <x v="5"/>
    <n v="36183.97"/>
    <n v="30579.07"/>
    <d v="2020-08-09T00:00:00"/>
    <x v="0"/>
    <x v="39"/>
    <x v="5"/>
    <x v="23"/>
    <s v="Mobile"/>
    <s v="91-4296427"/>
    <m/>
    <n v="202008"/>
    <n v="8"/>
    <x v="0"/>
    <x v="5"/>
    <n v="36183.97"/>
  </r>
  <r>
    <x v="4"/>
    <n v="47771.76"/>
    <n v="39234.949999999997"/>
    <d v="2019-05-29T00:00:00"/>
    <x v="3"/>
    <x v="23"/>
    <x v="4"/>
    <x v="8"/>
    <s v="PC"/>
    <s v="70-8181545"/>
    <m/>
    <n v="201905"/>
    <n v="5"/>
    <x v="1"/>
    <x v="6"/>
    <n v="-47771.76"/>
  </r>
  <r>
    <x v="3"/>
    <n v="44038.31"/>
    <n v="36252.339999999997"/>
    <d v="2020-01-24T00:00:00"/>
    <x v="8"/>
    <x v="51"/>
    <x v="3"/>
    <x v="33"/>
    <s v="PC"/>
    <s v="94-0775004"/>
    <m/>
    <n v="202001"/>
    <n v="1"/>
    <x v="0"/>
    <x v="7"/>
    <n v="44038.31"/>
  </r>
  <r>
    <x v="0"/>
    <n v="116469.33"/>
    <n v="95190.38"/>
    <d v="2020-01-31T00:00:00"/>
    <x v="7"/>
    <x v="7"/>
    <x v="0"/>
    <x v="19"/>
    <s v="PC"/>
    <s v="89-3466746"/>
    <m/>
    <n v="202001"/>
    <n v="1"/>
    <x v="0"/>
    <x v="7"/>
    <n v="116469.33"/>
  </r>
  <r>
    <x v="4"/>
    <n v="227856.66"/>
    <n v="199010.01"/>
    <d v="2020-07-20T00:00:00"/>
    <x v="8"/>
    <x v="22"/>
    <x v="4"/>
    <x v="11"/>
    <s v="PC"/>
    <s v="11-5257937"/>
    <m/>
    <n v="202007"/>
    <n v="7"/>
    <x v="0"/>
    <x v="2"/>
    <n v="227856.66"/>
  </r>
  <r>
    <x v="0"/>
    <n v="67161.990000000005"/>
    <n v="55764.6"/>
    <d v="2019-09-20T00:00:00"/>
    <x v="8"/>
    <x v="44"/>
    <x v="0"/>
    <x v="25"/>
    <s v="PC"/>
    <s v="22-7587128"/>
    <m/>
    <n v="201909"/>
    <n v="9"/>
    <x v="1"/>
    <x v="1"/>
    <n v="-67161.990000000005"/>
  </r>
  <r>
    <x v="11"/>
    <n v="168178.03"/>
    <n v="142665.42000000001"/>
    <d v="2020-04-29T00:00:00"/>
    <x v="2"/>
    <x v="32"/>
    <x v="11"/>
    <x v="26"/>
    <s v="PC"/>
    <s v="36-7597839"/>
    <m/>
    <n v="202004"/>
    <n v="4"/>
    <x v="0"/>
    <x v="3"/>
    <n v="168178.03"/>
  </r>
  <r>
    <x v="0"/>
    <n v="42611.78"/>
    <n v="35755.54"/>
    <d v="2020-03-12T00:00:00"/>
    <x v="2"/>
    <x v="32"/>
    <x v="0"/>
    <x v="25"/>
    <s v="Mobile"/>
    <s v="16-2824654"/>
    <m/>
    <n v="202003"/>
    <n v="3"/>
    <x v="0"/>
    <x v="10"/>
    <n v="42611.78"/>
  </r>
  <r>
    <x v="0"/>
    <n v="166507.76"/>
    <n v="143896.01"/>
    <d v="2020-08-27T00:00:00"/>
    <x v="4"/>
    <x v="24"/>
    <x v="0"/>
    <x v="0"/>
    <s v="PC"/>
    <s v="49-1743669"/>
    <m/>
    <n v="202008"/>
    <n v="8"/>
    <x v="0"/>
    <x v="5"/>
    <n v="166507.76"/>
  </r>
  <r>
    <x v="3"/>
    <n v="131409.9"/>
    <n v="115325.33"/>
    <d v="2020-11-15T00:00:00"/>
    <x v="8"/>
    <x v="47"/>
    <x v="3"/>
    <x v="4"/>
    <s v="PC"/>
    <s v="48-7252604"/>
    <m/>
    <n v="202011"/>
    <n v="11"/>
    <x v="0"/>
    <x v="8"/>
    <n v="131409.9"/>
  </r>
  <r>
    <x v="2"/>
    <n v="133072"/>
    <n v="108600.06"/>
    <d v="2020-10-28T00:00:00"/>
    <x v="7"/>
    <x v="41"/>
    <x v="2"/>
    <x v="12"/>
    <s v="PC"/>
    <s v="07-1769568"/>
    <m/>
    <n v="202010"/>
    <n v="10"/>
    <x v="0"/>
    <x v="11"/>
    <n v="133072"/>
  </r>
  <r>
    <x v="1"/>
    <n v="180250.02"/>
    <n v="147354.39000000001"/>
    <d v="2019-06-03T00:00:00"/>
    <x v="8"/>
    <x v="64"/>
    <x v="1"/>
    <x v="31"/>
    <s v="PC"/>
    <s v="57-5645459"/>
    <m/>
    <n v="201906"/>
    <n v="6"/>
    <x v="1"/>
    <x v="9"/>
    <n v="-180250.02"/>
  </r>
  <r>
    <x v="2"/>
    <n v="48090.78"/>
    <n v="42040.959999999999"/>
    <d v="2020-03-19T00:00:00"/>
    <x v="0"/>
    <x v="49"/>
    <x v="2"/>
    <x v="12"/>
    <s v="PC"/>
    <s v="13-0740797"/>
    <m/>
    <n v="202003"/>
    <n v="3"/>
    <x v="0"/>
    <x v="10"/>
    <n v="48090.78"/>
  </r>
  <r>
    <x v="0"/>
    <n v="168530.22"/>
    <n v="136981.35999999999"/>
    <d v="2020-05-16T00:00:00"/>
    <x v="5"/>
    <x v="42"/>
    <x v="0"/>
    <x v="25"/>
    <s v="PC"/>
    <s v="34-9966345"/>
    <m/>
    <n v="202005"/>
    <n v="5"/>
    <x v="0"/>
    <x v="6"/>
    <n v="168530.22"/>
  </r>
  <r>
    <x v="0"/>
    <n v="36785.279999999999"/>
    <n v="30546.5"/>
    <d v="2019-08-31T00:00:00"/>
    <x v="5"/>
    <x v="4"/>
    <x v="0"/>
    <x v="9"/>
    <s v="PC"/>
    <s v="91-6738094"/>
    <m/>
    <n v="201908"/>
    <n v="8"/>
    <x v="1"/>
    <x v="5"/>
    <n v="-36785.279999999999"/>
  </r>
  <r>
    <x v="11"/>
    <n v="126409.18"/>
    <n v="104692.08"/>
    <d v="2020-10-04T00:00:00"/>
    <x v="6"/>
    <x v="23"/>
    <x v="11"/>
    <x v="26"/>
    <s v="PC"/>
    <s v="32-9007470"/>
    <m/>
    <n v="202010"/>
    <n v="10"/>
    <x v="0"/>
    <x v="11"/>
    <n v="126409.18"/>
  </r>
  <r>
    <x v="2"/>
    <n v="49990.720000000001"/>
    <n v="42927.03"/>
    <d v="2020-01-04T00:00:00"/>
    <x v="8"/>
    <x v="12"/>
    <x v="2"/>
    <x v="2"/>
    <s v="PC"/>
    <s v="68-6382353"/>
    <m/>
    <n v="202001"/>
    <n v="1"/>
    <x v="0"/>
    <x v="7"/>
    <n v="49990.720000000001"/>
  </r>
  <r>
    <x v="0"/>
    <n v="36644.050000000003"/>
    <n v="30491.51"/>
    <d v="2020-11-20T00:00:00"/>
    <x v="2"/>
    <x v="2"/>
    <x v="0"/>
    <x v="19"/>
    <s v="PC"/>
    <s v="88-5406813"/>
    <m/>
    <n v="202011"/>
    <n v="11"/>
    <x v="0"/>
    <x v="8"/>
    <n v="36644.050000000003"/>
  </r>
  <r>
    <x v="0"/>
    <n v="115226.8"/>
    <n v="94336.18"/>
    <d v="2019-05-15T00:00:00"/>
    <x v="3"/>
    <x v="10"/>
    <x v="0"/>
    <x v="25"/>
    <s v="PC"/>
    <s v="42-2765593"/>
    <m/>
    <n v="201905"/>
    <n v="5"/>
    <x v="1"/>
    <x v="6"/>
    <n v="-115226.8"/>
  </r>
  <r>
    <x v="1"/>
    <n v="154078.75"/>
    <n v="131336.73000000001"/>
    <d v="2020-09-05T00:00:00"/>
    <x v="0"/>
    <x v="52"/>
    <x v="1"/>
    <x v="1"/>
    <s v="PC"/>
    <s v="76-0724533"/>
    <m/>
    <n v="202009"/>
    <n v="9"/>
    <x v="0"/>
    <x v="1"/>
    <n v="154078.75"/>
  </r>
  <r>
    <x v="8"/>
    <n v="80328.160000000003"/>
    <n v="65836.960000000006"/>
    <d v="2020-09-23T00:00:00"/>
    <x v="1"/>
    <x v="7"/>
    <x v="8"/>
    <x v="24"/>
    <s v="PC"/>
    <s v="45-3965395"/>
    <m/>
    <n v="202009"/>
    <n v="9"/>
    <x v="0"/>
    <x v="1"/>
    <n v="80328.160000000003"/>
  </r>
  <r>
    <x v="2"/>
    <n v="99832.12"/>
    <n v="84128.53"/>
    <d v="2019-05-15T00:00:00"/>
    <x v="5"/>
    <x v="56"/>
    <x v="2"/>
    <x v="3"/>
    <s v="PC"/>
    <s v="46-6126203"/>
    <m/>
    <n v="201905"/>
    <n v="5"/>
    <x v="1"/>
    <x v="6"/>
    <n v="-99832.12"/>
  </r>
  <r>
    <x v="1"/>
    <n v="133057.07"/>
    <n v="113351.32"/>
    <d v="2020-05-03T00:00:00"/>
    <x v="9"/>
    <x v="14"/>
    <x v="1"/>
    <x v="1"/>
    <s v="PC"/>
    <s v="27-7554919"/>
    <m/>
    <n v="202005"/>
    <n v="5"/>
    <x v="0"/>
    <x v="6"/>
    <n v="133057.07"/>
  </r>
  <r>
    <x v="11"/>
    <n v="80719.44"/>
    <n v="64422.19"/>
    <d v="2019-02-09T00:00:00"/>
    <x v="5"/>
    <x v="4"/>
    <x v="11"/>
    <x v="26"/>
    <s v="PC"/>
    <s v="59-1230573"/>
    <m/>
    <n v="201902"/>
    <n v="2"/>
    <x v="1"/>
    <x v="0"/>
    <n v="-80719.44"/>
  </r>
  <r>
    <x v="5"/>
    <n v="124534.96"/>
    <n v="107012.89"/>
    <d v="2020-07-18T00:00:00"/>
    <x v="0"/>
    <x v="46"/>
    <x v="5"/>
    <x v="7"/>
    <s v="PC"/>
    <s v="45-2229786"/>
    <m/>
    <n v="202007"/>
    <n v="7"/>
    <x v="0"/>
    <x v="2"/>
    <n v="124534.96"/>
  </r>
  <r>
    <x v="0"/>
    <n v="67611.539999999994"/>
    <n v="56191.95"/>
    <d v="2019-10-30T00:00:00"/>
    <x v="2"/>
    <x v="49"/>
    <x v="0"/>
    <x v="19"/>
    <s v="PC"/>
    <s v="62-7218897"/>
    <m/>
    <n v="201910"/>
    <n v="10"/>
    <x v="1"/>
    <x v="11"/>
    <n v="-67611.539999999994"/>
  </r>
  <r>
    <x v="5"/>
    <n v="132760.25"/>
    <n v="105039.91"/>
    <d v="2020-01-07T00:00:00"/>
    <x v="3"/>
    <x v="9"/>
    <x v="5"/>
    <x v="20"/>
    <s v="PC"/>
    <s v="55-4161787"/>
    <m/>
    <n v="202001"/>
    <n v="1"/>
    <x v="0"/>
    <x v="7"/>
    <n v="132760.25"/>
  </r>
  <r>
    <x v="5"/>
    <n v="177802.7"/>
    <n v="155079.51"/>
    <d v="2019-07-18T00:00:00"/>
    <x v="9"/>
    <x v="2"/>
    <x v="5"/>
    <x v="10"/>
    <s v="PC"/>
    <s v="56-2537757"/>
    <m/>
    <n v="201907"/>
    <n v="7"/>
    <x v="1"/>
    <x v="2"/>
    <n v="-177802.7"/>
  </r>
  <r>
    <x v="8"/>
    <n v="98963.03"/>
    <n v="80367.88"/>
    <d v="2020-10-12T00:00:00"/>
    <x v="4"/>
    <x v="67"/>
    <x v="8"/>
    <x v="24"/>
    <s v="PC"/>
    <s v="20-0021649"/>
    <m/>
    <n v="202010"/>
    <n v="10"/>
    <x v="0"/>
    <x v="11"/>
    <n v="98963.03"/>
  </r>
  <r>
    <x v="8"/>
    <n v="126582.5"/>
    <n v="103683.73"/>
    <d v="2020-02-17T00:00:00"/>
    <x v="3"/>
    <x v="12"/>
    <x v="8"/>
    <x v="24"/>
    <s v="PC"/>
    <s v="93-2627296"/>
    <m/>
    <n v="202002"/>
    <n v="2"/>
    <x v="0"/>
    <x v="0"/>
    <n v="126582.5"/>
  </r>
  <r>
    <x v="2"/>
    <n v="141965.10999999999"/>
    <n v="119193.91"/>
    <d v="2019-09-18T00:00:00"/>
    <x v="3"/>
    <x v="61"/>
    <x v="2"/>
    <x v="15"/>
    <s v="PC"/>
    <s v="56-2408571"/>
    <m/>
    <n v="201909"/>
    <n v="9"/>
    <x v="1"/>
    <x v="1"/>
    <n v="-141965.10999999999"/>
  </r>
  <r>
    <x v="11"/>
    <n v="167301.51999999999"/>
    <n v="147074.76999999999"/>
    <d v="2019-05-06T00:00:00"/>
    <x v="7"/>
    <x v="33"/>
    <x v="11"/>
    <x v="26"/>
    <s v="PC"/>
    <s v="80-3206606"/>
    <m/>
    <n v="201905"/>
    <n v="5"/>
    <x v="1"/>
    <x v="6"/>
    <n v="-167301.51999999999"/>
  </r>
  <r>
    <x v="5"/>
    <n v="133985.91"/>
    <n v="116741.92"/>
    <d v="2019-01-15T00:00:00"/>
    <x v="2"/>
    <x v="49"/>
    <x v="5"/>
    <x v="10"/>
    <s v="PC"/>
    <s v="48-3190394"/>
    <m/>
    <n v="201901"/>
    <n v="1"/>
    <x v="1"/>
    <x v="7"/>
    <n v="-133985.91"/>
  </r>
  <r>
    <x v="5"/>
    <n v="91540.03"/>
    <n v="74916.36"/>
    <d v="2019-09-09T00:00:00"/>
    <x v="2"/>
    <x v="49"/>
    <x v="5"/>
    <x v="21"/>
    <s v="PC"/>
    <s v="38-6130023"/>
    <m/>
    <n v="201909"/>
    <n v="9"/>
    <x v="1"/>
    <x v="1"/>
    <n v="-91540.03"/>
  </r>
  <r>
    <x v="4"/>
    <n v="146055.04999999999"/>
    <n v="117822.61"/>
    <d v="2019-10-07T00:00:00"/>
    <x v="2"/>
    <x v="64"/>
    <x v="4"/>
    <x v="6"/>
    <s v="Tablet"/>
    <s v="38-2969743"/>
    <m/>
    <n v="201910"/>
    <n v="10"/>
    <x v="1"/>
    <x v="11"/>
    <n v="-146055.04999999999"/>
  </r>
  <r>
    <x v="0"/>
    <n v="113586.11"/>
    <n v="91641.27"/>
    <d v="2019-02-19T00:00:00"/>
    <x v="7"/>
    <x v="24"/>
    <x v="0"/>
    <x v="25"/>
    <s v="Mobile"/>
    <s v="48-8166416"/>
    <m/>
    <n v="201902"/>
    <n v="2"/>
    <x v="1"/>
    <x v="0"/>
    <n v="-113586.11"/>
  </r>
  <r>
    <x v="11"/>
    <n v="135662.46"/>
    <n v="116764.68"/>
    <d v="2020-05-02T00:00:00"/>
    <x v="3"/>
    <x v="51"/>
    <x v="11"/>
    <x v="27"/>
    <s v="PC"/>
    <s v="33-4102367"/>
    <m/>
    <n v="202005"/>
    <n v="5"/>
    <x v="0"/>
    <x v="6"/>
    <n v="135662.46"/>
  </r>
  <r>
    <x v="2"/>
    <n v="113781.45"/>
    <n v="91104.81"/>
    <d v="2019-10-08T00:00:00"/>
    <x v="0"/>
    <x v="39"/>
    <x v="2"/>
    <x v="3"/>
    <s v="PC"/>
    <s v="44-5240815"/>
    <m/>
    <n v="201910"/>
    <n v="10"/>
    <x v="1"/>
    <x v="11"/>
    <n v="-113781.45"/>
  </r>
  <r>
    <x v="5"/>
    <n v="111462.88"/>
    <n v="94130.4"/>
    <d v="2020-09-03T00:00:00"/>
    <x v="7"/>
    <x v="14"/>
    <x v="5"/>
    <x v="23"/>
    <s v="Tablet"/>
    <s v="70-9378988"/>
    <m/>
    <n v="202009"/>
    <n v="9"/>
    <x v="0"/>
    <x v="1"/>
    <n v="111462.88"/>
  </r>
  <r>
    <x v="4"/>
    <n v="34748.75"/>
    <n v="27475.84"/>
    <d v="2020-09-27T00:00:00"/>
    <x v="6"/>
    <x v="25"/>
    <x v="4"/>
    <x v="8"/>
    <s v="Tablet"/>
    <s v="84-9385946"/>
    <m/>
    <n v="202009"/>
    <n v="9"/>
    <x v="0"/>
    <x v="1"/>
    <n v="34748.75"/>
  </r>
  <r>
    <x v="4"/>
    <n v="137306.45000000001"/>
    <n v="108732.98"/>
    <d v="2020-09-04T00:00:00"/>
    <x v="0"/>
    <x v="8"/>
    <x v="4"/>
    <x v="6"/>
    <s v="PC"/>
    <s v="00-1210718"/>
    <m/>
    <n v="202009"/>
    <n v="9"/>
    <x v="0"/>
    <x v="1"/>
    <n v="137306.45000000001"/>
  </r>
  <r>
    <x v="2"/>
    <n v="148212.23000000001"/>
    <n v="123030.97"/>
    <d v="2019-09-10T00:00:00"/>
    <x v="2"/>
    <x v="51"/>
    <x v="2"/>
    <x v="29"/>
    <s v="PC"/>
    <s v="92-7917751"/>
    <m/>
    <n v="201909"/>
    <n v="9"/>
    <x v="1"/>
    <x v="1"/>
    <n v="-148212.23000000001"/>
  </r>
  <r>
    <x v="2"/>
    <n v="159057.92000000001"/>
    <n v="139923.25"/>
    <d v="2020-10-24T00:00:00"/>
    <x v="6"/>
    <x v="4"/>
    <x v="2"/>
    <x v="29"/>
    <s v="PC"/>
    <s v="91-3344544"/>
    <m/>
    <n v="202010"/>
    <n v="10"/>
    <x v="0"/>
    <x v="11"/>
    <n v="159057.92000000001"/>
  </r>
  <r>
    <x v="0"/>
    <n v="146226.35999999999"/>
    <n v="117916.94"/>
    <d v="2020-10-18T00:00:00"/>
    <x v="6"/>
    <x v="5"/>
    <x v="0"/>
    <x v="13"/>
    <s v="PC"/>
    <s v="28-1840061"/>
    <m/>
    <n v="202010"/>
    <n v="10"/>
    <x v="0"/>
    <x v="11"/>
    <n v="146226.35999999999"/>
  </r>
  <r>
    <x v="2"/>
    <n v="201537.12"/>
    <n v="166127.04999999999"/>
    <d v="2020-06-10T00:00:00"/>
    <x v="7"/>
    <x v="63"/>
    <x v="2"/>
    <x v="29"/>
    <s v="PC"/>
    <s v="20-7532198"/>
    <m/>
    <n v="202006"/>
    <n v="6"/>
    <x v="0"/>
    <x v="9"/>
    <n v="201537.12"/>
  </r>
  <r>
    <x v="2"/>
    <n v="242192.19"/>
    <n v="213104.91"/>
    <d v="2019-07-02T00:00:00"/>
    <x v="4"/>
    <x v="50"/>
    <x v="2"/>
    <x v="2"/>
    <s v="PC"/>
    <s v="96-7618409"/>
    <m/>
    <n v="201907"/>
    <n v="7"/>
    <x v="1"/>
    <x v="2"/>
    <n v="-242192.19"/>
  </r>
  <r>
    <x v="9"/>
    <n v="172397.66"/>
    <n v="139986.9"/>
    <d v="2019-01-27T00:00:00"/>
    <x v="2"/>
    <x v="4"/>
    <x v="9"/>
    <x v="18"/>
    <s v="PC"/>
    <s v="47-8186791"/>
    <m/>
    <n v="201901"/>
    <n v="1"/>
    <x v="1"/>
    <x v="7"/>
    <n v="-172397.66"/>
  </r>
  <r>
    <x v="7"/>
    <n v="152370.57"/>
    <n v="128478.86"/>
    <d v="2019-11-20T00:00:00"/>
    <x v="1"/>
    <x v="9"/>
    <x v="7"/>
    <x v="16"/>
    <s v="PC"/>
    <s v="61-8262308"/>
    <m/>
    <n v="201911"/>
    <n v="11"/>
    <x v="1"/>
    <x v="8"/>
    <n v="-152370.57"/>
  </r>
  <r>
    <x v="2"/>
    <n v="137419.29999999999"/>
    <n v="117658.4"/>
    <d v="2020-05-15T00:00:00"/>
    <x v="1"/>
    <x v="48"/>
    <x v="2"/>
    <x v="2"/>
    <s v="Mobile"/>
    <s v="39-1945268"/>
    <m/>
    <n v="202005"/>
    <n v="5"/>
    <x v="0"/>
    <x v="6"/>
    <n v="137419.29999999999"/>
  </r>
  <r>
    <x v="5"/>
    <n v="67594.100000000006"/>
    <n v="54920.21"/>
    <d v="2019-09-26T00:00:00"/>
    <x v="9"/>
    <x v="12"/>
    <x v="5"/>
    <x v="10"/>
    <s v="PC"/>
    <s v="70-1769929"/>
    <m/>
    <n v="201909"/>
    <n v="9"/>
    <x v="1"/>
    <x v="1"/>
    <n v="-67594.100000000006"/>
  </r>
  <r>
    <x v="9"/>
    <n v="72002.259999999995"/>
    <n v="56996.99"/>
    <d v="2019-01-17T00:00:00"/>
    <x v="5"/>
    <x v="40"/>
    <x v="9"/>
    <x v="18"/>
    <s v="PC"/>
    <s v="65-0414599"/>
    <m/>
    <n v="201901"/>
    <n v="1"/>
    <x v="1"/>
    <x v="7"/>
    <n v="-72002.259999999995"/>
  </r>
  <r>
    <x v="5"/>
    <n v="159926.16"/>
    <n v="126453.61"/>
    <d v="2020-09-12T00:00:00"/>
    <x v="3"/>
    <x v="40"/>
    <x v="5"/>
    <x v="21"/>
    <s v="Mobile"/>
    <s v="44-0517932"/>
    <m/>
    <n v="202009"/>
    <n v="9"/>
    <x v="0"/>
    <x v="1"/>
    <n v="159926.16"/>
  </r>
  <r>
    <x v="5"/>
    <n v="65193.88"/>
    <n v="53113.45"/>
    <d v="2019-10-04T00:00:00"/>
    <x v="3"/>
    <x v="61"/>
    <x v="5"/>
    <x v="7"/>
    <s v="PC"/>
    <s v="74-1131921"/>
    <m/>
    <n v="201910"/>
    <n v="10"/>
    <x v="1"/>
    <x v="11"/>
    <n v="-65193.88"/>
  </r>
  <r>
    <x v="2"/>
    <n v="105374.44"/>
    <n v="89779.02"/>
    <d v="2020-02-18T00:00:00"/>
    <x v="8"/>
    <x v="58"/>
    <x v="2"/>
    <x v="29"/>
    <s v="PC"/>
    <s v="74-8625042"/>
    <m/>
    <n v="202002"/>
    <n v="2"/>
    <x v="0"/>
    <x v="0"/>
    <n v="105374.44"/>
  </r>
  <r>
    <x v="4"/>
    <n v="83097.399999999994"/>
    <n v="68148.179999999993"/>
    <d v="2019-03-22T00:00:00"/>
    <x v="2"/>
    <x v="51"/>
    <x v="4"/>
    <x v="11"/>
    <s v="Tablet"/>
    <s v="36-0185776"/>
    <m/>
    <n v="201903"/>
    <n v="3"/>
    <x v="1"/>
    <x v="10"/>
    <n v="-83097.399999999994"/>
  </r>
  <r>
    <x v="0"/>
    <n v="139682.07"/>
    <n v="113212.32"/>
    <d v="2020-01-18T00:00:00"/>
    <x v="1"/>
    <x v="54"/>
    <x v="0"/>
    <x v="9"/>
    <s v="PC"/>
    <s v="98-4157323"/>
    <m/>
    <n v="202001"/>
    <n v="1"/>
    <x v="0"/>
    <x v="7"/>
    <n v="139682.07"/>
  </r>
  <r>
    <x v="5"/>
    <n v="81095.39"/>
    <n v="64316.75"/>
    <d v="2020-09-08T00:00:00"/>
    <x v="1"/>
    <x v="18"/>
    <x v="5"/>
    <x v="23"/>
    <s v="PC"/>
    <s v="36-8783637"/>
    <m/>
    <n v="202009"/>
    <n v="9"/>
    <x v="0"/>
    <x v="1"/>
    <n v="81095.39"/>
  </r>
  <r>
    <x v="8"/>
    <n v="91108.56"/>
    <n v="74089.48"/>
    <d v="2020-06-24T00:00:00"/>
    <x v="5"/>
    <x v="58"/>
    <x v="8"/>
    <x v="17"/>
    <s v="PC"/>
    <s v="34-0286364"/>
    <m/>
    <n v="202006"/>
    <n v="6"/>
    <x v="0"/>
    <x v="9"/>
    <n v="91108.56"/>
  </r>
  <r>
    <x v="9"/>
    <n v="47182.43"/>
    <n v="40576.89"/>
    <d v="2020-02-21T00:00:00"/>
    <x v="6"/>
    <x v="20"/>
    <x v="9"/>
    <x v="18"/>
    <s v="PC"/>
    <s v="82-0533747"/>
    <m/>
    <n v="202002"/>
    <n v="2"/>
    <x v="0"/>
    <x v="0"/>
    <n v="47182.43"/>
  </r>
  <r>
    <x v="1"/>
    <n v="161984.91"/>
    <n v="138237.92000000001"/>
    <d v="2020-06-08T00:00:00"/>
    <x v="5"/>
    <x v="14"/>
    <x v="1"/>
    <x v="31"/>
    <s v="PC"/>
    <s v="59-9184649"/>
    <m/>
    <n v="202006"/>
    <n v="6"/>
    <x v="0"/>
    <x v="9"/>
    <n v="161984.91"/>
  </r>
  <r>
    <x v="0"/>
    <n v="116548.17"/>
    <n v="92119.67"/>
    <d v="2020-05-05T00:00:00"/>
    <x v="2"/>
    <x v="4"/>
    <x v="0"/>
    <x v="9"/>
    <s v="PC"/>
    <s v="03-3136289"/>
    <m/>
    <n v="202005"/>
    <n v="5"/>
    <x v="0"/>
    <x v="6"/>
    <n v="116548.17"/>
  </r>
  <r>
    <x v="2"/>
    <n v="138764.6"/>
    <n v="111414.1"/>
    <d v="2020-05-10T00:00:00"/>
    <x v="5"/>
    <x v="4"/>
    <x v="2"/>
    <x v="29"/>
    <s v="PC"/>
    <s v="79-6676714"/>
    <m/>
    <n v="202005"/>
    <n v="5"/>
    <x v="0"/>
    <x v="6"/>
    <n v="138764.6"/>
  </r>
  <r>
    <x v="5"/>
    <n v="148405.47"/>
    <n v="128845.63"/>
    <d v="2019-10-27T00:00:00"/>
    <x v="8"/>
    <x v="4"/>
    <x v="5"/>
    <x v="10"/>
    <s v="PC"/>
    <s v="82-1082124"/>
    <m/>
    <n v="201910"/>
    <n v="10"/>
    <x v="1"/>
    <x v="11"/>
    <n v="-148405.47"/>
  </r>
  <r>
    <x v="6"/>
    <n v="138249.76999999999"/>
    <n v="120277.3"/>
    <d v="2019-08-09T00:00:00"/>
    <x v="1"/>
    <x v="3"/>
    <x v="6"/>
    <x v="14"/>
    <s v="PC"/>
    <s v="79-1331359"/>
    <m/>
    <n v="201908"/>
    <n v="8"/>
    <x v="1"/>
    <x v="5"/>
    <n v="-138249.76999999999"/>
  </r>
  <r>
    <x v="2"/>
    <n v="115718.87"/>
    <n v="100640.7"/>
    <d v="2019-04-24T00:00:00"/>
    <x v="8"/>
    <x v="1"/>
    <x v="2"/>
    <x v="3"/>
    <s v="PC"/>
    <s v="84-7042200"/>
    <m/>
    <n v="201904"/>
    <n v="4"/>
    <x v="1"/>
    <x v="3"/>
    <n v="-115718.87"/>
  </r>
  <r>
    <x v="2"/>
    <n v="194326.7"/>
    <n v="169005.93"/>
    <d v="2019-07-07T00:00:00"/>
    <x v="0"/>
    <x v="4"/>
    <x v="2"/>
    <x v="15"/>
    <s v="Mobile"/>
    <s v="42-5303223"/>
    <m/>
    <n v="201907"/>
    <n v="7"/>
    <x v="1"/>
    <x v="2"/>
    <n v="-194326.7"/>
  </r>
  <r>
    <x v="5"/>
    <n v="38648.720000000001"/>
    <n v="32368.3"/>
    <d v="2020-12-04T00:00:00"/>
    <x v="3"/>
    <x v="36"/>
    <x v="5"/>
    <x v="20"/>
    <s v="Tablet"/>
    <s v="04-6732680"/>
    <m/>
    <n v="202012"/>
    <n v="12"/>
    <x v="0"/>
    <x v="4"/>
    <n v="38648.720000000001"/>
  </r>
  <r>
    <x v="0"/>
    <n v="58010.14"/>
    <n v="46089.06"/>
    <d v="2019-09-11T00:00:00"/>
    <x v="5"/>
    <x v="39"/>
    <x v="0"/>
    <x v="25"/>
    <s v="PC"/>
    <s v="84-9167618"/>
    <m/>
    <n v="201909"/>
    <n v="9"/>
    <x v="1"/>
    <x v="1"/>
    <n v="-58010.14"/>
  </r>
  <r>
    <x v="5"/>
    <n v="82697.53"/>
    <n v="69548.62"/>
    <d v="2020-08-12T00:00:00"/>
    <x v="1"/>
    <x v="49"/>
    <x v="5"/>
    <x v="23"/>
    <s v="PC"/>
    <s v="47-5319780"/>
    <m/>
    <n v="202008"/>
    <n v="8"/>
    <x v="0"/>
    <x v="5"/>
    <n v="82697.53"/>
  </r>
  <r>
    <x v="0"/>
    <n v="68086.960000000006"/>
    <n v="58759.05"/>
    <d v="2019-11-26T00:00:00"/>
    <x v="8"/>
    <x v="68"/>
    <x v="0"/>
    <x v="25"/>
    <s v="PC"/>
    <s v="20-1013432"/>
    <m/>
    <n v="201911"/>
    <n v="11"/>
    <x v="1"/>
    <x v="8"/>
    <n v="-68086.960000000006"/>
  </r>
  <r>
    <x v="8"/>
    <n v="111106.06"/>
    <n v="93195.76"/>
    <d v="2020-11-11T00:00:00"/>
    <x v="1"/>
    <x v="7"/>
    <x v="8"/>
    <x v="24"/>
    <s v="PC"/>
    <s v="87-5540520"/>
    <m/>
    <n v="202011"/>
    <n v="11"/>
    <x v="0"/>
    <x v="8"/>
    <n v="111106.06"/>
  </r>
  <r>
    <x v="2"/>
    <n v="227830.33"/>
    <n v="182173.13"/>
    <d v="2020-06-10T00:00:00"/>
    <x v="0"/>
    <x v="41"/>
    <x v="2"/>
    <x v="3"/>
    <s v="PC"/>
    <s v="59-3526945"/>
    <m/>
    <n v="202006"/>
    <n v="6"/>
    <x v="0"/>
    <x v="9"/>
    <n v="227830.33"/>
  </r>
  <r>
    <x v="5"/>
    <n v="87355.7"/>
    <n v="74584.3"/>
    <d v="2019-02-03T00:00:00"/>
    <x v="6"/>
    <x v="37"/>
    <x v="5"/>
    <x v="20"/>
    <s v="PC"/>
    <s v="33-4706706"/>
    <m/>
    <n v="201902"/>
    <n v="2"/>
    <x v="1"/>
    <x v="0"/>
    <n v="-87355.7"/>
  </r>
  <r>
    <x v="5"/>
    <n v="164267.72"/>
    <n v="139069.04999999999"/>
    <d v="2020-10-08T00:00:00"/>
    <x v="5"/>
    <x v="1"/>
    <x v="5"/>
    <x v="20"/>
    <s v="PC"/>
    <s v="51-9052860"/>
    <m/>
    <n v="202010"/>
    <n v="10"/>
    <x v="0"/>
    <x v="11"/>
    <n v="164267.72"/>
  </r>
  <r>
    <x v="4"/>
    <n v="92179.76"/>
    <n v="74794.66"/>
    <d v="2020-07-25T00:00:00"/>
    <x v="3"/>
    <x v="46"/>
    <x v="4"/>
    <x v="11"/>
    <s v="Tablet"/>
    <s v="99-9021526"/>
    <m/>
    <n v="202007"/>
    <n v="7"/>
    <x v="0"/>
    <x v="2"/>
    <n v="92179.76"/>
  </r>
  <r>
    <x v="0"/>
    <n v="124093.75999999999"/>
    <n v="105231.51"/>
    <d v="2019-10-15T00:00:00"/>
    <x v="8"/>
    <x v="17"/>
    <x v="0"/>
    <x v="9"/>
    <s v="PC"/>
    <s v="87-0122224"/>
    <m/>
    <n v="201910"/>
    <n v="10"/>
    <x v="1"/>
    <x v="11"/>
    <n v="-124093.75999999999"/>
  </r>
  <r>
    <x v="4"/>
    <n v="66391.58"/>
    <n v="52635.24"/>
    <d v="2019-12-04T00:00:00"/>
    <x v="2"/>
    <x v="61"/>
    <x v="4"/>
    <x v="6"/>
    <s v="Mobile"/>
    <s v="88-1711226"/>
    <m/>
    <n v="201912"/>
    <n v="12"/>
    <x v="1"/>
    <x v="4"/>
    <n v="-66391.58"/>
  </r>
  <r>
    <x v="5"/>
    <n v="197471.1"/>
    <n v="162577.96"/>
    <d v="2019-06-28T00:00:00"/>
    <x v="5"/>
    <x v="4"/>
    <x v="5"/>
    <x v="20"/>
    <s v="PC"/>
    <s v="59-5711012"/>
    <m/>
    <n v="201906"/>
    <n v="6"/>
    <x v="1"/>
    <x v="9"/>
    <n v="-197471.1"/>
  </r>
  <r>
    <x v="4"/>
    <n v="122627.2"/>
    <n v="100284.52"/>
    <d v="2019-05-12T00:00:00"/>
    <x v="2"/>
    <x v="25"/>
    <x v="4"/>
    <x v="6"/>
    <s v="PC"/>
    <s v="65-0792739"/>
    <m/>
    <n v="201905"/>
    <n v="5"/>
    <x v="1"/>
    <x v="6"/>
    <n v="-122627.2"/>
  </r>
  <r>
    <x v="4"/>
    <n v="159052.70000000001"/>
    <n v="127926.09"/>
    <d v="2019-06-01T00:00:00"/>
    <x v="1"/>
    <x v="13"/>
    <x v="4"/>
    <x v="8"/>
    <s v="PC"/>
    <s v="75-7245546"/>
    <m/>
    <n v="201906"/>
    <n v="6"/>
    <x v="1"/>
    <x v="9"/>
    <n v="-159052.70000000001"/>
  </r>
  <r>
    <x v="2"/>
    <n v="85515.6"/>
    <n v="67959.25"/>
    <d v="2019-10-13T00:00:00"/>
    <x v="1"/>
    <x v="2"/>
    <x v="2"/>
    <x v="29"/>
    <s v="PC"/>
    <s v="05-0243828"/>
    <m/>
    <n v="201910"/>
    <n v="10"/>
    <x v="1"/>
    <x v="11"/>
    <n v="-85515.6"/>
  </r>
  <r>
    <x v="2"/>
    <n v="42847.46"/>
    <n v="34757.86"/>
    <d v="2020-10-22T00:00:00"/>
    <x v="4"/>
    <x v="53"/>
    <x v="2"/>
    <x v="3"/>
    <s v="PC"/>
    <s v="14-9919657"/>
    <m/>
    <n v="202010"/>
    <n v="10"/>
    <x v="0"/>
    <x v="11"/>
    <n v="42847.46"/>
  </r>
  <r>
    <x v="5"/>
    <n v="125499.82"/>
    <n v="100977.16"/>
    <d v="2019-04-08T00:00:00"/>
    <x v="3"/>
    <x v="30"/>
    <x v="5"/>
    <x v="21"/>
    <s v="PC"/>
    <s v="47-9191500"/>
    <m/>
    <n v="201904"/>
    <n v="4"/>
    <x v="1"/>
    <x v="3"/>
    <n v="-125499.82"/>
  </r>
  <r>
    <x v="1"/>
    <n v="222379.49"/>
    <n v="192869.73"/>
    <d v="2019-07-10T00:00:00"/>
    <x v="3"/>
    <x v="24"/>
    <x v="1"/>
    <x v="31"/>
    <s v="Mobile"/>
    <s v="51-3543971"/>
    <m/>
    <n v="201907"/>
    <n v="7"/>
    <x v="1"/>
    <x v="2"/>
    <n v="-222379.49"/>
  </r>
  <r>
    <x v="2"/>
    <n v="85390.17"/>
    <n v="74400.460000000006"/>
    <d v="2019-01-25T00:00:00"/>
    <x v="8"/>
    <x v="68"/>
    <x v="2"/>
    <x v="29"/>
    <s v="PC"/>
    <s v="14-4225824"/>
    <m/>
    <n v="201901"/>
    <n v="1"/>
    <x v="1"/>
    <x v="7"/>
    <n v="-85390.17"/>
  </r>
  <r>
    <x v="2"/>
    <n v="97514.7"/>
    <n v="80790.929999999993"/>
    <d v="2020-02-12T00:00:00"/>
    <x v="5"/>
    <x v="11"/>
    <x v="2"/>
    <x v="15"/>
    <s v="PC"/>
    <s v="88-1349718"/>
    <m/>
    <n v="202002"/>
    <n v="2"/>
    <x v="0"/>
    <x v="0"/>
    <n v="97514.7"/>
  </r>
  <r>
    <x v="4"/>
    <n v="87321.89"/>
    <n v="69254.990000000005"/>
    <d v="2019-01-17T00:00:00"/>
    <x v="8"/>
    <x v="11"/>
    <x v="4"/>
    <x v="6"/>
    <s v="Mobile"/>
    <s v="62-5120016"/>
    <m/>
    <n v="201901"/>
    <n v="1"/>
    <x v="1"/>
    <x v="7"/>
    <n v="-87321.89"/>
  </r>
  <r>
    <x v="0"/>
    <n v="205059.8"/>
    <n v="173029.46"/>
    <d v="2020-06-23T00:00:00"/>
    <x v="8"/>
    <x v="62"/>
    <x v="0"/>
    <x v="19"/>
    <s v="PC"/>
    <s v="19-4538571"/>
    <m/>
    <n v="202006"/>
    <n v="6"/>
    <x v="0"/>
    <x v="9"/>
    <n v="205059.8"/>
  </r>
  <r>
    <x v="2"/>
    <n v="105833.52"/>
    <n v="85312.4"/>
    <d v="2019-03-20T00:00:00"/>
    <x v="6"/>
    <x v="40"/>
    <x v="2"/>
    <x v="12"/>
    <s v="PC"/>
    <s v="01-1212783"/>
    <m/>
    <n v="201903"/>
    <n v="3"/>
    <x v="1"/>
    <x v="10"/>
    <n v="-105833.52"/>
  </r>
  <r>
    <x v="5"/>
    <n v="40043.11"/>
    <n v="35109.800000000003"/>
    <d v="2020-09-07T00:00:00"/>
    <x v="5"/>
    <x v="56"/>
    <x v="5"/>
    <x v="21"/>
    <s v="PC"/>
    <s v="58-8728288"/>
    <m/>
    <n v="202009"/>
    <n v="9"/>
    <x v="0"/>
    <x v="1"/>
    <n v="40043.11"/>
  </r>
  <r>
    <x v="2"/>
    <n v="57859.08"/>
    <n v="47756.88"/>
    <d v="2019-12-08T00:00:00"/>
    <x v="0"/>
    <x v="3"/>
    <x v="2"/>
    <x v="3"/>
    <s v="Mobile"/>
    <s v="95-2190016"/>
    <m/>
    <n v="201912"/>
    <n v="12"/>
    <x v="1"/>
    <x v="4"/>
    <n v="-57859.08"/>
  </r>
  <r>
    <x v="5"/>
    <n v="132235.46"/>
    <n v="114132.43"/>
    <d v="2020-06-01T00:00:00"/>
    <x v="0"/>
    <x v="38"/>
    <x v="5"/>
    <x v="21"/>
    <s v="PC"/>
    <s v="95-4388709"/>
    <m/>
    <n v="202006"/>
    <n v="6"/>
    <x v="0"/>
    <x v="9"/>
    <n v="132235.46"/>
  </r>
  <r>
    <x v="4"/>
    <n v="33724.53"/>
    <n v="26770.53"/>
    <d v="2020-01-30T00:00:00"/>
    <x v="3"/>
    <x v="69"/>
    <x v="4"/>
    <x v="6"/>
    <s v="Mobile"/>
    <s v="57-8678621"/>
    <m/>
    <n v="202001"/>
    <n v="1"/>
    <x v="0"/>
    <x v="7"/>
    <n v="33724.53"/>
  </r>
  <r>
    <x v="11"/>
    <n v="36070.76"/>
    <n v="29339.96"/>
    <d v="2019-05-17T00:00:00"/>
    <x v="9"/>
    <x v="21"/>
    <x v="11"/>
    <x v="26"/>
    <s v="Mobile"/>
    <s v="22-4278602"/>
    <m/>
    <n v="201905"/>
    <n v="5"/>
    <x v="1"/>
    <x v="6"/>
    <n v="-36070.76"/>
  </r>
  <r>
    <x v="0"/>
    <n v="39457.339999999997"/>
    <n v="32793"/>
    <d v="2020-10-20T00:00:00"/>
    <x v="3"/>
    <x v="53"/>
    <x v="0"/>
    <x v="9"/>
    <s v="PC"/>
    <s v="98-3280428"/>
    <m/>
    <n v="202010"/>
    <n v="10"/>
    <x v="0"/>
    <x v="11"/>
    <n v="39457.339999999997"/>
  </r>
  <r>
    <x v="10"/>
    <n v="38536.92"/>
    <n v="32001.06"/>
    <d v="2020-05-28T00:00:00"/>
    <x v="0"/>
    <x v="30"/>
    <x v="10"/>
    <x v="22"/>
    <s v="Mobile"/>
    <s v="61-4366487"/>
    <m/>
    <n v="202005"/>
    <n v="5"/>
    <x v="0"/>
    <x v="6"/>
    <n v="38536.92"/>
  </r>
  <r>
    <x v="5"/>
    <n v="173829.96"/>
    <n v="149824.04"/>
    <d v="2019-09-23T00:00:00"/>
    <x v="3"/>
    <x v="23"/>
    <x v="5"/>
    <x v="10"/>
    <s v="PC"/>
    <s v="55-2128150"/>
    <m/>
    <n v="201909"/>
    <n v="9"/>
    <x v="1"/>
    <x v="1"/>
    <n v="-173829.96"/>
  </r>
  <r>
    <x v="2"/>
    <n v="37521.39"/>
    <n v="29701.93"/>
    <d v="2020-01-18T00:00:00"/>
    <x v="3"/>
    <x v="21"/>
    <x v="2"/>
    <x v="15"/>
    <s v="PC"/>
    <s v="60-0610487"/>
    <m/>
    <n v="202001"/>
    <n v="1"/>
    <x v="0"/>
    <x v="7"/>
    <n v="37521.39"/>
  </r>
  <r>
    <x v="2"/>
    <n v="119409.43"/>
    <n v="102656.29"/>
    <d v="2019-06-25T00:00:00"/>
    <x v="8"/>
    <x v="30"/>
    <x v="2"/>
    <x v="15"/>
    <s v="PC"/>
    <s v="02-9253490"/>
    <m/>
    <n v="201906"/>
    <n v="6"/>
    <x v="1"/>
    <x v="9"/>
    <n v="-119409.43"/>
  </r>
  <r>
    <x v="13"/>
    <n v="248261.86"/>
    <n v="206727.65"/>
    <d v="2019-12-22T00:00:00"/>
    <x v="6"/>
    <x v="65"/>
    <x v="13"/>
    <x v="30"/>
    <s v="PC"/>
    <s v="65-2343846"/>
    <m/>
    <n v="201912"/>
    <n v="12"/>
    <x v="1"/>
    <x v="4"/>
    <n v="-248261.86"/>
  </r>
  <r>
    <x v="4"/>
    <n v="96669.92"/>
    <n v="76475.570000000007"/>
    <d v="2020-12-27T00:00:00"/>
    <x v="5"/>
    <x v="4"/>
    <x v="4"/>
    <x v="6"/>
    <s v="Mobile"/>
    <s v="20-0499139"/>
    <m/>
    <n v="202012"/>
    <n v="12"/>
    <x v="0"/>
    <x v="4"/>
    <n v="96669.92"/>
  </r>
  <r>
    <x v="5"/>
    <n v="264149.90999999997"/>
    <n v="208757.67"/>
    <d v="2020-12-20T00:00:00"/>
    <x v="6"/>
    <x v="26"/>
    <x v="5"/>
    <x v="23"/>
    <s v="PC"/>
    <s v="32-3994860"/>
    <m/>
    <n v="202012"/>
    <n v="12"/>
    <x v="0"/>
    <x v="4"/>
    <n v="264149.90999999997"/>
  </r>
  <r>
    <x v="2"/>
    <n v="216863.04"/>
    <n v="175355.45"/>
    <d v="2019-07-24T00:00:00"/>
    <x v="3"/>
    <x v="46"/>
    <x v="2"/>
    <x v="12"/>
    <s v="Tablet"/>
    <s v="72-7973717"/>
    <m/>
    <n v="201907"/>
    <n v="7"/>
    <x v="1"/>
    <x v="2"/>
    <n v="-216863.04"/>
  </r>
  <r>
    <x v="5"/>
    <n v="140943.88"/>
    <n v="120633.87"/>
    <d v="2020-05-28T00:00:00"/>
    <x v="5"/>
    <x v="17"/>
    <x v="5"/>
    <x v="23"/>
    <s v="Tablet"/>
    <s v="77-0650807"/>
    <m/>
    <n v="202005"/>
    <n v="5"/>
    <x v="0"/>
    <x v="6"/>
    <n v="140943.88"/>
  </r>
  <r>
    <x v="9"/>
    <n v="82525.61"/>
    <n v="68446.740000000005"/>
    <d v="2019-03-01T00:00:00"/>
    <x v="2"/>
    <x v="4"/>
    <x v="9"/>
    <x v="18"/>
    <s v="PC"/>
    <s v="34-5150360"/>
    <m/>
    <n v="201903"/>
    <n v="3"/>
    <x v="1"/>
    <x v="10"/>
    <n v="-82525.61"/>
  </r>
  <r>
    <x v="2"/>
    <n v="19622.59"/>
    <n v="17148.18"/>
    <d v="2020-03-06T00:00:00"/>
    <x v="2"/>
    <x v="28"/>
    <x v="2"/>
    <x v="3"/>
    <s v="PC"/>
    <s v="73-4726386"/>
    <m/>
    <n v="202003"/>
    <n v="3"/>
    <x v="0"/>
    <x v="10"/>
    <n v="19622.59"/>
  </r>
  <r>
    <x v="0"/>
    <n v="263713.12"/>
    <n v="216165.64"/>
    <d v="2020-06-30T00:00:00"/>
    <x v="8"/>
    <x v="26"/>
    <x v="0"/>
    <x v="25"/>
    <s v="PC"/>
    <s v="78-6165949"/>
    <m/>
    <n v="202006"/>
    <n v="6"/>
    <x v="0"/>
    <x v="9"/>
    <n v="263713.12"/>
  </r>
  <r>
    <x v="2"/>
    <n v="284298.56"/>
    <n v="229656.38"/>
    <d v="2020-07-03T00:00:00"/>
    <x v="2"/>
    <x v="58"/>
    <x v="2"/>
    <x v="12"/>
    <s v="PC"/>
    <s v="74-0191565"/>
    <m/>
    <n v="202007"/>
    <n v="7"/>
    <x v="0"/>
    <x v="2"/>
    <n v="284298.56"/>
  </r>
  <r>
    <x v="0"/>
    <n v="98320.37"/>
    <n v="77722.25"/>
    <d v="2020-08-23T00:00:00"/>
    <x v="1"/>
    <x v="57"/>
    <x v="0"/>
    <x v="25"/>
    <s v="Tablet"/>
    <s v="02-3364199"/>
    <m/>
    <n v="202008"/>
    <n v="8"/>
    <x v="0"/>
    <x v="5"/>
    <n v="98320.37"/>
  </r>
  <r>
    <x v="4"/>
    <n v="128112.26"/>
    <n v="104975.19"/>
    <d v="2020-12-09T00:00:00"/>
    <x v="0"/>
    <x v="3"/>
    <x v="4"/>
    <x v="11"/>
    <s v="PC"/>
    <s v="39-8642490"/>
    <m/>
    <n v="202012"/>
    <n v="12"/>
    <x v="0"/>
    <x v="4"/>
    <n v="128112.26"/>
  </r>
  <r>
    <x v="5"/>
    <n v="110878.97"/>
    <n v="90588.12"/>
    <d v="2020-02-06T00:00:00"/>
    <x v="5"/>
    <x v="57"/>
    <x v="5"/>
    <x v="10"/>
    <s v="PC"/>
    <s v="50-8357453"/>
    <m/>
    <n v="202002"/>
    <n v="2"/>
    <x v="0"/>
    <x v="0"/>
    <n v="110878.97"/>
  </r>
  <r>
    <x v="0"/>
    <n v="66225.710000000006"/>
    <n v="52437.52"/>
    <d v="2020-09-05T00:00:00"/>
    <x v="0"/>
    <x v="2"/>
    <x v="0"/>
    <x v="13"/>
    <s v="PC"/>
    <s v="68-6900528"/>
    <m/>
    <n v="202009"/>
    <n v="9"/>
    <x v="0"/>
    <x v="1"/>
    <n v="66225.710000000006"/>
  </r>
  <r>
    <x v="4"/>
    <n v="73727.91"/>
    <n v="64047.44"/>
    <d v="2020-10-11T00:00:00"/>
    <x v="0"/>
    <x v="56"/>
    <x v="4"/>
    <x v="6"/>
    <s v="PC"/>
    <s v="92-5154775"/>
    <m/>
    <n v="202010"/>
    <n v="10"/>
    <x v="0"/>
    <x v="11"/>
    <n v="73727.91"/>
  </r>
  <r>
    <x v="13"/>
    <n v="22164.959999999999"/>
    <n v="17938.099999999999"/>
    <d v="2019-03-14T00:00:00"/>
    <x v="0"/>
    <x v="67"/>
    <x v="13"/>
    <x v="30"/>
    <s v="PC"/>
    <s v="60-7777080"/>
    <m/>
    <n v="201903"/>
    <n v="3"/>
    <x v="1"/>
    <x v="10"/>
    <n v="-22164.959999999999"/>
  </r>
  <r>
    <x v="5"/>
    <n v="151855.04000000001"/>
    <n v="129486.79"/>
    <d v="2019-01-16T00:00:00"/>
    <x v="8"/>
    <x v="19"/>
    <x v="5"/>
    <x v="10"/>
    <s v="PC"/>
    <s v="54-1473475"/>
    <m/>
    <n v="201901"/>
    <n v="1"/>
    <x v="1"/>
    <x v="7"/>
    <n v="-151855.04000000001"/>
  </r>
  <r>
    <x v="1"/>
    <n v="106115.85"/>
    <n v="93063.6"/>
    <d v="2020-02-15T00:00:00"/>
    <x v="8"/>
    <x v="4"/>
    <x v="1"/>
    <x v="31"/>
    <s v="Tablet"/>
    <s v="51-4531731"/>
    <m/>
    <n v="202002"/>
    <n v="2"/>
    <x v="0"/>
    <x v="0"/>
    <n v="106115.85"/>
  </r>
  <r>
    <x v="5"/>
    <n v="89369"/>
    <n v="72889.36"/>
    <d v="2020-01-02T00:00:00"/>
    <x v="6"/>
    <x v="9"/>
    <x v="5"/>
    <x v="21"/>
    <s v="PC"/>
    <s v="20-6735303"/>
    <m/>
    <n v="202001"/>
    <n v="1"/>
    <x v="0"/>
    <x v="7"/>
    <n v="89369"/>
  </r>
  <r>
    <x v="0"/>
    <n v="106076.67"/>
    <n v="84765.87"/>
    <d v="2019-10-10T00:00:00"/>
    <x v="8"/>
    <x v="56"/>
    <x v="0"/>
    <x v="0"/>
    <s v="Mobile"/>
    <s v="97-5858605"/>
    <m/>
    <n v="201910"/>
    <n v="10"/>
    <x v="1"/>
    <x v="11"/>
    <n v="-106076.67"/>
  </r>
  <r>
    <x v="6"/>
    <n v="23290.84"/>
    <n v="19147.400000000001"/>
    <d v="2019-02-25T00:00:00"/>
    <x v="8"/>
    <x v="57"/>
    <x v="6"/>
    <x v="14"/>
    <s v="PC"/>
    <s v="02-2183787"/>
    <m/>
    <n v="201902"/>
    <n v="2"/>
    <x v="1"/>
    <x v="0"/>
    <n v="-23290.84"/>
  </r>
  <r>
    <x v="5"/>
    <n v="83340.039999999994"/>
    <n v="73264.23"/>
    <d v="2020-05-18T00:00:00"/>
    <x v="2"/>
    <x v="4"/>
    <x v="5"/>
    <x v="10"/>
    <s v="PC"/>
    <s v="65-5818172"/>
    <m/>
    <n v="202005"/>
    <n v="5"/>
    <x v="0"/>
    <x v="6"/>
    <n v="83340.039999999994"/>
  </r>
  <r>
    <x v="13"/>
    <n v="39287.29"/>
    <n v="31708.77"/>
    <d v="2019-03-15T00:00:00"/>
    <x v="1"/>
    <x v="11"/>
    <x v="13"/>
    <x v="34"/>
    <s v="PC"/>
    <s v="03-8586261"/>
    <m/>
    <n v="201903"/>
    <n v="3"/>
    <x v="1"/>
    <x v="10"/>
    <n v="-39287.29"/>
  </r>
  <r>
    <x v="8"/>
    <n v="124611.61"/>
    <n v="107776.58"/>
    <d v="2020-09-19T00:00:00"/>
    <x v="8"/>
    <x v="25"/>
    <x v="8"/>
    <x v="17"/>
    <s v="PC"/>
    <s v="86-0928074"/>
    <m/>
    <n v="202009"/>
    <n v="9"/>
    <x v="0"/>
    <x v="1"/>
    <n v="124611.61"/>
  </r>
  <r>
    <x v="5"/>
    <n v="147055.1"/>
    <n v="126114.45"/>
    <d v="2019-04-15T00:00:00"/>
    <x v="1"/>
    <x v="21"/>
    <x v="5"/>
    <x v="20"/>
    <s v="PC"/>
    <s v="77-1100434"/>
    <m/>
    <n v="201904"/>
    <n v="4"/>
    <x v="1"/>
    <x v="3"/>
    <n v="-147055.1"/>
  </r>
  <r>
    <x v="11"/>
    <n v="130242.41"/>
    <n v="113050.41"/>
    <d v="2020-12-30T00:00:00"/>
    <x v="6"/>
    <x v="4"/>
    <x v="11"/>
    <x v="27"/>
    <s v="PC"/>
    <s v="70-7426559"/>
    <m/>
    <n v="202012"/>
    <n v="12"/>
    <x v="0"/>
    <x v="4"/>
    <n v="130242.41"/>
  </r>
  <r>
    <x v="5"/>
    <n v="34771.79"/>
    <n v="28509.39"/>
    <d v="2020-03-19T00:00:00"/>
    <x v="6"/>
    <x v="12"/>
    <x v="5"/>
    <x v="7"/>
    <s v="PC"/>
    <s v="45-5963143"/>
    <m/>
    <n v="202003"/>
    <n v="3"/>
    <x v="0"/>
    <x v="10"/>
    <n v="34771.79"/>
  </r>
  <r>
    <x v="2"/>
    <n v="201573.23"/>
    <n v="166116.5"/>
    <d v="2019-12-05T00:00:00"/>
    <x v="1"/>
    <x v="70"/>
    <x v="2"/>
    <x v="12"/>
    <s v="Mobile"/>
    <s v="94-3590580"/>
    <m/>
    <n v="201912"/>
    <n v="12"/>
    <x v="1"/>
    <x v="4"/>
    <n v="-201573.23"/>
  </r>
  <r>
    <x v="0"/>
    <n v="71119.23"/>
    <n v="59220.98"/>
    <d v="2019-03-09T00:00:00"/>
    <x v="0"/>
    <x v="4"/>
    <x v="0"/>
    <x v="13"/>
    <s v="PC"/>
    <s v="52-5981325"/>
    <m/>
    <n v="201903"/>
    <n v="3"/>
    <x v="1"/>
    <x v="10"/>
    <n v="-71119.23"/>
  </r>
  <r>
    <x v="2"/>
    <n v="115538.34"/>
    <n v="99686.48"/>
    <d v="2020-01-28T00:00:00"/>
    <x v="1"/>
    <x v="2"/>
    <x v="2"/>
    <x v="2"/>
    <s v="PC"/>
    <s v="74-7472724"/>
    <m/>
    <n v="202001"/>
    <n v="1"/>
    <x v="0"/>
    <x v="7"/>
    <n v="115538.34"/>
  </r>
  <r>
    <x v="2"/>
    <n v="144237.38"/>
    <n v="116111.09"/>
    <d v="2020-11-05T00:00:00"/>
    <x v="0"/>
    <x v="4"/>
    <x v="2"/>
    <x v="15"/>
    <s v="PC"/>
    <s v="03-3965480"/>
    <m/>
    <n v="202011"/>
    <n v="11"/>
    <x v="0"/>
    <x v="8"/>
    <n v="144237.38"/>
  </r>
  <r>
    <x v="4"/>
    <n v="91561.49"/>
    <n v="78266.759999999995"/>
    <d v="2019-03-25T00:00:00"/>
    <x v="0"/>
    <x v="17"/>
    <x v="4"/>
    <x v="6"/>
    <s v="PC"/>
    <s v="64-4188827"/>
    <m/>
    <n v="201903"/>
    <n v="3"/>
    <x v="1"/>
    <x v="10"/>
    <n v="-91561.49"/>
  </r>
  <r>
    <x v="0"/>
    <n v="233858.47"/>
    <n v="185543.31"/>
    <d v="2020-06-02T00:00:00"/>
    <x v="3"/>
    <x v="14"/>
    <x v="0"/>
    <x v="13"/>
    <s v="PC"/>
    <s v="66-5572109"/>
    <m/>
    <n v="202006"/>
    <n v="6"/>
    <x v="0"/>
    <x v="9"/>
    <n v="233858.47"/>
  </r>
  <r>
    <x v="4"/>
    <n v="256388.08"/>
    <n v="212058.58"/>
    <d v="2019-12-05T00:00:00"/>
    <x v="5"/>
    <x v="54"/>
    <x v="4"/>
    <x v="11"/>
    <s v="Mobile"/>
    <s v="44-2994974"/>
    <m/>
    <n v="201912"/>
    <n v="12"/>
    <x v="1"/>
    <x v="4"/>
    <n v="-256388.08"/>
  </r>
  <r>
    <x v="4"/>
    <n v="125099.05"/>
    <n v="108473.39"/>
    <d v="2020-03-05T00:00:00"/>
    <x v="0"/>
    <x v="23"/>
    <x v="4"/>
    <x v="8"/>
    <s v="PC"/>
    <s v="30-7981953"/>
    <m/>
    <n v="202003"/>
    <n v="3"/>
    <x v="0"/>
    <x v="10"/>
    <n v="125099.05"/>
  </r>
  <r>
    <x v="4"/>
    <n v="121246.32"/>
    <n v="104005.09"/>
    <d v="2020-05-30T00:00:00"/>
    <x v="0"/>
    <x v="34"/>
    <x v="4"/>
    <x v="6"/>
    <s v="PC"/>
    <s v="82-9740062"/>
    <m/>
    <n v="202005"/>
    <n v="5"/>
    <x v="0"/>
    <x v="6"/>
    <n v="121246.32"/>
  </r>
  <r>
    <x v="1"/>
    <n v="28538.19"/>
    <n v="24970.92"/>
    <d v="2019-05-27T00:00:00"/>
    <x v="1"/>
    <x v="1"/>
    <x v="1"/>
    <x v="1"/>
    <s v="PC"/>
    <s v="28-7069317"/>
    <m/>
    <n v="201905"/>
    <n v="5"/>
    <x v="1"/>
    <x v="6"/>
    <n v="-28538.19"/>
  </r>
  <r>
    <x v="5"/>
    <n v="89930.18"/>
    <n v="78005.440000000002"/>
    <d v="2020-03-26T00:00:00"/>
    <x v="9"/>
    <x v="3"/>
    <x v="5"/>
    <x v="7"/>
    <s v="PC"/>
    <s v="65-0441590"/>
    <m/>
    <n v="202003"/>
    <n v="3"/>
    <x v="0"/>
    <x v="10"/>
    <n v="89930.18"/>
  </r>
  <r>
    <x v="0"/>
    <n v="170457.8"/>
    <n v="142809.54"/>
    <d v="2020-08-14T00:00:00"/>
    <x v="4"/>
    <x v="43"/>
    <x v="0"/>
    <x v="9"/>
    <s v="PC"/>
    <s v="60-1991659"/>
    <m/>
    <n v="202008"/>
    <n v="8"/>
    <x v="0"/>
    <x v="5"/>
    <n v="170457.8"/>
  </r>
  <r>
    <x v="4"/>
    <n v="166380.74"/>
    <n v="146049.01"/>
    <d v="2020-06-23T00:00:00"/>
    <x v="6"/>
    <x v="24"/>
    <x v="4"/>
    <x v="8"/>
    <s v="PC"/>
    <s v="15-2948501"/>
    <m/>
    <n v="202006"/>
    <n v="6"/>
    <x v="0"/>
    <x v="9"/>
    <n v="166380.74"/>
  </r>
  <r>
    <x v="5"/>
    <n v="116328.75"/>
    <n v="93365.45"/>
    <d v="2019-09-27T00:00:00"/>
    <x v="5"/>
    <x v="50"/>
    <x v="5"/>
    <x v="20"/>
    <s v="PC"/>
    <s v="02-6830973"/>
    <m/>
    <n v="201909"/>
    <n v="9"/>
    <x v="1"/>
    <x v="1"/>
    <n v="-116328.75"/>
  </r>
  <r>
    <x v="12"/>
    <n v="230765.62"/>
    <n v="195435.4"/>
    <d v="2019-07-18T00:00:00"/>
    <x v="3"/>
    <x v="4"/>
    <x v="12"/>
    <x v="28"/>
    <s v="PC"/>
    <s v="70-0112393"/>
    <m/>
    <n v="201907"/>
    <n v="7"/>
    <x v="1"/>
    <x v="2"/>
    <n v="-230765.62"/>
  </r>
  <r>
    <x v="2"/>
    <n v="152442.32"/>
    <n v="122258.74"/>
    <d v="2020-10-06T00:00:00"/>
    <x v="8"/>
    <x v="4"/>
    <x v="2"/>
    <x v="3"/>
    <s v="PC"/>
    <s v="04-6161825"/>
    <m/>
    <n v="202010"/>
    <n v="10"/>
    <x v="0"/>
    <x v="11"/>
    <n v="152442.32"/>
  </r>
  <r>
    <x v="0"/>
    <n v="325331.99"/>
    <n v="264592.51"/>
    <d v="2019-12-23T00:00:00"/>
    <x v="1"/>
    <x v="34"/>
    <x v="0"/>
    <x v="19"/>
    <s v="Mobile"/>
    <s v="57-4142025"/>
    <m/>
    <n v="201912"/>
    <n v="12"/>
    <x v="1"/>
    <x v="4"/>
    <n v="-325331.99"/>
  </r>
  <r>
    <x v="4"/>
    <n v="56768.43"/>
    <n v="47384.61"/>
    <d v="2019-04-22T00:00:00"/>
    <x v="1"/>
    <x v="49"/>
    <x v="4"/>
    <x v="6"/>
    <s v="PC"/>
    <s v="84-9254695"/>
    <m/>
    <n v="201904"/>
    <n v="4"/>
    <x v="1"/>
    <x v="3"/>
    <n v="-56768.43"/>
  </r>
  <r>
    <x v="2"/>
    <n v="147895.45000000001"/>
    <n v="120416.48"/>
    <d v="2019-07-01T00:00:00"/>
    <x v="2"/>
    <x v="10"/>
    <x v="2"/>
    <x v="15"/>
    <s v="Mobile"/>
    <s v="17-1884075"/>
    <m/>
    <n v="201907"/>
    <n v="7"/>
    <x v="1"/>
    <x v="2"/>
    <n v="-147895.45000000001"/>
  </r>
  <r>
    <x v="11"/>
    <n v="57107.26"/>
    <n v="48232.79"/>
    <d v="2020-02-13T00:00:00"/>
    <x v="7"/>
    <x v="34"/>
    <x v="11"/>
    <x v="26"/>
    <s v="Mobile"/>
    <s v="49-6263811"/>
    <m/>
    <n v="202002"/>
    <n v="2"/>
    <x v="0"/>
    <x v="0"/>
    <n v="57107.26"/>
  </r>
  <r>
    <x v="5"/>
    <n v="85337.78"/>
    <n v="72306.7"/>
    <d v="2020-02-04T00:00:00"/>
    <x v="5"/>
    <x v="44"/>
    <x v="5"/>
    <x v="20"/>
    <s v="Mobile"/>
    <s v="78-6287811"/>
    <m/>
    <n v="202002"/>
    <n v="2"/>
    <x v="0"/>
    <x v="0"/>
    <n v="85337.78"/>
  </r>
  <r>
    <x v="5"/>
    <n v="162199.24"/>
    <n v="130878.57"/>
    <d v="2020-06-22T00:00:00"/>
    <x v="5"/>
    <x v="42"/>
    <x v="5"/>
    <x v="23"/>
    <s v="PC"/>
    <s v="75-1807214"/>
    <m/>
    <n v="202006"/>
    <n v="6"/>
    <x v="0"/>
    <x v="9"/>
    <n v="162199.24"/>
  </r>
  <r>
    <x v="0"/>
    <n v="128208.95"/>
    <n v="111746.92"/>
    <d v="2020-07-31T00:00:00"/>
    <x v="5"/>
    <x v="23"/>
    <x v="0"/>
    <x v="13"/>
    <s v="PC"/>
    <s v="72-1300449"/>
    <m/>
    <n v="202007"/>
    <n v="7"/>
    <x v="0"/>
    <x v="2"/>
    <n v="128208.95"/>
  </r>
  <r>
    <x v="12"/>
    <n v="86669.23"/>
    <n v="71580.12"/>
    <d v="2020-03-18T00:00:00"/>
    <x v="5"/>
    <x v="3"/>
    <x v="12"/>
    <x v="28"/>
    <s v="PC"/>
    <s v="22-4332301"/>
    <m/>
    <n v="202003"/>
    <n v="3"/>
    <x v="0"/>
    <x v="10"/>
    <n v="86669.23"/>
  </r>
  <r>
    <x v="11"/>
    <n v="117288.29"/>
    <n v="94546.09"/>
    <d v="2019-07-04T00:00:00"/>
    <x v="2"/>
    <x v="4"/>
    <x v="11"/>
    <x v="27"/>
    <s v="PC"/>
    <s v="42-2477150"/>
    <m/>
    <n v="201907"/>
    <n v="7"/>
    <x v="1"/>
    <x v="2"/>
    <n v="-117288.29"/>
  </r>
  <r>
    <x v="5"/>
    <n v="57292.84"/>
    <n v="45908.75"/>
    <d v="2019-10-03T00:00:00"/>
    <x v="8"/>
    <x v="38"/>
    <x v="5"/>
    <x v="21"/>
    <s v="PC"/>
    <s v="18-5234470"/>
    <m/>
    <n v="201910"/>
    <n v="10"/>
    <x v="1"/>
    <x v="11"/>
    <n v="-57292.84"/>
  </r>
  <r>
    <x v="2"/>
    <n v="110441.89"/>
    <n v="90970.98"/>
    <d v="2020-01-04T00:00:00"/>
    <x v="3"/>
    <x v="71"/>
    <x v="2"/>
    <x v="15"/>
    <s v="Tablet"/>
    <s v="74-4541594"/>
    <m/>
    <n v="202001"/>
    <n v="1"/>
    <x v="0"/>
    <x v="7"/>
    <n v="110441.89"/>
  </r>
  <r>
    <x v="4"/>
    <n v="53801.73"/>
    <n v="46785.98"/>
    <d v="2019-09-28T00:00:00"/>
    <x v="1"/>
    <x v="4"/>
    <x v="4"/>
    <x v="11"/>
    <s v="PC"/>
    <s v="16-6855831"/>
    <m/>
    <n v="201909"/>
    <n v="9"/>
    <x v="1"/>
    <x v="1"/>
    <n v="-53801.73"/>
  </r>
  <r>
    <x v="4"/>
    <n v="308763.51"/>
    <n v="245714"/>
    <d v="2020-12-04T00:00:00"/>
    <x v="7"/>
    <x v="49"/>
    <x v="4"/>
    <x v="6"/>
    <s v="PC"/>
    <s v="46-5327740"/>
    <m/>
    <n v="202012"/>
    <n v="12"/>
    <x v="0"/>
    <x v="4"/>
    <n v="308763.51"/>
  </r>
  <r>
    <x v="2"/>
    <n v="87409.49"/>
    <n v="70548.2"/>
    <d v="2020-11-29T00:00:00"/>
    <x v="1"/>
    <x v="3"/>
    <x v="2"/>
    <x v="29"/>
    <s v="PC"/>
    <s v="06-4416964"/>
    <m/>
    <n v="202011"/>
    <n v="11"/>
    <x v="0"/>
    <x v="8"/>
    <n v="87409.49"/>
  </r>
  <r>
    <x v="13"/>
    <n v="31936.44"/>
    <n v="27708.06"/>
    <d v="2020-09-17T00:00:00"/>
    <x v="0"/>
    <x v="64"/>
    <x v="13"/>
    <x v="34"/>
    <s v="PC"/>
    <s v="46-6076582"/>
    <m/>
    <n v="202009"/>
    <n v="9"/>
    <x v="0"/>
    <x v="1"/>
    <n v="31936.44"/>
  </r>
  <r>
    <x v="0"/>
    <n v="45463.65"/>
    <n v="36907.39"/>
    <d v="2020-08-29T00:00:00"/>
    <x v="2"/>
    <x v="70"/>
    <x v="0"/>
    <x v="13"/>
    <s v="PC"/>
    <s v="38-1449694"/>
    <m/>
    <n v="202008"/>
    <n v="8"/>
    <x v="0"/>
    <x v="5"/>
    <n v="45463.65"/>
  </r>
  <r>
    <x v="0"/>
    <n v="112909.4"/>
    <n v="93940.62"/>
    <d v="2019-04-25T00:00:00"/>
    <x v="2"/>
    <x v="4"/>
    <x v="0"/>
    <x v="0"/>
    <s v="PC"/>
    <s v="39-3557596"/>
    <m/>
    <n v="201904"/>
    <n v="4"/>
    <x v="1"/>
    <x v="3"/>
    <n v="-112909.4"/>
  </r>
  <r>
    <x v="2"/>
    <n v="126346.44"/>
    <n v="103970.49"/>
    <d v="2019-04-08T00:00:00"/>
    <x v="6"/>
    <x v="4"/>
    <x v="2"/>
    <x v="12"/>
    <s v="PC"/>
    <s v="26-9990483"/>
    <m/>
    <n v="201904"/>
    <n v="4"/>
    <x v="1"/>
    <x v="3"/>
    <n v="-126346.44"/>
  </r>
  <r>
    <x v="2"/>
    <n v="109713.84"/>
    <n v="95769.21"/>
    <d v="2020-05-07T00:00:00"/>
    <x v="6"/>
    <x v="39"/>
    <x v="2"/>
    <x v="3"/>
    <s v="PC"/>
    <s v="31-7075495"/>
    <m/>
    <n v="202005"/>
    <n v="5"/>
    <x v="0"/>
    <x v="6"/>
    <n v="109713.84"/>
  </r>
  <r>
    <x v="6"/>
    <n v="200472.46"/>
    <n v="170181.07"/>
    <d v="2020-06-19T00:00:00"/>
    <x v="8"/>
    <x v="25"/>
    <x v="6"/>
    <x v="14"/>
    <s v="PC"/>
    <s v="98-5774102"/>
    <m/>
    <n v="202006"/>
    <n v="6"/>
    <x v="0"/>
    <x v="9"/>
    <n v="200472.46"/>
  </r>
  <r>
    <x v="5"/>
    <n v="35214.85"/>
    <n v="27985.24"/>
    <d v="2019-03-13T00:00:00"/>
    <x v="8"/>
    <x v="52"/>
    <x v="5"/>
    <x v="21"/>
    <s v="PC"/>
    <s v="46-5580805"/>
    <m/>
    <n v="201903"/>
    <n v="3"/>
    <x v="1"/>
    <x v="10"/>
    <n v="-35214.85"/>
  </r>
  <r>
    <x v="11"/>
    <n v="161630.62"/>
    <n v="133991.78"/>
    <d v="2019-04-04T00:00:00"/>
    <x v="5"/>
    <x v="21"/>
    <x v="11"/>
    <x v="27"/>
    <s v="PC"/>
    <s v="39-6568658"/>
    <m/>
    <n v="201904"/>
    <n v="4"/>
    <x v="1"/>
    <x v="3"/>
    <n v="-161630.62"/>
  </r>
  <r>
    <x v="2"/>
    <n v="179184.12"/>
    <n v="142433.46"/>
    <d v="2020-05-08T00:00:00"/>
    <x v="5"/>
    <x v="27"/>
    <x v="2"/>
    <x v="29"/>
    <s v="PC"/>
    <s v="85-1464621"/>
    <m/>
    <n v="202005"/>
    <n v="5"/>
    <x v="0"/>
    <x v="6"/>
    <n v="179184.12"/>
  </r>
  <r>
    <x v="0"/>
    <n v="80867.179999999993"/>
    <n v="63982.11"/>
    <d v="2019-02-12T00:00:00"/>
    <x v="0"/>
    <x v="23"/>
    <x v="0"/>
    <x v="9"/>
    <s v="PC"/>
    <s v="86-6763776"/>
    <m/>
    <n v="201902"/>
    <n v="2"/>
    <x v="1"/>
    <x v="0"/>
    <n v="-80867.179999999993"/>
  </r>
  <r>
    <x v="5"/>
    <n v="96613.06"/>
    <n v="79242.03"/>
    <d v="2019-04-24T00:00:00"/>
    <x v="0"/>
    <x v="4"/>
    <x v="5"/>
    <x v="21"/>
    <s v="PC"/>
    <s v="03-7559332"/>
    <m/>
    <n v="201904"/>
    <n v="4"/>
    <x v="1"/>
    <x v="3"/>
    <n v="-96613.06"/>
  </r>
  <r>
    <x v="2"/>
    <n v="89600.45"/>
    <n v="70811.240000000005"/>
    <d v="2020-01-21T00:00:00"/>
    <x v="1"/>
    <x v="10"/>
    <x v="2"/>
    <x v="2"/>
    <s v="PC"/>
    <s v="36-7939842"/>
    <m/>
    <n v="202001"/>
    <n v="1"/>
    <x v="0"/>
    <x v="7"/>
    <n v="89600.45"/>
  </r>
  <r>
    <x v="2"/>
    <n v="41921.61"/>
    <n v="34773.980000000003"/>
    <d v="2020-11-28T00:00:00"/>
    <x v="1"/>
    <x v="8"/>
    <x v="2"/>
    <x v="15"/>
    <s v="Tablet"/>
    <s v="38-7603760"/>
    <m/>
    <n v="202011"/>
    <n v="11"/>
    <x v="0"/>
    <x v="8"/>
    <n v="41921.61"/>
  </r>
  <r>
    <x v="4"/>
    <n v="151012.12"/>
    <n v="126080.02"/>
    <d v="2020-08-25T00:00:00"/>
    <x v="4"/>
    <x v="4"/>
    <x v="4"/>
    <x v="11"/>
    <s v="PC"/>
    <s v="11-5630090"/>
    <m/>
    <n v="202008"/>
    <n v="8"/>
    <x v="0"/>
    <x v="5"/>
    <n v="151012.12"/>
  </r>
  <r>
    <x v="2"/>
    <n v="112481.44"/>
    <n v="96700.29"/>
    <d v="2020-04-11T00:00:00"/>
    <x v="8"/>
    <x v="46"/>
    <x v="2"/>
    <x v="15"/>
    <s v="Mobile"/>
    <s v="97-6414953"/>
    <m/>
    <n v="202004"/>
    <n v="4"/>
    <x v="0"/>
    <x v="3"/>
    <n v="112481.44"/>
  </r>
  <r>
    <x v="5"/>
    <n v="90228.68"/>
    <n v="77966.600000000006"/>
    <d v="2019-01-27T00:00:00"/>
    <x v="8"/>
    <x v="25"/>
    <x v="5"/>
    <x v="23"/>
    <s v="PC"/>
    <s v="64-9816105"/>
    <m/>
    <n v="201901"/>
    <n v="1"/>
    <x v="1"/>
    <x v="7"/>
    <n v="-90228.68"/>
  </r>
  <r>
    <x v="4"/>
    <n v="141552.4"/>
    <n v="122994.88"/>
    <d v="2019-09-17T00:00:00"/>
    <x v="3"/>
    <x v="46"/>
    <x v="4"/>
    <x v="6"/>
    <s v="PC"/>
    <s v="59-0893568"/>
    <m/>
    <n v="201909"/>
    <n v="9"/>
    <x v="1"/>
    <x v="1"/>
    <n v="-141552.4"/>
  </r>
  <r>
    <x v="4"/>
    <n v="29783.39"/>
    <n v="23719.49"/>
    <d v="2019-11-27T00:00:00"/>
    <x v="0"/>
    <x v="26"/>
    <x v="4"/>
    <x v="6"/>
    <s v="PC"/>
    <s v="18-0945763"/>
    <m/>
    <n v="201911"/>
    <n v="11"/>
    <x v="1"/>
    <x v="8"/>
    <n v="-29783.39"/>
  </r>
  <r>
    <x v="0"/>
    <n v="149938.71"/>
    <n v="131541.23000000001"/>
    <d v="2020-12-24T00:00:00"/>
    <x v="0"/>
    <x v="32"/>
    <x v="0"/>
    <x v="0"/>
    <s v="PC"/>
    <s v="26-1771681"/>
    <m/>
    <n v="202012"/>
    <n v="12"/>
    <x v="0"/>
    <x v="4"/>
    <n v="149938.71"/>
  </r>
  <r>
    <x v="0"/>
    <n v="103839.74"/>
    <n v="90683.24"/>
    <d v="2020-08-23T00:00:00"/>
    <x v="0"/>
    <x v="6"/>
    <x v="0"/>
    <x v="25"/>
    <s v="PC"/>
    <s v="57-6427586"/>
    <m/>
    <n v="202008"/>
    <n v="8"/>
    <x v="0"/>
    <x v="5"/>
    <n v="103839.74"/>
  </r>
  <r>
    <x v="2"/>
    <n v="30550.32"/>
    <n v="25457.58"/>
    <d v="2019-05-31T00:00:00"/>
    <x v="3"/>
    <x v="5"/>
    <x v="2"/>
    <x v="2"/>
    <s v="Mobile"/>
    <s v="73-3910940"/>
    <m/>
    <n v="201905"/>
    <n v="5"/>
    <x v="1"/>
    <x v="6"/>
    <n v="-30550.32"/>
  </r>
  <r>
    <x v="0"/>
    <n v="24787.65"/>
    <n v="20454.77"/>
    <d v="2019-02-12T00:00:00"/>
    <x v="9"/>
    <x v="52"/>
    <x v="0"/>
    <x v="19"/>
    <s v="PC"/>
    <s v="34-8728117"/>
    <m/>
    <n v="201902"/>
    <n v="2"/>
    <x v="1"/>
    <x v="0"/>
    <n v="-24787.65"/>
  </r>
  <r>
    <x v="5"/>
    <n v="122468.33"/>
    <n v="103032.61"/>
    <d v="2020-09-08T00:00:00"/>
    <x v="8"/>
    <x v="4"/>
    <x v="5"/>
    <x v="23"/>
    <s v="Mobile"/>
    <s v="53-7680732"/>
    <m/>
    <n v="202009"/>
    <n v="9"/>
    <x v="0"/>
    <x v="1"/>
    <n v="122468.33"/>
  </r>
  <r>
    <x v="0"/>
    <n v="137026.71"/>
    <n v="120117.61"/>
    <d v="2020-08-26T00:00:00"/>
    <x v="6"/>
    <x v="29"/>
    <x v="0"/>
    <x v="9"/>
    <s v="PC"/>
    <s v="86-6380587"/>
    <m/>
    <n v="202008"/>
    <n v="8"/>
    <x v="0"/>
    <x v="5"/>
    <n v="137026.71"/>
  </r>
  <r>
    <x v="1"/>
    <n v="132246.48000000001"/>
    <n v="106841.93"/>
    <d v="2019-01-02T00:00:00"/>
    <x v="1"/>
    <x v="21"/>
    <x v="1"/>
    <x v="31"/>
    <s v="PC"/>
    <s v="95-1862126"/>
    <m/>
    <n v="201901"/>
    <n v="1"/>
    <x v="1"/>
    <x v="7"/>
    <n v="-132246.48000000001"/>
  </r>
  <r>
    <x v="2"/>
    <n v="111551.96"/>
    <n v="89420.05"/>
    <d v="2020-01-06T00:00:00"/>
    <x v="2"/>
    <x v="31"/>
    <x v="2"/>
    <x v="3"/>
    <s v="PC"/>
    <s v="41-6241712"/>
    <m/>
    <n v="202001"/>
    <n v="1"/>
    <x v="0"/>
    <x v="7"/>
    <n v="111551.96"/>
  </r>
  <r>
    <x v="5"/>
    <n v="127946.33"/>
    <n v="111850.68"/>
    <d v="2019-09-09T00:00:00"/>
    <x v="3"/>
    <x v="27"/>
    <x v="5"/>
    <x v="20"/>
    <s v="PC"/>
    <s v="32-3418936"/>
    <m/>
    <n v="201909"/>
    <n v="9"/>
    <x v="1"/>
    <x v="1"/>
    <n v="-127946.33"/>
  </r>
  <r>
    <x v="0"/>
    <n v="78679.600000000006"/>
    <n v="62416.53"/>
    <d v="2019-10-12T00:00:00"/>
    <x v="1"/>
    <x v="58"/>
    <x v="0"/>
    <x v="25"/>
    <s v="PC"/>
    <s v="10-1511807"/>
    <m/>
    <n v="201910"/>
    <n v="10"/>
    <x v="1"/>
    <x v="11"/>
    <n v="-78679.600000000006"/>
  </r>
  <r>
    <x v="4"/>
    <n v="86071.63"/>
    <n v="71198.45"/>
    <d v="2019-11-13T00:00:00"/>
    <x v="8"/>
    <x v="8"/>
    <x v="4"/>
    <x v="8"/>
    <s v="Tablet"/>
    <s v="66-6360568"/>
    <m/>
    <n v="201911"/>
    <n v="11"/>
    <x v="1"/>
    <x v="8"/>
    <n v="-86071.63"/>
  </r>
  <r>
    <x v="2"/>
    <n v="134120.38"/>
    <n v="105981.92"/>
    <d v="2020-04-30T00:00:00"/>
    <x v="1"/>
    <x v="29"/>
    <x v="2"/>
    <x v="29"/>
    <s v="PC"/>
    <s v="63-4386955"/>
    <m/>
    <n v="202004"/>
    <n v="4"/>
    <x v="0"/>
    <x v="3"/>
    <n v="134120.38"/>
  </r>
  <r>
    <x v="3"/>
    <n v="77855.47"/>
    <n v="63545.63"/>
    <d v="2019-08-13T00:00:00"/>
    <x v="7"/>
    <x v="0"/>
    <x v="3"/>
    <x v="4"/>
    <s v="PC"/>
    <s v="77-3226391"/>
    <m/>
    <n v="201908"/>
    <n v="8"/>
    <x v="1"/>
    <x v="5"/>
    <n v="-77855.47"/>
  </r>
  <r>
    <x v="4"/>
    <n v="176080.36"/>
    <n v="153401.21"/>
    <d v="2019-11-13T00:00:00"/>
    <x v="3"/>
    <x v="11"/>
    <x v="4"/>
    <x v="11"/>
    <s v="PC"/>
    <s v="74-9554997"/>
    <m/>
    <n v="201911"/>
    <n v="11"/>
    <x v="1"/>
    <x v="8"/>
    <n v="-176080.36"/>
  </r>
  <r>
    <x v="2"/>
    <n v="159514.03"/>
    <n v="138872.91"/>
    <d v="2020-09-23T00:00:00"/>
    <x v="2"/>
    <x v="3"/>
    <x v="2"/>
    <x v="3"/>
    <s v="PC"/>
    <s v="37-0756560"/>
    <m/>
    <n v="202009"/>
    <n v="9"/>
    <x v="0"/>
    <x v="1"/>
    <n v="159514.03"/>
  </r>
  <r>
    <x v="5"/>
    <n v="238850.25"/>
    <n v="199607.15"/>
    <d v="2019-06-30T00:00:00"/>
    <x v="5"/>
    <x v="12"/>
    <x v="5"/>
    <x v="21"/>
    <s v="PC"/>
    <s v="19-9649739"/>
    <m/>
    <n v="201906"/>
    <n v="6"/>
    <x v="1"/>
    <x v="9"/>
    <n v="-238850.25"/>
  </r>
  <r>
    <x v="0"/>
    <n v="240940.97"/>
    <n v="195138.09"/>
    <d v="2019-12-27T00:00:00"/>
    <x v="4"/>
    <x v="31"/>
    <x v="0"/>
    <x v="25"/>
    <s v="PC"/>
    <s v="91-4735064"/>
    <m/>
    <n v="201912"/>
    <n v="12"/>
    <x v="1"/>
    <x v="4"/>
    <n v="-240940.97"/>
  </r>
  <r>
    <x v="13"/>
    <n v="109892.92"/>
    <n v="89441.85"/>
    <d v="2020-05-06T00:00:00"/>
    <x v="0"/>
    <x v="44"/>
    <x v="13"/>
    <x v="34"/>
    <s v="PC"/>
    <s v="82-1337530"/>
    <m/>
    <n v="202005"/>
    <n v="5"/>
    <x v="0"/>
    <x v="6"/>
    <n v="109892.92"/>
  </r>
  <r>
    <x v="12"/>
    <n v="86704.08"/>
    <n v="75380.53"/>
    <d v="2020-10-05T00:00:00"/>
    <x v="0"/>
    <x v="11"/>
    <x v="12"/>
    <x v="28"/>
    <s v="PC"/>
    <s v="39-3209780"/>
    <m/>
    <n v="202010"/>
    <n v="10"/>
    <x v="0"/>
    <x v="11"/>
    <n v="86704.08"/>
  </r>
  <r>
    <x v="11"/>
    <n v="292124.64"/>
    <n v="245822.88"/>
    <d v="2019-12-09T00:00:00"/>
    <x v="3"/>
    <x v="33"/>
    <x v="11"/>
    <x v="27"/>
    <s v="PC"/>
    <s v="18-0483044"/>
    <m/>
    <n v="201912"/>
    <n v="12"/>
    <x v="1"/>
    <x v="4"/>
    <n v="-292124.64"/>
  </r>
  <r>
    <x v="8"/>
    <n v="122998.65"/>
    <n v="97476.43"/>
    <d v="2020-01-28T00:00:00"/>
    <x v="1"/>
    <x v="17"/>
    <x v="8"/>
    <x v="24"/>
    <s v="PC"/>
    <s v="70-0044622"/>
    <m/>
    <n v="202001"/>
    <n v="1"/>
    <x v="0"/>
    <x v="7"/>
    <n v="122998.65"/>
  </r>
  <r>
    <x v="0"/>
    <n v="50646.66"/>
    <n v="43039.53"/>
    <d v="2020-04-01T00:00:00"/>
    <x v="2"/>
    <x v="4"/>
    <x v="0"/>
    <x v="0"/>
    <s v="PC"/>
    <s v="43-1236055"/>
    <m/>
    <n v="202004"/>
    <n v="4"/>
    <x v="0"/>
    <x v="3"/>
    <n v="50646.66"/>
  </r>
  <r>
    <x v="0"/>
    <n v="89639.28"/>
    <n v="77788.97"/>
    <d v="2019-01-25T00:00:00"/>
    <x v="2"/>
    <x v="34"/>
    <x v="0"/>
    <x v="0"/>
    <s v="PC"/>
    <s v="25-6133000"/>
    <m/>
    <n v="201901"/>
    <n v="1"/>
    <x v="1"/>
    <x v="7"/>
    <n v="-89639.28"/>
  </r>
  <r>
    <x v="3"/>
    <n v="107359.01"/>
    <n v="90868.67"/>
    <d v="2019-10-29T00:00:00"/>
    <x v="8"/>
    <x v="20"/>
    <x v="3"/>
    <x v="5"/>
    <s v="PC"/>
    <s v="78-7666796"/>
    <m/>
    <n v="201910"/>
    <n v="10"/>
    <x v="1"/>
    <x v="11"/>
    <n v="-107359.01"/>
  </r>
  <r>
    <x v="9"/>
    <n v="148359.67999999999"/>
    <n v="118480.04"/>
    <d v="2020-07-23T00:00:00"/>
    <x v="1"/>
    <x v="46"/>
    <x v="9"/>
    <x v="18"/>
    <s v="PC"/>
    <s v="45-1867999"/>
    <m/>
    <n v="202007"/>
    <n v="7"/>
    <x v="0"/>
    <x v="2"/>
    <n v="148359.67999999999"/>
  </r>
  <r>
    <x v="1"/>
    <n v="177464.83"/>
    <n v="142717.22"/>
    <d v="2020-01-25T00:00:00"/>
    <x v="7"/>
    <x v="8"/>
    <x v="1"/>
    <x v="31"/>
    <s v="PC"/>
    <s v="97-5797169"/>
    <m/>
    <n v="202001"/>
    <n v="1"/>
    <x v="0"/>
    <x v="7"/>
    <n v="177464.83"/>
  </r>
  <r>
    <x v="2"/>
    <n v="168757.23"/>
    <n v="136895.85999999999"/>
    <d v="2020-08-24T00:00:00"/>
    <x v="5"/>
    <x v="24"/>
    <x v="2"/>
    <x v="3"/>
    <s v="PC"/>
    <s v="31-6585710"/>
    <m/>
    <n v="202008"/>
    <n v="8"/>
    <x v="0"/>
    <x v="5"/>
    <n v="168757.23"/>
  </r>
  <r>
    <x v="5"/>
    <n v="19814.86"/>
    <n v="16787.150000000001"/>
    <d v="2020-03-20T00:00:00"/>
    <x v="5"/>
    <x v="18"/>
    <x v="5"/>
    <x v="23"/>
    <s v="PC"/>
    <s v="84-0460695"/>
    <m/>
    <n v="202003"/>
    <n v="3"/>
    <x v="0"/>
    <x v="10"/>
    <n v="19814.86"/>
  </r>
  <r>
    <x v="7"/>
    <n v="46311.34"/>
    <n v="40564.1"/>
    <d v="2020-03-01T00:00:00"/>
    <x v="4"/>
    <x v="71"/>
    <x v="7"/>
    <x v="16"/>
    <s v="PC"/>
    <s v="20-4568650"/>
    <m/>
    <n v="202003"/>
    <n v="3"/>
    <x v="0"/>
    <x v="10"/>
    <n v="46311.34"/>
  </r>
  <r>
    <x v="5"/>
    <n v="144927.17000000001"/>
    <n v="122260.56"/>
    <d v="2020-09-07T00:00:00"/>
    <x v="5"/>
    <x v="14"/>
    <x v="5"/>
    <x v="20"/>
    <s v="PC"/>
    <s v="29-9208067"/>
    <m/>
    <n v="202009"/>
    <n v="9"/>
    <x v="0"/>
    <x v="1"/>
    <n v="144927.17000000001"/>
  </r>
  <r>
    <x v="6"/>
    <n v="203231.73"/>
    <n v="163052.82"/>
    <d v="2019-12-23T00:00:00"/>
    <x v="0"/>
    <x v="70"/>
    <x v="6"/>
    <x v="14"/>
    <s v="PC"/>
    <s v="21-2357660"/>
    <m/>
    <n v="201912"/>
    <n v="12"/>
    <x v="1"/>
    <x v="4"/>
    <n v="-203231.73"/>
  </r>
  <r>
    <x v="2"/>
    <n v="40467.85"/>
    <n v="34656.67"/>
    <d v="2020-02-28T00:00:00"/>
    <x v="6"/>
    <x v="9"/>
    <x v="2"/>
    <x v="12"/>
    <s v="Tablet"/>
    <s v="16-3842379"/>
    <m/>
    <n v="202002"/>
    <n v="2"/>
    <x v="0"/>
    <x v="0"/>
    <n v="40467.85"/>
  </r>
  <r>
    <x v="0"/>
    <n v="85156.7"/>
    <n v="69479.350000000006"/>
    <d v="2020-05-19T00:00:00"/>
    <x v="3"/>
    <x v="44"/>
    <x v="0"/>
    <x v="19"/>
    <s v="PC"/>
    <s v="58-5376153"/>
    <m/>
    <n v="202005"/>
    <n v="5"/>
    <x v="0"/>
    <x v="6"/>
    <n v="85156.7"/>
  </r>
  <r>
    <x v="2"/>
    <n v="66146.570000000007"/>
    <n v="56145.21"/>
    <d v="2020-04-07T00:00:00"/>
    <x v="8"/>
    <x v="3"/>
    <x v="2"/>
    <x v="29"/>
    <s v="PC"/>
    <s v="04-1808253"/>
    <m/>
    <n v="202004"/>
    <n v="4"/>
    <x v="0"/>
    <x v="3"/>
    <n v="66146.570000000007"/>
  </r>
  <r>
    <x v="8"/>
    <n v="230669.37"/>
    <n v="182321.07"/>
    <d v="2019-06-05T00:00:00"/>
    <x v="0"/>
    <x v="34"/>
    <x v="8"/>
    <x v="24"/>
    <s v="PC"/>
    <s v="44-9036885"/>
    <m/>
    <n v="201906"/>
    <n v="6"/>
    <x v="1"/>
    <x v="9"/>
    <n v="-230669.37"/>
  </r>
  <r>
    <x v="4"/>
    <n v="59043.39"/>
    <n v="48876.12"/>
    <d v="2020-10-27T00:00:00"/>
    <x v="6"/>
    <x v="18"/>
    <x v="4"/>
    <x v="8"/>
    <s v="PC"/>
    <s v="35-0548738"/>
    <m/>
    <n v="202010"/>
    <n v="10"/>
    <x v="0"/>
    <x v="11"/>
    <n v="59043.39"/>
  </r>
  <r>
    <x v="11"/>
    <n v="99887.86"/>
    <n v="84045.65"/>
    <d v="2020-03-10T00:00:00"/>
    <x v="8"/>
    <x v="21"/>
    <x v="11"/>
    <x v="26"/>
    <s v="PC"/>
    <s v="64-0103144"/>
    <m/>
    <n v="202003"/>
    <n v="3"/>
    <x v="0"/>
    <x v="10"/>
    <n v="99887.86"/>
  </r>
  <r>
    <x v="6"/>
    <n v="214983.15"/>
    <n v="180413.86"/>
    <d v="2019-06-11T00:00:00"/>
    <x v="3"/>
    <x v="47"/>
    <x v="6"/>
    <x v="14"/>
    <s v="Tablet"/>
    <s v="48-7080069"/>
    <m/>
    <n v="201906"/>
    <n v="6"/>
    <x v="1"/>
    <x v="9"/>
    <n v="-214983.15"/>
  </r>
  <r>
    <x v="2"/>
    <n v="52209.31"/>
    <n v="41480.300000000003"/>
    <d v="2019-03-26T00:00:00"/>
    <x v="3"/>
    <x v="47"/>
    <x v="2"/>
    <x v="12"/>
    <s v="PC"/>
    <s v="05-2772504"/>
    <m/>
    <n v="201903"/>
    <n v="3"/>
    <x v="1"/>
    <x v="10"/>
    <n v="-52209.31"/>
  </r>
  <r>
    <x v="0"/>
    <n v="83782.11"/>
    <n v="67310.55"/>
    <d v="2019-02-10T00:00:00"/>
    <x v="8"/>
    <x v="33"/>
    <x v="0"/>
    <x v="0"/>
    <s v="PC"/>
    <s v="42-2439801"/>
    <m/>
    <n v="201902"/>
    <n v="2"/>
    <x v="1"/>
    <x v="0"/>
    <n v="-83782.11"/>
  </r>
  <r>
    <x v="2"/>
    <n v="166367.16"/>
    <n v="135788.88"/>
    <d v="2020-11-02T00:00:00"/>
    <x v="3"/>
    <x v="10"/>
    <x v="2"/>
    <x v="2"/>
    <s v="PC"/>
    <s v="82-8353642"/>
    <m/>
    <n v="202011"/>
    <n v="11"/>
    <x v="0"/>
    <x v="8"/>
    <n v="166367.16"/>
  </r>
  <r>
    <x v="4"/>
    <n v="167615.14000000001"/>
    <n v="135567.12"/>
    <d v="2020-12-30T00:00:00"/>
    <x v="6"/>
    <x v="4"/>
    <x v="4"/>
    <x v="6"/>
    <s v="PC"/>
    <s v="16-5450021"/>
    <m/>
    <n v="202012"/>
    <n v="12"/>
    <x v="0"/>
    <x v="4"/>
    <n v="167615.14000000001"/>
  </r>
  <r>
    <x v="0"/>
    <n v="118030.7"/>
    <n v="97304.51"/>
    <d v="2019-09-04T00:00:00"/>
    <x v="8"/>
    <x v="46"/>
    <x v="0"/>
    <x v="0"/>
    <s v="PC"/>
    <s v="80-1021367"/>
    <m/>
    <n v="201909"/>
    <n v="9"/>
    <x v="1"/>
    <x v="1"/>
    <n v="-118030.7"/>
  </r>
  <r>
    <x v="6"/>
    <n v="102073.04"/>
    <n v="81770.710000000006"/>
    <d v="2020-03-02T00:00:00"/>
    <x v="7"/>
    <x v="5"/>
    <x v="6"/>
    <x v="14"/>
    <s v="Mobile"/>
    <s v="03-3076058"/>
    <m/>
    <n v="202003"/>
    <n v="3"/>
    <x v="0"/>
    <x v="10"/>
    <n v="102073.04"/>
  </r>
  <r>
    <x v="1"/>
    <n v="99989.89"/>
    <n v="81191.789999999994"/>
    <d v="2019-11-15T00:00:00"/>
    <x v="5"/>
    <x v="51"/>
    <x v="1"/>
    <x v="1"/>
    <s v="PC"/>
    <s v="92-4440351"/>
    <m/>
    <n v="201911"/>
    <n v="11"/>
    <x v="1"/>
    <x v="8"/>
    <n v="-99989.89"/>
  </r>
  <r>
    <x v="0"/>
    <n v="79407.28"/>
    <n v="64383.42"/>
    <d v="2020-07-21T00:00:00"/>
    <x v="4"/>
    <x v="16"/>
    <x v="0"/>
    <x v="13"/>
    <s v="PC"/>
    <s v="15-3268783"/>
    <m/>
    <n v="202007"/>
    <n v="7"/>
    <x v="0"/>
    <x v="2"/>
    <n v="79407.28"/>
  </r>
  <r>
    <x v="5"/>
    <n v="184431.48"/>
    <n v="153059.69"/>
    <d v="2019-12-07T00:00:00"/>
    <x v="0"/>
    <x v="4"/>
    <x v="5"/>
    <x v="21"/>
    <s v="Mobile"/>
    <s v="44-7664180"/>
    <m/>
    <n v="201912"/>
    <n v="12"/>
    <x v="1"/>
    <x v="4"/>
    <n v="-184431.48"/>
  </r>
  <r>
    <x v="2"/>
    <n v="144725.34"/>
    <n v="115056.65"/>
    <d v="2019-01-15T00:00:00"/>
    <x v="6"/>
    <x v="10"/>
    <x v="2"/>
    <x v="3"/>
    <s v="PC"/>
    <s v="92-7042708"/>
    <m/>
    <n v="201901"/>
    <n v="1"/>
    <x v="1"/>
    <x v="7"/>
    <n v="-144725.34"/>
  </r>
  <r>
    <x v="4"/>
    <n v="21921.66"/>
    <n v="18802.21"/>
    <d v="2020-03-05T00:00:00"/>
    <x v="6"/>
    <x v="9"/>
    <x v="4"/>
    <x v="11"/>
    <s v="Tablet"/>
    <s v="21-8595718"/>
    <m/>
    <n v="202003"/>
    <n v="3"/>
    <x v="0"/>
    <x v="10"/>
    <n v="21921.66"/>
  </r>
  <r>
    <x v="2"/>
    <n v="21341.66"/>
    <n v="16930.34"/>
    <d v="2019-03-28T00:00:00"/>
    <x v="1"/>
    <x v="56"/>
    <x v="2"/>
    <x v="2"/>
    <s v="PC"/>
    <s v="06-4611284"/>
    <m/>
    <n v="201903"/>
    <n v="3"/>
    <x v="1"/>
    <x v="10"/>
    <n v="-21341.66"/>
  </r>
  <r>
    <x v="0"/>
    <n v="84537.2"/>
    <n v="69405.039999999994"/>
    <d v="2020-01-19T00:00:00"/>
    <x v="1"/>
    <x v="22"/>
    <x v="0"/>
    <x v="25"/>
    <s v="Mobile"/>
    <s v="04-4730440"/>
    <m/>
    <n v="202001"/>
    <n v="1"/>
    <x v="0"/>
    <x v="7"/>
    <n v="84537.2"/>
  </r>
  <r>
    <x v="5"/>
    <n v="40544.43"/>
    <n v="32666.65"/>
    <d v="2020-08-01T00:00:00"/>
    <x v="0"/>
    <x v="4"/>
    <x v="5"/>
    <x v="21"/>
    <s v="PC"/>
    <s v="89-7467187"/>
    <m/>
    <n v="202008"/>
    <n v="8"/>
    <x v="0"/>
    <x v="5"/>
    <n v="40544.43"/>
  </r>
  <r>
    <x v="1"/>
    <n v="178189.57"/>
    <n v="153421.22"/>
    <d v="2019-08-09T00:00:00"/>
    <x v="1"/>
    <x v="4"/>
    <x v="1"/>
    <x v="31"/>
    <s v="PC"/>
    <s v="37-7100862"/>
    <m/>
    <n v="201908"/>
    <n v="8"/>
    <x v="1"/>
    <x v="5"/>
    <n v="-178189.57"/>
  </r>
  <r>
    <x v="5"/>
    <n v="36276.11"/>
    <n v="28748.82"/>
    <d v="2019-03-23T00:00:00"/>
    <x v="1"/>
    <x v="4"/>
    <x v="5"/>
    <x v="21"/>
    <s v="PC"/>
    <s v="20-9472915"/>
    <m/>
    <n v="201903"/>
    <n v="3"/>
    <x v="1"/>
    <x v="10"/>
    <n v="-36276.11"/>
  </r>
  <r>
    <x v="0"/>
    <n v="36181.81"/>
    <n v="29698.03"/>
    <d v="2020-10-27T00:00:00"/>
    <x v="5"/>
    <x v="34"/>
    <x v="0"/>
    <x v="0"/>
    <s v="Tablet"/>
    <s v="82-8836162"/>
    <m/>
    <n v="202010"/>
    <n v="10"/>
    <x v="0"/>
    <x v="11"/>
    <n v="36181.81"/>
  </r>
  <r>
    <x v="4"/>
    <n v="66613.31"/>
    <n v="55462.239999999998"/>
    <d v="2019-09-25T00:00:00"/>
    <x v="8"/>
    <x v="24"/>
    <x v="4"/>
    <x v="8"/>
    <s v="PC"/>
    <s v="38-8230515"/>
    <m/>
    <n v="201909"/>
    <n v="9"/>
    <x v="1"/>
    <x v="1"/>
    <n v="-66613.31"/>
  </r>
  <r>
    <x v="11"/>
    <n v="77278.679999999993"/>
    <n v="62951.21"/>
    <d v="2020-10-02T00:00:00"/>
    <x v="6"/>
    <x v="23"/>
    <x v="11"/>
    <x v="27"/>
    <s v="PC"/>
    <s v="46-8792953"/>
    <m/>
    <n v="202010"/>
    <n v="10"/>
    <x v="0"/>
    <x v="11"/>
    <n v="77278.679999999993"/>
  </r>
  <r>
    <x v="4"/>
    <n v="149938.35999999999"/>
    <n v="123579.2"/>
    <d v="2020-11-14T00:00:00"/>
    <x v="5"/>
    <x v="4"/>
    <x v="4"/>
    <x v="11"/>
    <s v="PC"/>
    <s v="93-0380487"/>
    <m/>
    <n v="202011"/>
    <n v="11"/>
    <x v="0"/>
    <x v="8"/>
    <n v="149938.35999999999"/>
  </r>
  <r>
    <x v="3"/>
    <n v="123953.65"/>
    <n v="101939.48"/>
    <d v="2019-05-08T00:00:00"/>
    <x v="3"/>
    <x v="25"/>
    <x v="3"/>
    <x v="5"/>
    <s v="PC"/>
    <s v="44-2650716"/>
    <m/>
    <n v="201905"/>
    <n v="5"/>
    <x v="1"/>
    <x v="6"/>
    <n v="-123953.65"/>
  </r>
  <r>
    <x v="0"/>
    <n v="73773.600000000006"/>
    <n v="58421.31"/>
    <d v="2020-01-21T00:00:00"/>
    <x v="0"/>
    <x v="54"/>
    <x v="0"/>
    <x v="19"/>
    <s v="Mobile"/>
    <s v="78-7812852"/>
    <m/>
    <n v="202001"/>
    <n v="1"/>
    <x v="0"/>
    <x v="7"/>
    <n v="73773.600000000006"/>
  </r>
  <r>
    <x v="2"/>
    <n v="206869.73"/>
    <n v="180928.27"/>
    <d v="2020-07-20T00:00:00"/>
    <x v="8"/>
    <x v="30"/>
    <x v="2"/>
    <x v="12"/>
    <s v="PC"/>
    <s v="11-2653878"/>
    <m/>
    <n v="202007"/>
    <n v="7"/>
    <x v="0"/>
    <x v="2"/>
    <n v="206869.73"/>
  </r>
  <r>
    <x v="5"/>
    <n v="63690.720000000001"/>
    <n v="53455.62"/>
    <d v="2020-08-27T00:00:00"/>
    <x v="8"/>
    <x v="35"/>
    <x v="5"/>
    <x v="20"/>
    <s v="Mobile"/>
    <s v="74-9856135"/>
    <m/>
    <n v="202008"/>
    <n v="8"/>
    <x v="0"/>
    <x v="5"/>
    <n v="63690.720000000001"/>
  </r>
  <r>
    <x v="4"/>
    <n v="18897.97"/>
    <n v="16469.580000000002"/>
    <d v="2020-02-16T00:00:00"/>
    <x v="9"/>
    <x v="3"/>
    <x v="4"/>
    <x v="6"/>
    <s v="Mobile"/>
    <s v="22-8551804"/>
    <m/>
    <n v="202002"/>
    <n v="2"/>
    <x v="0"/>
    <x v="0"/>
    <n v="18897.97"/>
  </r>
  <r>
    <x v="2"/>
    <n v="134807.18"/>
    <n v="108047.95"/>
    <d v="2020-12-29T00:00:00"/>
    <x v="3"/>
    <x v="38"/>
    <x v="2"/>
    <x v="12"/>
    <s v="PC"/>
    <s v="76-2368068"/>
    <m/>
    <n v="202012"/>
    <n v="12"/>
    <x v="0"/>
    <x v="4"/>
    <n v="134807.18"/>
  </r>
  <r>
    <x v="4"/>
    <n v="47082.67"/>
    <n v="37882.720000000001"/>
    <d v="2020-06-30T00:00:00"/>
    <x v="1"/>
    <x v="50"/>
    <x v="4"/>
    <x v="6"/>
    <s v="PC"/>
    <s v="83-0606533"/>
    <m/>
    <n v="202006"/>
    <n v="6"/>
    <x v="0"/>
    <x v="9"/>
    <n v="47082.67"/>
  </r>
  <r>
    <x v="2"/>
    <n v="41016.31"/>
    <n v="32985.32"/>
    <d v="2019-05-09T00:00:00"/>
    <x v="3"/>
    <x v="60"/>
    <x v="2"/>
    <x v="12"/>
    <s v="Tablet"/>
    <s v="84-1745028"/>
    <m/>
    <n v="201905"/>
    <n v="5"/>
    <x v="1"/>
    <x v="6"/>
    <n v="-41016.31"/>
  </r>
  <r>
    <x v="0"/>
    <n v="43243.45"/>
    <n v="37764.5"/>
    <d v="2019-05-16T00:00:00"/>
    <x v="2"/>
    <x v="4"/>
    <x v="0"/>
    <x v="13"/>
    <s v="PC"/>
    <s v="63-2957047"/>
    <m/>
    <n v="201905"/>
    <n v="5"/>
    <x v="1"/>
    <x v="6"/>
    <n v="-43243.45"/>
  </r>
  <r>
    <x v="0"/>
    <n v="88832.28"/>
    <n v="71501.100000000006"/>
    <d v="2019-12-23T00:00:00"/>
    <x v="8"/>
    <x v="18"/>
    <x v="0"/>
    <x v="25"/>
    <s v="PC"/>
    <s v="90-3993986"/>
    <m/>
    <n v="201912"/>
    <n v="12"/>
    <x v="1"/>
    <x v="4"/>
    <n v="-88832.28"/>
  </r>
  <r>
    <x v="5"/>
    <n v="173456.4"/>
    <n v="149866.32999999999"/>
    <d v="2019-09-25T00:00:00"/>
    <x v="0"/>
    <x v="4"/>
    <x v="5"/>
    <x v="23"/>
    <s v="Mobile"/>
    <s v="00-1398218"/>
    <m/>
    <n v="201909"/>
    <n v="9"/>
    <x v="1"/>
    <x v="1"/>
    <n v="-173456.4"/>
  </r>
  <r>
    <x v="3"/>
    <n v="90926.92"/>
    <n v="73050.69"/>
    <d v="2020-03-24T00:00:00"/>
    <x v="6"/>
    <x v="36"/>
    <x v="3"/>
    <x v="5"/>
    <s v="PC"/>
    <s v="09-9618844"/>
    <m/>
    <n v="202003"/>
    <n v="3"/>
    <x v="0"/>
    <x v="10"/>
    <n v="90926.92"/>
  </r>
  <r>
    <x v="0"/>
    <n v="72757.009999999995"/>
    <n v="63378.63"/>
    <d v="2020-03-05T00:00:00"/>
    <x v="9"/>
    <x v="3"/>
    <x v="0"/>
    <x v="13"/>
    <s v="PC"/>
    <s v="96-5143420"/>
    <m/>
    <n v="202003"/>
    <n v="3"/>
    <x v="0"/>
    <x v="10"/>
    <n v="72757.009999999995"/>
  </r>
  <r>
    <x v="5"/>
    <n v="60068.71"/>
    <n v="47688.55"/>
    <d v="2020-05-09T00:00:00"/>
    <x v="9"/>
    <x v="21"/>
    <x v="5"/>
    <x v="20"/>
    <s v="PC"/>
    <s v="99-0862667"/>
    <m/>
    <n v="202005"/>
    <n v="5"/>
    <x v="0"/>
    <x v="6"/>
    <n v="60068.71"/>
  </r>
  <r>
    <x v="5"/>
    <n v="105522.72"/>
    <n v="86581.39"/>
    <d v="2019-02-16T00:00:00"/>
    <x v="2"/>
    <x v="8"/>
    <x v="5"/>
    <x v="10"/>
    <s v="PC"/>
    <s v="79-6118087"/>
    <m/>
    <n v="201902"/>
    <n v="2"/>
    <x v="1"/>
    <x v="0"/>
    <n v="-105522.72"/>
  </r>
  <r>
    <x v="9"/>
    <n v="61374.06"/>
    <n v="49099.25"/>
    <d v="2020-02-20T00:00:00"/>
    <x v="1"/>
    <x v="18"/>
    <x v="9"/>
    <x v="18"/>
    <s v="PC"/>
    <s v="07-5296371"/>
    <m/>
    <n v="202002"/>
    <n v="2"/>
    <x v="0"/>
    <x v="0"/>
    <n v="61374.06"/>
  </r>
  <r>
    <x v="2"/>
    <n v="76856.570000000007"/>
    <n v="65535.6"/>
    <d v="2019-05-31T00:00:00"/>
    <x v="2"/>
    <x v="50"/>
    <x v="2"/>
    <x v="15"/>
    <s v="PC"/>
    <s v="93-9111830"/>
    <m/>
    <n v="201905"/>
    <n v="5"/>
    <x v="1"/>
    <x v="6"/>
    <n v="-76856.570000000007"/>
  </r>
  <r>
    <x v="3"/>
    <n v="174262.11"/>
    <n v="143278.31"/>
    <d v="2019-04-05T00:00:00"/>
    <x v="1"/>
    <x v="3"/>
    <x v="3"/>
    <x v="5"/>
    <s v="PC"/>
    <s v="47-0713476"/>
    <m/>
    <n v="201904"/>
    <n v="4"/>
    <x v="1"/>
    <x v="3"/>
    <n v="-174262.11"/>
  </r>
  <r>
    <x v="0"/>
    <n v="151315.26"/>
    <n v="121173.26"/>
    <d v="2019-05-23T00:00:00"/>
    <x v="3"/>
    <x v="25"/>
    <x v="0"/>
    <x v="19"/>
    <s v="PC"/>
    <s v="92-2645259"/>
    <m/>
    <n v="201905"/>
    <n v="5"/>
    <x v="1"/>
    <x v="6"/>
    <n v="-151315.26"/>
  </r>
  <r>
    <x v="11"/>
    <n v="50495.53"/>
    <n v="40749.89"/>
    <d v="2020-08-31T00:00:00"/>
    <x v="6"/>
    <x v="71"/>
    <x v="11"/>
    <x v="27"/>
    <s v="Mobile"/>
    <s v="93-4118211"/>
    <m/>
    <n v="202008"/>
    <n v="8"/>
    <x v="0"/>
    <x v="5"/>
    <n v="50495.53"/>
  </r>
  <r>
    <x v="4"/>
    <n v="36534.089999999997"/>
    <n v="31138"/>
    <d v="2020-07-17T00:00:00"/>
    <x v="5"/>
    <x v="31"/>
    <x v="4"/>
    <x v="6"/>
    <s v="PC"/>
    <s v="90-7039701"/>
    <m/>
    <n v="202007"/>
    <n v="7"/>
    <x v="0"/>
    <x v="2"/>
    <n v="36534.089999999997"/>
  </r>
  <r>
    <x v="5"/>
    <n v="134243.39000000001"/>
    <n v="113019.51"/>
    <d v="2019-01-21T00:00:00"/>
    <x v="3"/>
    <x v="49"/>
    <x v="5"/>
    <x v="7"/>
    <s v="PC"/>
    <s v="64-1003834"/>
    <m/>
    <n v="201901"/>
    <n v="1"/>
    <x v="1"/>
    <x v="7"/>
    <n v="-134243.39000000001"/>
  </r>
  <r>
    <x v="5"/>
    <n v="56068.7"/>
    <n v="47378.05"/>
    <d v="2019-02-06T00:00:00"/>
    <x v="1"/>
    <x v="46"/>
    <x v="5"/>
    <x v="21"/>
    <s v="PC"/>
    <s v="24-2679038"/>
    <m/>
    <n v="201902"/>
    <n v="2"/>
    <x v="1"/>
    <x v="0"/>
    <n v="-56068.7"/>
  </r>
  <r>
    <x v="5"/>
    <n v="31161.759999999998"/>
    <n v="27300.82"/>
    <d v="2020-05-09T00:00:00"/>
    <x v="3"/>
    <x v="7"/>
    <x v="5"/>
    <x v="7"/>
    <s v="Mobile"/>
    <s v="06-4986886"/>
    <m/>
    <n v="202005"/>
    <n v="5"/>
    <x v="0"/>
    <x v="6"/>
    <n v="31161.759999999998"/>
  </r>
  <r>
    <x v="5"/>
    <n v="98915.41"/>
    <n v="85176.06"/>
    <d v="2020-04-02T00:00:00"/>
    <x v="8"/>
    <x v="6"/>
    <x v="5"/>
    <x v="21"/>
    <s v="Mobile"/>
    <s v="63-5897834"/>
    <m/>
    <n v="202004"/>
    <n v="4"/>
    <x v="0"/>
    <x v="3"/>
    <n v="98915.41"/>
  </r>
  <r>
    <x v="11"/>
    <n v="114232.68"/>
    <n v="95795.520000000004"/>
    <d v="2019-03-23T00:00:00"/>
    <x v="2"/>
    <x v="4"/>
    <x v="11"/>
    <x v="26"/>
    <s v="Tablet"/>
    <s v="45-6860897"/>
    <m/>
    <n v="201903"/>
    <n v="3"/>
    <x v="1"/>
    <x v="10"/>
    <n v="-114232.68"/>
  </r>
  <r>
    <x v="9"/>
    <n v="71360.36"/>
    <n v="59750.03"/>
    <d v="2019-01-02T00:00:00"/>
    <x v="8"/>
    <x v="11"/>
    <x v="9"/>
    <x v="18"/>
    <s v="PC"/>
    <s v="40-9830607"/>
    <m/>
    <n v="201901"/>
    <n v="1"/>
    <x v="1"/>
    <x v="7"/>
    <n v="-71360.36"/>
  </r>
  <r>
    <x v="2"/>
    <n v="87459.79"/>
    <n v="69967.83"/>
    <d v="2020-11-16T00:00:00"/>
    <x v="3"/>
    <x v="56"/>
    <x v="2"/>
    <x v="29"/>
    <s v="Mobile"/>
    <s v="09-8360520"/>
    <m/>
    <n v="202011"/>
    <n v="11"/>
    <x v="0"/>
    <x v="8"/>
    <n v="87459.79"/>
  </r>
  <r>
    <x v="1"/>
    <n v="52388.85"/>
    <n v="45641.17"/>
    <d v="2020-07-31T00:00:00"/>
    <x v="8"/>
    <x v="4"/>
    <x v="1"/>
    <x v="31"/>
    <s v="PC"/>
    <s v="55-6785409"/>
    <m/>
    <n v="202007"/>
    <n v="7"/>
    <x v="0"/>
    <x v="2"/>
    <n v="52388.85"/>
  </r>
  <r>
    <x v="0"/>
    <n v="178304.35"/>
    <n v="153573.54"/>
    <d v="2020-12-09T00:00:00"/>
    <x v="8"/>
    <x v="23"/>
    <x v="0"/>
    <x v="25"/>
    <s v="PC"/>
    <s v="12-4881666"/>
    <m/>
    <n v="202012"/>
    <n v="12"/>
    <x v="0"/>
    <x v="4"/>
    <n v="178304.35"/>
  </r>
  <r>
    <x v="4"/>
    <n v="80013.81"/>
    <n v="65587.320000000007"/>
    <d v="2020-01-27T00:00:00"/>
    <x v="8"/>
    <x v="14"/>
    <x v="4"/>
    <x v="6"/>
    <s v="PC"/>
    <s v="86-7866497"/>
    <m/>
    <n v="202001"/>
    <n v="1"/>
    <x v="0"/>
    <x v="7"/>
    <n v="80013.81"/>
  </r>
  <r>
    <x v="11"/>
    <n v="88684.7"/>
    <n v="75337.649999999994"/>
    <d v="2020-01-23T00:00:00"/>
    <x v="9"/>
    <x v="36"/>
    <x v="11"/>
    <x v="27"/>
    <s v="PC"/>
    <s v="12-2375671"/>
    <m/>
    <n v="202001"/>
    <n v="1"/>
    <x v="0"/>
    <x v="7"/>
    <n v="88684.7"/>
  </r>
  <r>
    <x v="4"/>
    <n v="161773.31"/>
    <n v="138283.82999999999"/>
    <d v="2019-04-30T00:00:00"/>
    <x v="0"/>
    <x v="4"/>
    <x v="4"/>
    <x v="11"/>
    <s v="PC"/>
    <s v="56-6310976"/>
    <m/>
    <n v="201904"/>
    <n v="4"/>
    <x v="1"/>
    <x v="3"/>
    <n v="-161773.31"/>
  </r>
  <r>
    <x v="5"/>
    <n v="108968.67"/>
    <n v="88395.39"/>
    <d v="2019-10-17T00:00:00"/>
    <x v="0"/>
    <x v="4"/>
    <x v="5"/>
    <x v="21"/>
    <s v="PC"/>
    <s v="08-4398900"/>
    <m/>
    <n v="201910"/>
    <n v="10"/>
    <x v="1"/>
    <x v="11"/>
    <n v="-108968.67"/>
  </r>
  <r>
    <x v="4"/>
    <n v="50374.22"/>
    <n v="44047.22"/>
    <d v="2019-10-07T00:00:00"/>
    <x v="1"/>
    <x v="17"/>
    <x v="4"/>
    <x v="8"/>
    <s v="PC"/>
    <s v="23-3084772"/>
    <m/>
    <n v="201910"/>
    <n v="10"/>
    <x v="1"/>
    <x v="11"/>
    <n v="-50374.22"/>
  </r>
  <r>
    <x v="0"/>
    <n v="174380.2"/>
    <n v="151518.96"/>
    <d v="2019-01-02T00:00:00"/>
    <x v="5"/>
    <x v="2"/>
    <x v="0"/>
    <x v="25"/>
    <s v="PC"/>
    <s v="33-8484080"/>
    <m/>
    <n v="201901"/>
    <n v="1"/>
    <x v="1"/>
    <x v="7"/>
    <n v="-174380.2"/>
  </r>
  <r>
    <x v="8"/>
    <n v="81482.69"/>
    <n v="64721.7"/>
    <d v="2019-02-09T00:00:00"/>
    <x v="8"/>
    <x v="4"/>
    <x v="8"/>
    <x v="17"/>
    <s v="PC"/>
    <s v="28-0362135"/>
    <m/>
    <n v="201902"/>
    <n v="2"/>
    <x v="1"/>
    <x v="0"/>
    <n v="-81482.69"/>
  </r>
  <r>
    <x v="5"/>
    <n v="108158.8"/>
    <n v="89328.35"/>
    <d v="2020-10-09T00:00:00"/>
    <x v="5"/>
    <x v="34"/>
    <x v="5"/>
    <x v="20"/>
    <s v="PC"/>
    <s v="53-4511393"/>
    <m/>
    <n v="202010"/>
    <n v="10"/>
    <x v="0"/>
    <x v="11"/>
    <n v="108158.8"/>
  </r>
  <r>
    <x v="2"/>
    <n v="76943.740000000005"/>
    <n v="62870.73"/>
    <d v="2019-06-01T00:00:00"/>
    <x v="8"/>
    <x v="4"/>
    <x v="2"/>
    <x v="2"/>
    <s v="PC"/>
    <s v="50-0521963"/>
    <m/>
    <n v="201906"/>
    <n v="6"/>
    <x v="1"/>
    <x v="9"/>
    <n v="-76943.740000000005"/>
  </r>
  <r>
    <x v="2"/>
    <n v="57345.79"/>
    <n v="45716.06"/>
    <d v="2020-11-09T00:00:00"/>
    <x v="2"/>
    <x v="32"/>
    <x v="2"/>
    <x v="15"/>
    <s v="PC"/>
    <s v="75-6127722"/>
    <m/>
    <n v="202011"/>
    <n v="11"/>
    <x v="0"/>
    <x v="8"/>
    <n v="57345.79"/>
  </r>
  <r>
    <x v="0"/>
    <n v="71049.09"/>
    <n v="58842.86"/>
    <d v="2019-08-15T00:00:00"/>
    <x v="7"/>
    <x v="51"/>
    <x v="0"/>
    <x v="0"/>
    <s v="PC"/>
    <s v="99-3994854"/>
    <m/>
    <n v="201908"/>
    <n v="8"/>
    <x v="1"/>
    <x v="5"/>
    <n v="-71049.09"/>
  </r>
  <r>
    <x v="5"/>
    <n v="79205.19"/>
    <n v="65423.49"/>
    <d v="2019-05-07T00:00:00"/>
    <x v="1"/>
    <x v="33"/>
    <x v="5"/>
    <x v="23"/>
    <s v="Tablet"/>
    <s v="45-5157875"/>
    <m/>
    <n v="201905"/>
    <n v="5"/>
    <x v="1"/>
    <x v="6"/>
    <n v="-79205.19"/>
  </r>
  <r>
    <x v="5"/>
    <n v="42290.45"/>
    <n v="34255.26"/>
    <d v="2019-11-10T00:00:00"/>
    <x v="2"/>
    <x v="32"/>
    <x v="5"/>
    <x v="23"/>
    <s v="Tablet"/>
    <s v="97-8921759"/>
    <m/>
    <n v="201911"/>
    <n v="11"/>
    <x v="1"/>
    <x v="8"/>
    <n v="-42290.45"/>
  </r>
  <r>
    <x v="5"/>
    <n v="110090.36"/>
    <n v="93433.69"/>
    <d v="2019-02-01T00:00:00"/>
    <x v="2"/>
    <x v="36"/>
    <x v="5"/>
    <x v="7"/>
    <s v="PC"/>
    <s v="43-6672888"/>
    <m/>
    <n v="201902"/>
    <n v="2"/>
    <x v="1"/>
    <x v="0"/>
    <n v="-110090.36"/>
  </r>
  <r>
    <x v="5"/>
    <n v="121043.69"/>
    <n v="96750.22"/>
    <d v="2020-09-28T00:00:00"/>
    <x v="0"/>
    <x v="3"/>
    <x v="5"/>
    <x v="20"/>
    <s v="PC"/>
    <s v="28-6152726"/>
    <m/>
    <n v="202009"/>
    <n v="9"/>
    <x v="0"/>
    <x v="1"/>
    <n v="121043.69"/>
  </r>
  <r>
    <x v="1"/>
    <n v="130251.55"/>
    <n v="105386.53"/>
    <d v="2019-08-05T00:00:00"/>
    <x v="3"/>
    <x v="4"/>
    <x v="1"/>
    <x v="31"/>
    <s v="PC"/>
    <s v="26-1201622"/>
    <m/>
    <n v="201908"/>
    <n v="8"/>
    <x v="1"/>
    <x v="5"/>
    <n v="-130251.55"/>
  </r>
  <r>
    <x v="5"/>
    <n v="156110.39999999999"/>
    <n v="132584.56"/>
    <d v="2019-07-22T00:00:00"/>
    <x v="3"/>
    <x v="58"/>
    <x v="5"/>
    <x v="7"/>
    <s v="PC"/>
    <s v="18-3315246"/>
    <m/>
    <n v="201907"/>
    <n v="7"/>
    <x v="1"/>
    <x v="2"/>
    <n v="-156110.39999999999"/>
  </r>
  <r>
    <x v="0"/>
    <n v="122273"/>
    <n v="104531.19"/>
    <d v="2020-01-07T00:00:00"/>
    <x v="5"/>
    <x v="56"/>
    <x v="0"/>
    <x v="19"/>
    <s v="PC"/>
    <s v="40-9114557"/>
    <m/>
    <n v="202001"/>
    <n v="1"/>
    <x v="0"/>
    <x v="7"/>
    <n v="122273"/>
  </r>
  <r>
    <x v="2"/>
    <n v="126021.1"/>
    <n v="101762.04"/>
    <d v="2020-06-13T00:00:00"/>
    <x v="3"/>
    <x v="4"/>
    <x v="2"/>
    <x v="15"/>
    <s v="Mobile"/>
    <s v="34-8443139"/>
    <m/>
    <n v="202006"/>
    <n v="6"/>
    <x v="0"/>
    <x v="9"/>
    <n v="126021.1"/>
  </r>
  <r>
    <x v="0"/>
    <n v="69565.47"/>
    <n v="57808.91"/>
    <d v="2020-05-23T00:00:00"/>
    <x v="3"/>
    <x v="4"/>
    <x v="0"/>
    <x v="9"/>
    <s v="PC"/>
    <s v="79-0393736"/>
    <m/>
    <n v="202005"/>
    <n v="5"/>
    <x v="0"/>
    <x v="6"/>
    <n v="69565.47"/>
  </r>
  <r>
    <x v="8"/>
    <n v="174271.91"/>
    <n v="142083.89000000001"/>
    <d v="2019-05-20T00:00:00"/>
    <x v="2"/>
    <x v="3"/>
    <x v="8"/>
    <x v="17"/>
    <s v="PC"/>
    <s v="58-2923511"/>
    <m/>
    <n v="201905"/>
    <n v="5"/>
    <x v="1"/>
    <x v="6"/>
    <n v="-174271.91"/>
  </r>
  <r>
    <x v="2"/>
    <n v="61994.02"/>
    <n v="54250.97"/>
    <d v="2019-02-19T00:00:00"/>
    <x v="0"/>
    <x v="21"/>
    <x v="2"/>
    <x v="12"/>
    <s v="PC"/>
    <s v="84-1343954"/>
    <m/>
    <n v="201902"/>
    <n v="2"/>
    <x v="1"/>
    <x v="0"/>
    <n v="-61994.02"/>
  </r>
  <r>
    <x v="0"/>
    <n v="207379.28"/>
    <n v="166442.60999999999"/>
    <d v="2019-12-18T00:00:00"/>
    <x v="4"/>
    <x v="15"/>
    <x v="0"/>
    <x v="9"/>
    <s v="PC"/>
    <s v="43-9259516"/>
    <m/>
    <n v="201912"/>
    <n v="12"/>
    <x v="1"/>
    <x v="4"/>
    <n v="-207379.28"/>
  </r>
  <r>
    <x v="0"/>
    <n v="153823.74"/>
    <n v="129258.09"/>
    <d v="2020-11-30T00:00:00"/>
    <x v="8"/>
    <x v="42"/>
    <x v="0"/>
    <x v="9"/>
    <s v="Mobile"/>
    <s v="53-0009701"/>
    <m/>
    <n v="202011"/>
    <n v="11"/>
    <x v="0"/>
    <x v="8"/>
    <n v="153823.74"/>
  </r>
  <r>
    <x v="2"/>
    <n v="251003.51"/>
    <n v="214105.99"/>
    <d v="2019-07-30T00:00:00"/>
    <x v="2"/>
    <x v="1"/>
    <x v="2"/>
    <x v="15"/>
    <s v="PC"/>
    <s v="50-2002828"/>
    <m/>
    <n v="201907"/>
    <n v="7"/>
    <x v="1"/>
    <x v="2"/>
    <n v="-251003.51"/>
  </r>
  <r>
    <x v="4"/>
    <n v="78013.63"/>
    <n v="64509.47"/>
    <d v="2020-04-04T00:00:00"/>
    <x v="2"/>
    <x v="22"/>
    <x v="4"/>
    <x v="8"/>
    <s v="PC"/>
    <s v="90-6933957"/>
    <m/>
    <n v="202004"/>
    <n v="4"/>
    <x v="0"/>
    <x v="3"/>
    <n v="78013.63"/>
  </r>
  <r>
    <x v="1"/>
    <n v="204138.34"/>
    <n v="165617.44"/>
    <d v="2019-06-20T00:00:00"/>
    <x v="2"/>
    <x v="64"/>
    <x v="1"/>
    <x v="1"/>
    <s v="Tablet"/>
    <s v="98-4201877"/>
    <m/>
    <n v="201906"/>
    <n v="6"/>
    <x v="1"/>
    <x v="9"/>
    <n v="-204138.34"/>
  </r>
  <r>
    <x v="11"/>
    <n v="81358.58"/>
    <n v="68918.850000000006"/>
    <d v="2020-08-21T00:00:00"/>
    <x v="0"/>
    <x v="11"/>
    <x v="11"/>
    <x v="27"/>
    <s v="Mobile"/>
    <s v="86-2962836"/>
    <m/>
    <n v="202008"/>
    <n v="8"/>
    <x v="0"/>
    <x v="5"/>
    <n v="81358.58"/>
  </r>
  <r>
    <x v="2"/>
    <n v="81458.94"/>
    <n v="64434.02"/>
    <d v="2019-11-14T00:00:00"/>
    <x v="0"/>
    <x v="4"/>
    <x v="2"/>
    <x v="3"/>
    <s v="PC"/>
    <s v="76-5324325"/>
    <m/>
    <n v="201911"/>
    <n v="11"/>
    <x v="1"/>
    <x v="8"/>
    <n v="-81458.94"/>
  </r>
  <r>
    <x v="0"/>
    <n v="79313.86"/>
    <n v="63316.25"/>
    <d v="2020-03-01T00:00:00"/>
    <x v="5"/>
    <x v="46"/>
    <x v="0"/>
    <x v="0"/>
    <s v="PC"/>
    <s v="36-3226083"/>
    <m/>
    <n v="202003"/>
    <n v="3"/>
    <x v="0"/>
    <x v="10"/>
    <n v="79313.86"/>
  </r>
  <r>
    <x v="1"/>
    <n v="100978.49"/>
    <n v="86568.86"/>
    <d v="2019-08-09T00:00:00"/>
    <x v="5"/>
    <x v="4"/>
    <x v="1"/>
    <x v="1"/>
    <s v="PC"/>
    <s v="00-8086430"/>
    <m/>
    <n v="201908"/>
    <n v="8"/>
    <x v="1"/>
    <x v="5"/>
    <n v="-100978.49"/>
  </r>
  <r>
    <x v="2"/>
    <n v="172444.09"/>
    <n v="149681.47"/>
    <d v="2019-01-05T00:00:00"/>
    <x v="6"/>
    <x v="2"/>
    <x v="2"/>
    <x v="15"/>
    <s v="PC"/>
    <s v="98-0946281"/>
    <m/>
    <n v="201901"/>
    <n v="1"/>
    <x v="1"/>
    <x v="7"/>
    <n v="-172444.09"/>
  </r>
  <r>
    <x v="4"/>
    <n v="111523.01"/>
    <n v="98017.57"/>
    <d v="2020-03-02T00:00:00"/>
    <x v="7"/>
    <x v="49"/>
    <x v="4"/>
    <x v="6"/>
    <s v="PC"/>
    <s v="82-4770311"/>
    <m/>
    <n v="202003"/>
    <n v="3"/>
    <x v="0"/>
    <x v="10"/>
    <n v="111523.01"/>
  </r>
  <r>
    <x v="4"/>
    <n v="62947.82"/>
    <n v="49967.98"/>
    <d v="2019-10-16T00:00:00"/>
    <x v="4"/>
    <x v="50"/>
    <x v="4"/>
    <x v="8"/>
    <s v="PC"/>
    <s v="34-0265266"/>
    <m/>
    <n v="201910"/>
    <n v="10"/>
    <x v="1"/>
    <x v="11"/>
    <n v="-62947.82"/>
  </r>
  <r>
    <x v="5"/>
    <n v="80294.559999999998"/>
    <n v="65295.54"/>
    <d v="2019-10-04T00:00:00"/>
    <x v="0"/>
    <x v="19"/>
    <x v="5"/>
    <x v="23"/>
    <s v="PC"/>
    <s v="47-9858688"/>
    <m/>
    <n v="201910"/>
    <n v="10"/>
    <x v="1"/>
    <x v="11"/>
    <n v="-80294.559999999998"/>
  </r>
  <r>
    <x v="5"/>
    <n v="234961.46"/>
    <n v="199388.3"/>
    <d v="2019-06-02T00:00:00"/>
    <x v="4"/>
    <x v="71"/>
    <x v="5"/>
    <x v="7"/>
    <s v="Mobile"/>
    <s v="24-9178520"/>
    <m/>
    <n v="201906"/>
    <n v="6"/>
    <x v="1"/>
    <x v="9"/>
    <n v="-234961.46"/>
  </r>
  <r>
    <x v="5"/>
    <n v="214615.79"/>
    <n v="177637.49"/>
    <d v="2019-06-30T00:00:00"/>
    <x v="1"/>
    <x v="39"/>
    <x v="5"/>
    <x v="10"/>
    <s v="PC"/>
    <s v="17-5553034"/>
    <m/>
    <n v="201906"/>
    <n v="6"/>
    <x v="1"/>
    <x v="9"/>
    <n v="-214615.79"/>
  </r>
  <r>
    <x v="5"/>
    <n v="173418.59"/>
    <n v="140746.53"/>
    <d v="2019-05-19T00:00:00"/>
    <x v="8"/>
    <x v="3"/>
    <x v="5"/>
    <x v="7"/>
    <s v="PC"/>
    <s v="03-5073152"/>
    <m/>
    <n v="201905"/>
    <n v="5"/>
    <x v="1"/>
    <x v="6"/>
    <n v="-173418.59"/>
  </r>
  <r>
    <x v="5"/>
    <n v="27400.69"/>
    <n v="22832.99"/>
    <d v="2019-09-18T00:00:00"/>
    <x v="8"/>
    <x v="61"/>
    <x v="5"/>
    <x v="7"/>
    <s v="PC"/>
    <s v="19-8109416"/>
    <m/>
    <n v="201909"/>
    <n v="9"/>
    <x v="1"/>
    <x v="1"/>
    <n v="-27400.69"/>
  </r>
  <r>
    <x v="2"/>
    <n v="179323.22"/>
    <n v="150739.1"/>
    <d v="2020-08-08T00:00:00"/>
    <x v="6"/>
    <x v="60"/>
    <x v="2"/>
    <x v="29"/>
    <s v="Tablet"/>
    <s v="16-5710075"/>
    <m/>
    <n v="202008"/>
    <n v="8"/>
    <x v="0"/>
    <x v="5"/>
    <n v="179323.22"/>
  </r>
  <r>
    <x v="2"/>
    <n v="135211.42000000001"/>
    <n v="108534.21"/>
    <d v="2019-08-12T00:00:00"/>
    <x v="2"/>
    <x v="2"/>
    <x v="2"/>
    <x v="12"/>
    <s v="PC"/>
    <s v="78-5541691"/>
    <m/>
    <n v="201908"/>
    <n v="8"/>
    <x v="1"/>
    <x v="5"/>
    <n v="-135211.42000000001"/>
  </r>
  <r>
    <x v="5"/>
    <n v="186209.44"/>
    <n v="148818.57999999999"/>
    <d v="2019-06-24T00:00:00"/>
    <x v="2"/>
    <x v="21"/>
    <x v="5"/>
    <x v="23"/>
    <s v="Mobile"/>
    <s v="69-8016438"/>
    <m/>
    <n v="201906"/>
    <n v="6"/>
    <x v="1"/>
    <x v="9"/>
    <n v="-186209.44"/>
  </r>
  <r>
    <x v="11"/>
    <n v="127591.73"/>
    <n v="108988.86"/>
    <d v="2020-04-30T00:00:00"/>
    <x v="1"/>
    <x v="9"/>
    <x v="11"/>
    <x v="27"/>
    <s v="Mobile"/>
    <s v="43-7205800"/>
    <m/>
    <n v="202004"/>
    <n v="4"/>
    <x v="0"/>
    <x v="3"/>
    <n v="127591.73"/>
  </r>
  <r>
    <x v="0"/>
    <n v="53093.47"/>
    <n v="42533.18"/>
    <d v="2020-10-25T00:00:00"/>
    <x v="2"/>
    <x v="56"/>
    <x v="0"/>
    <x v="9"/>
    <s v="PC"/>
    <s v="84-2496865"/>
    <m/>
    <n v="202010"/>
    <n v="10"/>
    <x v="0"/>
    <x v="11"/>
    <n v="53093.47"/>
  </r>
  <r>
    <x v="6"/>
    <n v="28787.17"/>
    <n v="24610.15"/>
    <d v="2019-08-06T00:00:00"/>
    <x v="1"/>
    <x v="40"/>
    <x v="6"/>
    <x v="14"/>
    <s v="PC"/>
    <s v="13-4700827"/>
    <m/>
    <n v="201908"/>
    <n v="8"/>
    <x v="1"/>
    <x v="5"/>
    <n v="-28787.17"/>
  </r>
  <r>
    <x v="4"/>
    <n v="49930.87"/>
    <n v="40174.379999999997"/>
    <d v="2020-02-21T00:00:00"/>
    <x v="7"/>
    <x v="24"/>
    <x v="4"/>
    <x v="8"/>
    <s v="PC"/>
    <s v="10-5202864"/>
    <m/>
    <n v="202002"/>
    <n v="2"/>
    <x v="0"/>
    <x v="0"/>
    <n v="49930.87"/>
  </r>
  <r>
    <x v="2"/>
    <n v="48763.58"/>
    <n v="39435.11"/>
    <d v="2020-07-14T00:00:00"/>
    <x v="6"/>
    <x v="24"/>
    <x v="2"/>
    <x v="2"/>
    <s v="PC"/>
    <s v="29-6521179"/>
    <m/>
    <n v="202007"/>
    <n v="7"/>
    <x v="0"/>
    <x v="2"/>
    <n v="48763.58"/>
  </r>
  <r>
    <x v="5"/>
    <n v="71079.8"/>
    <n v="56778.54"/>
    <d v="2019-11-15T00:00:00"/>
    <x v="8"/>
    <x v="9"/>
    <x v="5"/>
    <x v="23"/>
    <s v="PC"/>
    <s v="30-9137723"/>
    <m/>
    <n v="201911"/>
    <n v="11"/>
    <x v="1"/>
    <x v="8"/>
    <n v="-71079.8"/>
  </r>
  <r>
    <x v="0"/>
    <n v="43158.94"/>
    <n v="36244.879999999997"/>
    <d v="2019-05-13T00:00:00"/>
    <x v="8"/>
    <x v="42"/>
    <x v="0"/>
    <x v="9"/>
    <s v="PC"/>
    <s v="55-4422832"/>
    <m/>
    <n v="201905"/>
    <n v="5"/>
    <x v="1"/>
    <x v="6"/>
    <n v="-43158.94"/>
  </r>
  <r>
    <x v="5"/>
    <n v="117538.82"/>
    <n v="100719.02"/>
    <d v="2019-07-03T00:00:00"/>
    <x v="3"/>
    <x v="10"/>
    <x v="5"/>
    <x v="23"/>
    <s v="PC"/>
    <s v="12-1257338"/>
    <m/>
    <n v="201907"/>
    <n v="7"/>
    <x v="1"/>
    <x v="2"/>
    <n v="-117538.82"/>
  </r>
  <r>
    <x v="2"/>
    <n v="45725.53"/>
    <n v="36571.279999999999"/>
    <d v="2020-07-07T00:00:00"/>
    <x v="9"/>
    <x v="6"/>
    <x v="2"/>
    <x v="3"/>
    <s v="Mobile"/>
    <s v="66-6777720"/>
    <m/>
    <n v="202007"/>
    <n v="7"/>
    <x v="0"/>
    <x v="2"/>
    <n v="45725.53"/>
  </r>
  <r>
    <x v="2"/>
    <n v="77522.570000000007"/>
    <n v="64227.45"/>
    <d v="2019-07-31T00:00:00"/>
    <x v="7"/>
    <x v="39"/>
    <x v="2"/>
    <x v="3"/>
    <s v="Mobile"/>
    <s v="53-3568171"/>
    <m/>
    <n v="201907"/>
    <n v="7"/>
    <x v="1"/>
    <x v="2"/>
    <n v="-77522.570000000007"/>
  </r>
  <r>
    <x v="12"/>
    <n v="44118.5"/>
    <n v="38250.74"/>
    <d v="2020-03-04T00:00:00"/>
    <x v="8"/>
    <x v="14"/>
    <x v="12"/>
    <x v="28"/>
    <s v="Mobile"/>
    <s v="77-6124790"/>
    <m/>
    <n v="202003"/>
    <n v="3"/>
    <x v="0"/>
    <x v="10"/>
    <n v="44118.5"/>
  </r>
  <r>
    <x v="4"/>
    <n v="242526"/>
    <n v="212113.24"/>
    <d v="2019-06-03T00:00:00"/>
    <x v="2"/>
    <x v="35"/>
    <x v="4"/>
    <x v="6"/>
    <s v="PC"/>
    <s v="09-3668672"/>
    <m/>
    <n v="201906"/>
    <n v="6"/>
    <x v="1"/>
    <x v="9"/>
    <n v="-242526"/>
  </r>
  <r>
    <x v="5"/>
    <n v="140635.94"/>
    <n v="115194.9"/>
    <d v="2020-12-08T00:00:00"/>
    <x v="6"/>
    <x v="4"/>
    <x v="5"/>
    <x v="10"/>
    <s v="PC"/>
    <s v="00-5823706"/>
    <m/>
    <n v="202012"/>
    <n v="12"/>
    <x v="0"/>
    <x v="4"/>
    <n v="140635.94"/>
  </r>
  <r>
    <x v="2"/>
    <n v="157754.35999999999"/>
    <n v="132166.6"/>
    <d v="2019-08-09T00:00:00"/>
    <x v="0"/>
    <x v="39"/>
    <x v="2"/>
    <x v="3"/>
    <s v="Mobile"/>
    <s v="67-8646070"/>
    <m/>
    <n v="201908"/>
    <n v="8"/>
    <x v="1"/>
    <x v="5"/>
    <n v="-157754.35999999999"/>
  </r>
  <r>
    <x v="5"/>
    <n v="88977.22"/>
    <n v="72534.23"/>
    <d v="2020-10-03T00:00:00"/>
    <x v="0"/>
    <x v="15"/>
    <x v="5"/>
    <x v="21"/>
    <s v="PC"/>
    <s v="58-1975365"/>
    <m/>
    <n v="202010"/>
    <n v="10"/>
    <x v="0"/>
    <x v="11"/>
    <n v="88977.22"/>
  </r>
  <r>
    <x v="2"/>
    <n v="74231.25"/>
    <n v="61604.51"/>
    <d v="2019-11-11T00:00:00"/>
    <x v="3"/>
    <x v="8"/>
    <x v="2"/>
    <x v="29"/>
    <s v="Mobile"/>
    <s v="99-7842298"/>
    <m/>
    <n v="201911"/>
    <n v="11"/>
    <x v="1"/>
    <x v="8"/>
    <n v="-74231.25"/>
  </r>
  <r>
    <x v="0"/>
    <n v="131402.37"/>
    <n v="106383.36"/>
    <d v="2019-10-03T00:00:00"/>
    <x v="3"/>
    <x v="4"/>
    <x v="0"/>
    <x v="9"/>
    <s v="PC"/>
    <s v="80-8019337"/>
    <m/>
    <n v="201910"/>
    <n v="10"/>
    <x v="1"/>
    <x v="11"/>
    <n v="-131402.37"/>
  </r>
  <r>
    <x v="0"/>
    <n v="156505.37"/>
    <n v="128647.41"/>
    <d v="2019-05-04T00:00:00"/>
    <x v="8"/>
    <x v="26"/>
    <x v="0"/>
    <x v="13"/>
    <s v="PC"/>
    <s v="76-8416893"/>
    <m/>
    <n v="201905"/>
    <n v="5"/>
    <x v="1"/>
    <x v="6"/>
    <n v="-156505.37"/>
  </r>
  <r>
    <x v="2"/>
    <n v="139200.81"/>
    <n v="120172.06"/>
    <d v="2019-08-23T00:00:00"/>
    <x v="1"/>
    <x v="4"/>
    <x v="2"/>
    <x v="29"/>
    <s v="PC"/>
    <s v="19-3893110"/>
    <m/>
    <n v="201908"/>
    <n v="8"/>
    <x v="1"/>
    <x v="5"/>
    <n v="-139200.81"/>
  </r>
  <r>
    <x v="0"/>
    <n v="121292.94"/>
    <n v="104384.7"/>
    <d v="2019-03-23T00:00:00"/>
    <x v="3"/>
    <x v="6"/>
    <x v="0"/>
    <x v="25"/>
    <s v="PC"/>
    <s v="17-3994138"/>
    <m/>
    <n v="201903"/>
    <n v="3"/>
    <x v="1"/>
    <x v="10"/>
    <n v="-121292.94"/>
  </r>
  <r>
    <x v="5"/>
    <n v="84712.13"/>
    <n v="73004.91"/>
    <d v="2020-07-11T00:00:00"/>
    <x v="0"/>
    <x v="34"/>
    <x v="5"/>
    <x v="21"/>
    <s v="PC"/>
    <s v="29-8090560"/>
    <m/>
    <n v="202007"/>
    <n v="7"/>
    <x v="0"/>
    <x v="2"/>
    <n v="84712.13"/>
  </r>
  <r>
    <x v="2"/>
    <n v="172202.38"/>
    <n v="149816.07"/>
    <d v="2019-04-09T00:00:00"/>
    <x v="5"/>
    <x v="53"/>
    <x v="2"/>
    <x v="15"/>
    <s v="Tablet"/>
    <s v="75-5652593"/>
    <m/>
    <n v="201904"/>
    <n v="4"/>
    <x v="1"/>
    <x v="3"/>
    <n v="-172202.38"/>
  </r>
  <r>
    <x v="0"/>
    <n v="108978.79"/>
    <n v="95432.73"/>
    <d v="2019-11-28T00:00:00"/>
    <x v="1"/>
    <x v="39"/>
    <x v="0"/>
    <x v="0"/>
    <s v="PC"/>
    <s v="84-5276032"/>
    <m/>
    <n v="201911"/>
    <n v="11"/>
    <x v="1"/>
    <x v="8"/>
    <n v="-108978.79"/>
  </r>
  <r>
    <x v="2"/>
    <n v="69871.92"/>
    <n v="58014.66"/>
    <d v="2020-09-06T00:00:00"/>
    <x v="1"/>
    <x v="4"/>
    <x v="2"/>
    <x v="2"/>
    <s v="PC"/>
    <s v="01-4729172"/>
    <m/>
    <n v="202009"/>
    <n v="9"/>
    <x v="0"/>
    <x v="1"/>
    <n v="69871.92"/>
  </r>
  <r>
    <x v="5"/>
    <n v="184221.2"/>
    <n v="150324.5"/>
    <d v="2019-06-15T00:00:00"/>
    <x v="8"/>
    <x v="3"/>
    <x v="5"/>
    <x v="10"/>
    <s v="PC"/>
    <s v="70-3373325"/>
    <m/>
    <n v="201906"/>
    <n v="6"/>
    <x v="1"/>
    <x v="9"/>
    <n v="-184221.2"/>
  </r>
  <r>
    <x v="5"/>
    <n v="57348.43"/>
    <n v="47587.73"/>
    <d v="2019-01-12T00:00:00"/>
    <x v="2"/>
    <x v="3"/>
    <x v="5"/>
    <x v="20"/>
    <s v="PC"/>
    <s v="73-6329299"/>
    <m/>
    <n v="201901"/>
    <n v="1"/>
    <x v="1"/>
    <x v="7"/>
    <n v="-57348.43"/>
  </r>
  <r>
    <x v="5"/>
    <n v="197581.29"/>
    <n v="169485.23"/>
    <d v="2019-12-13T00:00:00"/>
    <x v="8"/>
    <x v="33"/>
    <x v="5"/>
    <x v="21"/>
    <s v="PC"/>
    <s v="74-6221213"/>
    <m/>
    <n v="201912"/>
    <n v="12"/>
    <x v="1"/>
    <x v="4"/>
    <n v="-197581.29"/>
  </r>
  <r>
    <x v="2"/>
    <n v="101321.52"/>
    <n v="86710.96"/>
    <d v="2019-02-17T00:00:00"/>
    <x v="1"/>
    <x v="23"/>
    <x v="2"/>
    <x v="29"/>
    <s v="PC"/>
    <s v="53-1326953"/>
    <m/>
    <n v="201902"/>
    <n v="2"/>
    <x v="1"/>
    <x v="0"/>
    <n v="-101321.52"/>
  </r>
  <r>
    <x v="4"/>
    <n v="124234.91"/>
    <n v="98244.97"/>
    <d v="2020-09-19T00:00:00"/>
    <x v="7"/>
    <x v="4"/>
    <x v="4"/>
    <x v="8"/>
    <s v="PC"/>
    <s v="56-7081196"/>
    <m/>
    <n v="202009"/>
    <n v="9"/>
    <x v="0"/>
    <x v="1"/>
    <n v="124234.91"/>
  </r>
  <r>
    <x v="2"/>
    <n v="254883.03"/>
    <n v="213413.56"/>
    <d v="2019-12-12T00:00:00"/>
    <x v="5"/>
    <x v="46"/>
    <x v="2"/>
    <x v="12"/>
    <s v="PC"/>
    <s v="85-9560144"/>
    <m/>
    <n v="201912"/>
    <n v="12"/>
    <x v="1"/>
    <x v="4"/>
    <n v="-254883.03"/>
  </r>
  <r>
    <x v="5"/>
    <n v="57333.85"/>
    <n v="46308.55"/>
    <d v="2020-10-24T00:00:00"/>
    <x v="9"/>
    <x v="0"/>
    <x v="5"/>
    <x v="10"/>
    <s v="PC"/>
    <s v="35-9605742"/>
    <m/>
    <n v="202010"/>
    <n v="10"/>
    <x v="0"/>
    <x v="11"/>
    <n v="57333.85"/>
  </r>
  <r>
    <x v="2"/>
    <n v="65760.39"/>
    <n v="56672.3"/>
    <d v="2020-10-09T00:00:00"/>
    <x v="6"/>
    <x v="50"/>
    <x v="2"/>
    <x v="3"/>
    <s v="PC"/>
    <s v="30-0037690"/>
    <m/>
    <n v="202010"/>
    <n v="10"/>
    <x v="0"/>
    <x v="11"/>
    <n v="65760.39"/>
  </r>
  <r>
    <x v="2"/>
    <n v="53485"/>
    <n v="46713.8"/>
    <d v="2020-02-18T00:00:00"/>
    <x v="2"/>
    <x v="4"/>
    <x v="2"/>
    <x v="12"/>
    <s v="PC"/>
    <s v="75-6038587"/>
    <m/>
    <n v="202002"/>
    <n v="2"/>
    <x v="0"/>
    <x v="0"/>
    <n v="53485"/>
  </r>
  <r>
    <x v="5"/>
    <n v="154950.74"/>
    <n v="133195.66"/>
    <d v="2019-10-09T00:00:00"/>
    <x v="6"/>
    <x v="49"/>
    <x v="5"/>
    <x v="20"/>
    <s v="Tablet"/>
    <s v="45-8966277"/>
    <m/>
    <n v="201910"/>
    <n v="10"/>
    <x v="1"/>
    <x v="11"/>
    <n v="-154950.74"/>
  </r>
  <r>
    <x v="4"/>
    <n v="19949.11"/>
    <n v="16364.25"/>
    <d v="2019-02-25T00:00:00"/>
    <x v="3"/>
    <x v="37"/>
    <x v="4"/>
    <x v="6"/>
    <s v="Tablet"/>
    <s v="23-0941629"/>
    <m/>
    <n v="201902"/>
    <n v="2"/>
    <x v="1"/>
    <x v="0"/>
    <n v="-19949.11"/>
  </r>
  <r>
    <x v="5"/>
    <n v="124784.67"/>
    <n v="106853.11"/>
    <d v="2020-05-22T00:00:00"/>
    <x v="8"/>
    <x v="9"/>
    <x v="5"/>
    <x v="21"/>
    <s v="Tablet"/>
    <s v="44-2757396"/>
    <m/>
    <n v="202005"/>
    <n v="5"/>
    <x v="0"/>
    <x v="6"/>
    <n v="124784.67"/>
  </r>
  <r>
    <x v="9"/>
    <n v="120831.28"/>
    <n v="95746.71"/>
    <d v="2020-05-22T00:00:00"/>
    <x v="7"/>
    <x v="68"/>
    <x v="9"/>
    <x v="18"/>
    <s v="PC"/>
    <s v="21-4464304"/>
    <m/>
    <n v="202005"/>
    <n v="5"/>
    <x v="0"/>
    <x v="6"/>
    <n v="120831.28"/>
  </r>
  <r>
    <x v="2"/>
    <n v="127631.89"/>
    <n v="110963.17"/>
    <d v="2019-11-24T00:00:00"/>
    <x v="2"/>
    <x v="50"/>
    <x v="2"/>
    <x v="12"/>
    <s v="PC"/>
    <s v="02-8721192"/>
    <m/>
    <n v="201911"/>
    <n v="11"/>
    <x v="1"/>
    <x v="8"/>
    <n v="-127631.89"/>
  </r>
  <r>
    <x v="9"/>
    <n v="68984.17"/>
    <n v="59560.93"/>
    <d v="2019-01-11T00:00:00"/>
    <x v="3"/>
    <x v="26"/>
    <x v="9"/>
    <x v="18"/>
    <s v="PC"/>
    <s v="46-9710750"/>
    <m/>
    <n v="201901"/>
    <n v="1"/>
    <x v="1"/>
    <x v="7"/>
    <n v="-68984.17"/>
  </r>
  <r>
    <x v="5"/>
    <n v="56823.17"/>
    <n v="46583.63"/>
    <d v="2019-12-21T00:00:00"/>
    <x v="3"/>
    <x v="12"/>
    <x v="5"/>
    <x v="21"/>
    <s v="Mobile"/>
    <s v="26-1781486"/>
    <m/>
    <n v="201912"/>
    <n v="12"/>
    <x v="1"/>
    <x v="4"/>
    <n v="-56823.17"/>
  </r>
  <r>
    <x v="2"/>
    <n v="126974.92"/>
    <n v="101516.45"/>
    <d v="2019-01-13T00:00:00"/>
    <x v="1"/>
    <x v="2"/>
    <x v="2"/>
    <x v="15"/>
    <s v="PC"/>
    <s v="57-7927520"/>
    <m/>
    <n v="201901"/>
    <n v="1"/>
    <x v="1"/>
    <x v="7"/>
    <n v="-126974.92"/>
  </r>
  <r>
    <x v="2"/>
    <n v="121736.23"/>
    <n v="106214.86"/>
    <d v="2020-05-06T00:00:00"/>
    <x v="4"/>
    <x v="38"/>
    <x v="2"/>
    <x v="2"/>
    <s v="PC"/>
    <s v="95-4271285"/>
    <m/>
    <n v="202005"/>
    <n v="5"/>
    <x v="0"/>
    <x v="6"/>
    <n v="121736.23"/>
  </r>
  <r>
    <x v="5"/>
    <n v="150287.47"/>
    <n v="123611.44"/>
    <d v="2020-08-05T00:00:00"/>
    <x v="0"/>
    <x v="28"/>
    <x v="5"/>
    <x v="23"/>
    <s v="PC"/>
    <s v="66-4296261"/>
    <m/>
    <n v="202008"/>
    <n v="8"/>
    <x v="0"/>
    <x v="5"/>
    <n v="150287.47"/>
  </r>
  <r>
    <x v="1"/>
    <n v="93007.22"/>
    <n v="81837.05"/>
    <d v="2020-11-09T00:00:00"/>
    <x v="7"/>
    <x v="40"/>
    <x v="1"/>
    <x v="1"/>
    <s v="PC"/>
    <s v="24-8477374"/>
    <m/>
    <n v="202011"/>
    <n v="11"/>
    <x v="0"/>
    <x v="8"/>
    <n v="93007.22"/>
  </r>
  <r>
    <x v="11"/>
    <n v="165747.20000000001"/>
    <n v="132912.68"/>
    <d v="2020-01-21T00:00:00"/>
    <x v="0"/>
    <x v="5"/>
    <x v="11"/>
    <x v="26"/>
    <s v="PC"/>
    <s v="96-1991854"/>
    <m/>
    <n v="202001"/>
    <n v="1"/>
    <x v="0"/>
    <x v="7"/>
    <n v="165747.20000000001"/>
  </r>
  <r>
    <x v="0"/>
    <n v="177215.51"/>
    <n v="155807.88"/>
    <d v="2019-05-07T00:00:00"/>
    <x v="2"/>
    <x v="26"/>
    <x v="0"/>
    <x v="13"/>
    <s v="PC"/>
    <s v="54-3353166"/>
    <m/>
    <n v="201905"/>
    <n v="5"/>
    <x v="1"/>
    <x v="6"/>
    <n v="-177215.51"/>
  </r>
  <r>
    <x v="5"/>
    <n v="99132.04"/>
    <n v="78819.89"/>
    <d v="2020-03-21T00:00:00"/>
    <x v="6"/>
    <x v="20"/>
    <x v="5"/>
    <x v="23"/>
    <s v="PC"/>
    <s v="44-6408586"/>
    <m/>
    <n v="202003"/>
    <n v="3"/>
    <x v="0"/>
    <x v="10"/>
    <n v="99132.04"/>
  </r>
  <r>
    <x v="12"/>
    <n v="180519.86"/>
    <n v="145968.35999999999"/>
    <d v="2019-07-04T00:00:00"/>
    <x v="1"/>
    <x v="16"/>
    <x v="12"/>
    <x v="28"/>
    <s v="PC"/>
    <s v="86-6107692"/>
    <m/>
    <n v="201907"/>
    <n v="7"/>
    <x v="1"/>
    <x v="2"/>
    <n v="-180519.86"/>
  </r>
  <r>
    <x v="5"/>
    <n v="68173.22"/>
    <n v="54040.91"/>
    <d v="2020-11-14T00:00:00"/>
    <x v="6"/>
    <x v="2"/>
    <x v="5"/>
    <x v="10"/>
    <s v="PC"/>
    <s v="89-7513050"/>
    <m/>
    <n v="202011"/>
    <n v="11"/>
    <x v="0"/>
    <x v="8"/>
    <n v="68173.22"/>
  </r>
  <r>
    <x v="2"/>
    <n v="97439.360000000001"/>
    <n v="79773.600000000006"/>
    <d v="2019-08-08T00:00:00"/>
    <x v="1"/>
    <x v="24"/>
    <x v="2"/>
    <x v="29"/>
    <s v="PC"/>
    <s v="54-2767741"/>
    <m/>
    <n v="201908"/>
    <n v="8"/>
    <x v="1"/>
    <x v="5"/>
    <n v="-97439.360000000001"/>
  </r>
  <r>
    <x v="0"/>
    <n v="103638.67"/>
    <n v="84030.23"/>
    <d v="2020-10-22T00:00:00"/>
    <x v="8"/>
    <x v="36"/>
    <x v="0"/>
    <x v="9"/>
    <s v="PC"/>
    <s v="24-6905998"/>
    <m/>
    <n v="202010"/>
    <n v="10"/>
    <x v="0"/>
    <x v="11"/>
    <n v="103638.67"/>
  </r>
  <r>
    <x v="0"/>
    <n v="169810.63"/>
    <n v="145952.24"/>
    <d v="2020-11-28T00:00:00"/>
    <x v="6"/>
    <x v="50"/>
    <x v="0"/>
    <x v="19"/>
    <s v="PC"/>
    <s v="35-0173281"/>
    <m/>
    <n v="202011"/>
    <n v="11"/>
    <x v="0"/>
    <x v="8"/>
    <n v="169810.63"/>
  </r>
  <r>
    <x v="5"/>
    <n v="75264.84"/>
    <n v="61694.59"/>
    <d v="2020-09-16T00:00:00"/>
    <x v="2"/>
    <x v="11"/>
    <x v="5"/>
    <x v="21"/>
    <s v="Mobile"/>
    <s v="93-5465623"/>
    <m/>
    <n v="202009"/>
    <n v="9"/>
    <x v="0"/>
    <x v="1"/>
    <n v="75264.84"/>
  </r>
  <r>
    <x v="3"/>
    <n v="58933.16"/>
    <n v="51855.29"/>
    <d v="2019-09-20T00:00:00"/>
    <x v="8"/>
    <x v="50"/>
    <x v="3"/>
    <x v="4"/>
    <s v="Mobile"/>
    <s v="67-2823354"/>
    <m/>
    <n v="201909"/>
    <n v="9"/>
    <x v="1"/>
    <x v="1"/>
    <n v="-58933.16"/>
  </r>
  <r>
    <x v="2"/>
    <n v="168773.6"/>
    <n v="137398.59"/>
    <d v="2019-08-22T00:00:00"/>
    <x v="1"/>
    <x v="11"/>
    <x v="2"/>
    <x v="12"/>
    <s v="PC"/>
    <s v="28-0622425"/>
    <m/>
    <n v="201908"/>
    <n v="8"/>
    <x v="1"/>
    <x v="5"/>
    <n v="-168773.6"/>
  </r>
  <r>
    <x v="2"/>
    <n v="152676.76999999999"/>
    <n v="122385.7"/>
    <d v="2020-07-07T00:00:00"/>
    <x v="7"/>
    <x v="30"/>
    <x v="2"/>
    <x v="2"/>
    <s v="PC"/>
    <s v="84-0679518"/>
    <m/>
    <n v="202007"/>
    <n v="7"/>
    <x v="0"/>
    <x v="2"/>
    <n v="152676.76999999999"/>
  </r>
  <r>
    <x v="2"/>
    <n v="116556.81"/>
    <n v="95448.37"/>
    <d v="2020-05-24T00:00:00"/>
    <x v="7"/>
    <x v="7"/>
    <x v="2"/>
    <x v="15"/>
    <s v="PC"/>
    <s v="95-1195568"/>
    <m/>
    <n v="202005"/>
    <n v="5"/>
    <x v="0"/>
    <x v="6"/>
    <n v="116556.81"/>
  </r>
  <r>
    <x v="5"/>
    <n v="310539"/>
    <n v="248275.93"/>
    <d v="2020-12-11T00:00:00"/>
    <x v="8"/>
    <x v="4"/>
    <x v="5"/>
    <x v="21"/>
    <s v="PC"/>
    <s v="57-2495984"/>
    <m/>
    <n v="202012"/>
    <n v="12"/>
    <x v="0"/>
    <x v="4"/>
    <n v="310539"/>
  </r>
  <r>
    <x v="2"/>
    <n v="106325.72"/>
    <n v="92705.4"/>
    <d v="2019-09-19T00:00:00"/>
    <x v="1"/>
    <x v="0"/>
    <x v="2"/>
    <x v="3"/>
    <s v="Mobile"/>
    <s v="77-5229094"/>
    <m/>
    <n v="201909"/>
    <n v="9"/>
    <x v="1"/>
    <x v="1"/>
    <n v="-106325.72"/>
  </r>
  <r>
    <x v="0"/>
    <n v="90602.07"/>
    <n v="71630"/>
    <d v="2020-03-05T00:00:00"/>
    <x v="8"/>
    <x v="29"/>
    <x v="0"/>
    <x v="25"/>
    <s v="PC"/>
    <s v="09-3747816"/>
    <m/>
    <n v="202003"/>
    <n v="3"/>
    <x v="0"/>
    <x v="10"/>
    <n v="90602.07"/>
  </r>
  <r>
    <x v="3"/>
    <n v="120012.56"/>
    <n v="97762.23"/>
    <d v="2020-05-11T00:00:00"/>
    <x v="1"/>
    <x v="26"/>
    <x v="3"/>
    <x v="4"/>
    <s v="Mobile"/>
    <s v="62-9738356"/>
    <m/>
    <n v="202005"/>
    <n v="5"/>
    <x v="0"/>
    <x v="6"/>
    <n v="120012.56"/>
  </r>
  <r>
    <x v="5"/>
    <n v="143658.22"/>
    <n v="123158.19"/>
    <d v="2020-10-30T00:00:00"/>
    <x v="5"/>
    <x v="10"/>
    <x v="5"/>
    <x v="10"/>
    <s v="PC"/>
    <s v="22-6938537"/>
    <m/>
    <n v="202010"/>
    <n v="10"/>
    <x v="0"/>
    <x v="11"/>
    <n v="143658.22"/>
  </r>
  <r>
    <x v="2"/>
    <n v="263571.82"/>
    <n v="216155.25"/>
    <d v="2020-06-08T00:00:00"/>
    <x v="7"/>
    <x v="46"/>
    <x v="2"/>
    <x v="3"/>
    <s v="PC"/>
    <s v="11-0955383"/>
    <m/>
    <n v="202006"/>
    <n v="6"/>
    <x v="0"/>
    <x v="9"/>
    <n v="263571.82"/>
  </r>
  <r>
    <x v="5"/>
    <n v="131097.04999999999"/>
    <n v="109203.84"/>
    <d v="2020-06-26T00:00:00"/>
    <x v="3"/>
    <x v="2"/>
    <x v="5"/>
    <x v="7"/>
    <s v="PC"/>
    <s v="80-1374023"/>
    <m/>
    <n v="202006"/>
    <n v="6"/>
    <x v="0"/>
    <x v="9"/>
    <n v="131097.04999999999"/>
  </r>
  <r>
    <x v="10"/>
    <n v="127830.38"/>
    <n v="103874.97"/>
    <d v="2020-05-21T00:00:00"/>
    <x v="1"/>
    <x v="14"/>
    <x v="10"/>
    <x v="22"/>
    <s v="PC"/>
    <s v="66-7112079"/>
    <m/>
    <n v="202005"/>
    <n v="5"/>
    <x v="0"/>
    <x v="6"/>
    <n v="127830.38"/>
  </r>
  <r>
    <x v="2"/>
    <n v="129353.22"/>
    <n v="111593.02"/>
    <d v="2019-01-18T00:00:00"/>
    <x v="1"/>
    <x v="49"/>
    <x v="2"/>
    <x v="12"/>
    <s v="Mobile"/>
    <s v="31-2600204"/>
    <m/>
    <n v="201901"/>
    <n v="1"/>
    <x v="1"/>
    <x v="7"/>
    <n v="-129353.22"/>
  </r>
  <r>
    <x v="0"/>
    <n v="176473.32"/>
    <n v="139413.92000000001"/>
    <d v="2019-06-22T00:00:00"/>
    <x v="1"/>
    <x v="10"/>
    <x v="0"/>
    <x v="9"/>
    <s v="PC"/>
    <s v="00-7031798"/>
    <m/>
    <n v="201906"/>
    <n v="6"/>
    <x v="1"/>
    <x v="9"/>
    <n v="-176473.32"/>
  </r>
  <r>
    <x v="13"/>
    <n v="43609.57"/>
    <n v="34634.720000000001"/>
    <d v="2020-03-01T00:00:00"/>
    <x v="5"/>
    <x v="32"/>
    <x v="13"/>
    <x v="34"/>
    <s v="PC"/>
    <s v="20-1827241"/>
    <m/>
    <n v="202003"/>
    <n v="3"/>
    <x v="0"/>
    <x v="10"/>
    <n v="43609.57"/>
  </r>
  <r>
    <x v="2"/>
    <n v="137562.42000000001"/>
    <n v="112140.88"/>
    <d v="2020-04-14T00:00:00"/>
    <x v="2"/>
    <x v="23"/>
    <x v="2"/>
    <x v="15"/>
    <s v="PC"/>
    <s v="80-5941460"/>
    <m/>
    <n v="202004"/>
    <n v="4"/>
    <x v="0"/>
    <x v="3"/>
    <n v="137562.42000000001"/>
  </r>
  <r>
    <x v="5"/>
    <n v="51504.5"/>
    <n v="44592.6"/>
    <d v="2019-09-22T00:00:00"/>
    <x v="5"/>
    <x v="23"/>
    <x v="5"/>
    <x v="10"/>
    <s v="PC"/>
    <s v="17-3240628"/>
    <m/>
    <n v="201909"/>
    <n v="9"/>
    <x v="1"/>
    <x v="1"/>
    <n v="-51504.5"/>
  </r>
  <r>
    <x v="5"/>
    <n v="38750.53"/>
    <n v="31298.799999999999"/>
    <d v="2019-09-01T00:00:00"/>
    <x v="7"/>
    <x v="4"/>
    <x v="5"/>
    <x v="10"/>
    <s v="PC"/>
    <s v="22-5929243"/>
    <m/>
    <n v="201909"/>
    <n v="9"/>
    <x v="1"/>
    <x v="1"/>
    <n v="-38750.53"/>
  </r>
  <r>
    <x v="5"/>
    <n v="111676.46"/>
    <n v="92791.97"/>
    <d v="2019-06-08T00:00:00"/>
    <x v="3"/>
    <x v="17"/>
    <x v="5"/>
    <x v="21"/>
    <s v="PC"/>
    <s v="35-7483371"/>
    <m/>
    <n v="201906"/>
    <n v="6"/>
    <x v="1"/>
    <x v="9"/>
    <n v="-111676.46"/>
  </r>
  <r>
    <x v="0"/>
    <n v="46849.71"/>
    <n v="39630.17"/>
    <d v="2019-08-26T00:00:00"/>
    <x v="3"/>
    <x v="36"/>
    <x v="0"/>
    <x v="9"/>
    <s v="PC"/>
    <s v="71-1921602"/>
    <m/>
    <n v="201908"/>
    <n v="8"/>
    <x v="1"/>
    <x v="5"/>
    <n v="-46849.71"/>
  </r>
  <r>
    <x v="0"/>
    <n v="296844.24"/>
    <n v="244926.18"/>
    <d v="2019-06-08T00:00:00"/>
    <x v="9"/>
    <x v="32"/>
    <x v="0"/>
    <x v="25"/>
    <s v="PC"/>
    <s v="22-9949979"/>
    <m/>
    <n v="201906"/>
    <n v="6"/>
    <x v="1"/>
    <x v="9"/>
    <n v="-296844.24"/>
  </r>
  <r>
    <x v="2"/>
    <n v="163492.16"/>
    <n v="134178.01999999999"/>
    <d v="2020-08-12T00:00:00"/>
    <x v="5"/>
    <x v="43"/>
    <x v="2"/>
    <x v="12"/>
    <s v="PC"/>
    <s v="06-8466490"/>
    <m/>
    <n v="202008"/>
    <n v="8"/>
    <x v="0"/>
    <x v="5"/>
    <n v="163492.16"/>
  </r>
  <r>
    <x v="5"/>
    <n v="116206.87"/>
    <n v="93104.94"/>
    <d v="2019-04-15T00:00:00"/>
    <x v="1"/>
    <x v="22"/>
    <x v="5"/>
    <x v="10"/>
    <s v="PC"/>
    <s v="34-6603897"/>
    <m/>
    <n v="201904"/>
    <n v="4"/>
    <x v="1"/>
    <x v="3"/>
    <n v="-116206.87"/>
  </r>
  <r>
    <x v="5"/>
    <n v="195214.72"/>
    <n v="154649.1"/>
    <d v="2019-06-26T00:00:00"/>
    <x v="0"/>
    <x v="22"/>
    <x v="5"/>
    <x v="7"/>
    <s v="PC"/>
    <s v="92-3462655"/>
    <m/>
    <n v="201906"/>
    <n v="6"/>
    <x v="1"/>
    <x v="9"/>
    <n v="-195214.72"/>
  </r>
  <r>
    <x v="5"/>
    <n v="168226.52"/>
    <n v="136818.63"/>
    <d v="2020-01-25T00:00:00"/>
    <x v="6"/>
    <x v="34"/>
    <x v="5"/>
    <x v="23"/>
    <s v="PC"/>
    <s v="26-9826298"/>
    <m/>
    <n v="202001"/>
    <n v="1"/>
    <x v="0"/>
    <x v="7"/>
    <n v="168226.52"/>
  </r>
  <r>
    <x v="0"/>
    <n v="249842.77"/>
    <n v="218737.35"/>
    <d v="2020-07-09T00:00:00"/>
    <x v="0"/>
    <x v="3"/>
    <x v="0"/>
    <x v="13"/>
    <s v="PC"/>
    <s v="39-5542863"/>
    <m/>
    <n v="202007"/>
    <n v="7"/>
    <x v="0"/>
    <x v="2"/>
    <n v="249842.77"/>
  </r>
  <r>
    <x v="6"/>
    <n v="105678.39"/>
    <n v="89720.95"/>
    <d v="2020-05-07T00:00:00"/>
    <x v="1"/>
    <x v="35"/>
    <x v="6"/>
    <x v="14"/>
    <s v="Mobile"/>
    <s v="18-1809309"/>
    <m/>
    <n v="202005"/>
    <n v="5"/>
    <x v="0"/>
    <x v="6"/>
    <n v="105678.39"/>
  </r>
  <r>
    <x v="2"/>
    <n v="253580.08"/>
    <n v="212449.39"/>
    <d v="2020-07-06T00:00:00"/>
    <x v="1"/>
    <x v="67"/>
    <x v="2"/>
    <x v="29"/>
    <s v="PC"/>
    <s v="51-0837613"/>
    <m/>
    <n v="202007"/>
    <n v="7"/>
    <x v="0"/>
    <x v="2"/>
    <n v="253580.08"/>
  </r>
  <r>
    <x v="5"/>
    <n v="56705.66"/>
    <n v="46986.31"/>
    <d v="2019-02-01T00:00:00"/>
    <x v="7"/>
    <x v="4"/>
    <x v="5"/>
    <x v="20"/>
    <s v="PC"/>
    <s v="46-0117523"/>
    <m/>
    <n v="201902"/>
    <n v="2"/>
    <x v="1"/>
    <x v="0"/>
    <n v="-56705.66"/>
  </r>
  <r>
    <x v="0"/>
    <n v="35354.22"/>
    <n v="30517.759999999998"/>
    <d v="2019-02-27T00:00:00"/>
    <x v="6"/>
    <x v="46"/>
    <x v="0"/>
    <x v="19"/>
    <s v="PC"/>
    <s v="58-1079558"/>
    <m/>
    <n v="201902"/>
    <n v="2"/>
    <x v="1"/>
    <x v="0"/>
    <n v="-35354.22"/>
  </r>
  <r>
    <x v="2"/>
    <n v="25834.34"/>
    <n v="22450.04"/>
    <d v="2020-03-13T00:00:00"/>
    <x v="8"/>
    <x v="14"/>
    <x v="2"/>
    <x v="29"/>
    <s v="Mobile"/>
    <s v="49-9010863"/>
    <m/>
    <n v="202003"/>
    <n v="3"/>
    <x v="0"/>
    <x v="10"/>
    <n v="25834.34"/>
  </r>
  <r>
    <x v="2"/>
    <n v="121928.48"/>
    <n v="98408.48"/>
    <d v="2019-09-19T00:00:00"/>
    <x v="2"/>
    <x v="34"/>
    <x v="2"/>
    <x v="29"/>
    <s v="Mobile"/>
    <s v="58-2028009"/>
    <m/>
    <n v="201909"/>
    <n v="9"/>
    <x v="1"/>
    <x v="1"/>
    <n v="-121928.48"/>
  </r>
  <r>
    <x v="5"/>
    <n v="167935.31"/>
    <n v="137942.06"/>
    <d v="2019-04-18T00:00:00"/>
    <x v="1"/>
    <x v="56"/>
    <x v="5"/>
    <x v="10"/>
    <s v="PC"/>
    <s v="03-4045721"/>
    <m/>
    <n v="201904"/>
    <n v="4"/>
    <x v="1"/>
    <x v="3"/>
    <n v="-167935.31"/>
  </r>
  <r>
    <x v="2"/>
    <n v="151151.76999999999"/>
    <n v="124035.14"/>
    <d v="2019-12-30T00:00:00"/>
    <x v="5"/>
    <x v="12"/>
    <x v="2"/>
    <x v="3"/>
    <s v="PC"/>
    <s v="80-3039005"/>
    <m/>
    <n v="201912"/>
    <n v="12"/>
    <x v="1"/>
    <x v="4"/>
    <n v="-151151.76999999999"/>
  </r>
  <r>
    <x v="5"/>
    <n v="95966.17"/>
    <n v="75976.42"/>
    <d v="2019-08-24T00:00:00"/>
    <x v="8"/>
    <x v="72"/>
    <x v="5"/>
    <x v="10"/>
    <s v="PC"/>
    <s v="90-4449856"/>
    <m/>
    <n v="201908"/>
    <n v="8"/>
    <x v="1"/>
    <x v="5"/>
    <n v="-95966.17"/>
  </r>
  <r>
    <x v="2"/>
    <n v="123424.43"/>
    <n v="98171.79"/>
    <d v="2019-04-11T00:00:00"/>
    <x v="2"/>
    <x v="30"/>
    <x v="2"/>
    <x v="12"/>
    <s v="PC"/>
    <s v="82-2837449"/>
    <m/>
    <n v="201904"/>
    <n v="4"/>
    <x v="1"/>
    <x v="3"/>
    <n v="-123424.43"/>
  </r>
  <r>
    <x v="5"/>
    <n v="128221.13"/>
    <n v="102217.88"/>
    <d v="2020-06-21T00:00:00"/>
    <x v="2"/>
    <x v="4"/>
    <x v="5"/>
    <x v="10"/>
    <s v="PC"/>
    <s v="21-4033151"/>
    <m/>
    <n v="202006"/>
    <n v="6"/>
    <x v="0"/>
    <x v="9"/>
    <n v="128221.13"/>
  </r>
  <r>
    <x v="2"/>
    <n v="204133.95"/>
    <n v="167553.15"/>
    <d v="2020-06-13T00:00:00"/>
    <x v="1"/>
    <x v="36"/>
    <x v="2"/>
    <x v="12"/>
    <s v="PC"/>
    <s v="98-6563368"/>
    <m/>
    <n v="202006"/>
    <n v="6"/>
    <x v="0"/>
    <x v="9"/>
    <n v="204133.95"/>
  </r>
  <r>
    <x v="0"/>
    <n v="89376.84"/>
    <n v="73646.52"/>
    <d v="2019-02-17T00:00:00"/>
    <x v="3"/>
    <x v="4"/>
    <x v="0"/>
    <x v="13"/>
    <s v="PC"/>
    <s v="21-2589548"/>
    <m/>
    <n v="201902"/>
    <n v="2"/>
    <x v="1"/>
    <x v="0"/>
    <n v="-89376.84"/>
  </r>
  <r>
    <x v="0"/>
    <n v="110837.96"/>
    <n v="92106.34"/>
    <d v="2019-02-25T00:00:00"/>
    <x v="8"/>
    <x v="46"/>
    <x v="0"/>
    <x v="13"/>
    <s v="PC"/>
    <s v="52-7049356"/>
    <m/>
    <n v="201902"/>
    <n v="2"/>
    <x v="1"/>
    <x v="0"/>
    <n v="-110837.96"/>
  </r>
  <r>
    <x v="6"/>
    <n v="118026.37"/>
    <n v="99873.91"/>
    <d v="2020-07-04T00:00:00"/>
    <x v="5"/>
    <x v="3"/>
    <x v="6"/>
    <x v="14"/>
    <s v="PC"/>
    <s v="35-1708827"/>
    <m/>
    <n v="202007"/>
    <n v="7"/>
    <x v="0"/>
    <x v="2"/>
    <n v="118026.37"/>
  </r>
  <r>
    <x v="2"/>
    <n v="177208.76"/>
    <n v="151779.29999999999"/>
    <d v="2019-01-02T00:00:00"/>
    <x v="5"/>
    <x v="14"/>
    <x v="2"/>
    <x v="2"/>
    <s v="Mobile"/>
    <s v="22-1266257"/>
    <m/>
    <n v="201901"/>
    <n v="1"/>
    <x v="1"/>
    <x v="7"/>
    <n v="-177208.76"/>
  </r>
  <r>
    <x v="0"/>
    <n v="97148.34"/>
    <n v="77806.11"/>
    <d v="2020-04-29T00:00:00"/>
    <x v="0"/>
    <x v="14"/>
    <x v="0"/>
    <x v="25"/>
    <s v="PC"/>
    <s v="44-9978904"/>
    <m/>
    <n v="202004"/>
    <n v="4"/>
    <x v="0"/>
    <x v="3"/>
    <n v="97148.34"/>
  </r>
  <r>
    <x v="3"/>
    <n v="144530.35"/>
    <n v="115407.48"/>
    <d v="2020-08-04T00:00:00"/>
    <x v="9"/>
    <x v="9"/>
    <x v="3"/>
    <x v="33"/>
    <s v="PC"/>
    <s v="63-1220717"/>
    <m/>
    <n v="202008"/>
    <n v="8"/>
    <x v="0"/>
    <x v="5"/>
    <n v="144530.35"/>
  </r>
  <r>
    <x v="0"/>
    <n v="45261.84"/>
    <n v="37816.269999999997"/>
    <d v="2020-11-21T00:00:00"/>
    <x v="3"/>
    <x v="11"/>
    <x v="0"/>
    <x v="0"/>
    <s v="PC"/>
    <s v="40-0265810"/>
    <m/>
    <n v="202011"/>
    <n v="11"/>
    <x v="0"/>
    <x v="8"/>
    <n v="45261.84"/>
  </r>
  <r>
    <x v="8"/>
    <n v="105277.2"/>
    <n v="90759.47"/>
    <d v="2019-11-21T00:00:00"/>
    <x v="0"/>
    <x v="30"/>
    <x v="8"/>
    <x v="17"/>
    <s v="PC"/>
    <s v="56-6094665"/>
    <m/>
    <n v="201911"/>
    <n v="11"/>
    <x v="1"/>
    <x v="8"/>
    <n v="-105277.2"/>
  </r>
  <r>
    <x v="13"/>
    <n v="65822.05"/>
    <n v="54790.27"/>
    <d v="2020-11-11T00:00:00"/>
    <x v="2"/>
    <x v="22"/>
    <x v="13"/>
    <x v="30"/>
    <s v="PC"/>
    <s v="75-3776704"/>
    <m/>
    <n v="202011"/>
    <n v="11"/>
    <x v="0"/>
    <x v="8"/>
    <n v="65822.05"/>
  </r>
  <r>
    <x v="5"/>
    <n v="78540.62"/>
    <n v="63987.040000000001"/>
    <d v="2019-10-08T00:00:00"/>
    <x v="2"/>
    <x v="19"/>
    <x v="5"/>
    <x v="20"/>
    <s v="PC"/>
    <s v="55-1050582"/>
    <m/>
    <n v="201910"/>
    <n v="10"/>
    <x v="1"/>
    <x v="11"/>
    <n v="-78540.62"/>
  </r>
  <r>
    <x v="10"/>
    <n v="37636.910000000003"/>
    <n v="30847.21"/>
    <d v="2020-03-16T00:00:00"/>
    <x v="5"/>
    <x v="42"/>
    <x v="10"/>
    <x v="22"/>
    <s v="Mobile"/>
    <s v="78-8602908"/>
    <m/>
    <n v="202003"/>
    <n v="3"/>
    <x v="0"/>
    <x v="10"/>
    <n v="37636.910000000003"/>
  </r>
  <r>
    <x v="2"/>
    <n v="138127.81"/>
    <n v="115240.03"/>
    <d v="2020-05-24T00:00:00"/>
    <x v="5"/>
    <x v="27"/>
    <x v="2"/>
    <x v="12"/>
    <s v="PC"/>
    <s v="30-3460885"/>
    <m/>
    <n v="202005"/>
    <n v="5"/>
    <x v="0"/>
    <x v="6"/>
    <n v="138127.81"/>
  </r>
  <r>
    <x v="11"/>
    <n v="37892.58"/>
    <n v="30010.92"/>
    <d v="2019-01-21T00:00:00"/>
    <x v="8"/>
    <x v="4"/>
    <x v="11"/>
    <x v="27"/>
    <s v="PC"/>
    <s v="59-0348389"/>
    <m/>
    <n v="201901"/>
    <n v="1"/>
    <x v="1"/>
    <x v="7"/>
    <n v="-37892.58"/>
  </r>
  <r>
    <x v="8"/>
    <n v="65329.65"/>
    <n v="53237.13"/>
    <d v="2020-02-26T00:00:00"/>
    <x v="2"/>
    <x v="33"/>
    <x v="8"/>
    <x v="17"/>
    <s v="Mobile"/>
    <s v="91-7447818"/>
    <m/>
    <n v="202002"/>
    <n v="2"/>
    <x v="0"/>
    <x v="0"/>
    <n v="65329.65"/>
  </r>
  <r>
    <x v="5"/>
    <n v="167072.72"/>
    <n v="135044.88"/>
    <d v="2019-10-21T00:00:00"/>
    <x v="2"/>
    <x v="41"/>
    <x v="5"/>
    <x v="21"/>
    <s v="PC"/>
    <s v="37-6449638"/>
    <m/>
    <n v="201910"/>
    <n v="10"/>
    <x v="1"/>
    <x v="11"/>
    <n v="-167072.72"/>
  </r>
  <r>
    <x v="5"/>
    <n v="164243.32"/>
    <n v="134121.1"/>
    <d v="2019-05-20T00:00:00"/>
    <x v="6"/>
    <x v="20"/>
    <x v="5"/>
    <x v="10"/>
    <s v="PC"/>
    <s v="38-2806168"/>
    <m/>
    <n v="201905"/>
    <n v="5"/>
    <x v="1"/>
    <x v="6"/>
    <n v="-164243.32"/>
  </r>
  <r>
    <x v="5"/>
    <n v="174951.18"/>
    <n v="142690.18"/>
    <d v="2019-09-18T00:00:00"/>
    <x v="2"/>
    <x v="11"/>
    <x v="5"/>
    <x v="10"/>
    <s v="Mobile"/>
    <s v="09-7737652"/>
    <m/>
    <n v="201909"/>
    <n v="9"/>
    <x v="1"/>
    <x v="1"/>
    <n v="-174951.18"/>
  </r>
  <r>
    <x v="2"/>
    <n v="98521.87"/>
    <n v="84571.17"/>
    <d v="2020-01-02T00:00:00"/>
    <x v="2"/>
    <x v="4"/>
    <x v="2"/>
    <x v="29"/>
    <s v="PC"/>
    <s v="29-1727395"/>
    <m/>
    <n v="202001"/>
    <n v="1"/>
    <x v="0"/>
    <x v="7"/>
    <n v="98521.87"/>
  </r>
  <r>
    <x v="2"/>
    <n v="69750.570000000007"/>
    <n v="60731.82"/>
    <d v="2019-03-19T00:00:00"/>
    <x v="1"/>
    <x v="4"/>
    <x v="2"/>
    <x v="15"/>
    <s v="PC"/>
    <s v="92-4695001"/>
    <m/>
    <n v="201903"/>
    <n v="3"/>
    <x v="1"/>
    <x v="10"/>
    <n v="-69750.570000000007"/>
  </r>
  <r>
    <x v="2"/>
    <n v="129022.02"/>
    <n v="104585.25"/>
    <d v="2020-06-20T00:00:00"/>
    <x v="8"/>
    <x v="32"/>
    <x v="2"/>
    <x v="12"/>
    <s v="PC"/>
    <s v="51-2167412"/>
    <m/>
    <n v="202006"/>
    <n v="6"/>
    <x v="0"/>
    <x v="9"/>
    <n v="129022.02"/>
  </r>
  <r>
    <x v="2"/>
    <n v="41805.53"/>
    <n v="33352.449999999997"/>
    <d v="2019-03-23T00:00:00"/>
    <x v="5"/>
    <x v="73"/>
    <x v="2"/>
    <x v="29"/>
    <s v="Tablet"/>
    <s v="27-7169008"/>
    <m/>
    <n v="201903"/>
    <n v="3"/>
    <x v="1"/>
    <x v="10"/>
    <n v="-41805.53"/>
  </r>
  <r>
    <x v="1"/>
    <n v="145809.65"/>
    <n v="123136.25"/>
    <d v="2019-07-30T00:00:00"/>
    <x v="5"/>
    <x v="41"/>
    <x v="1"/>
    <x v="31"/>
    <s v="PC"/>
    <s v="96-5231814"/>
    <m/>
    <n v="201907"/>
    <n v="7"/>
    <x v="1"/>
    <x v="2"/>
    <n v="-145809.65"/>
  </r>
  <r>
    <x v="5"/>
    <n v="29443.71"/>
    <n v="23958.35"/>
    <d v="2020-10-29T00:00:00"/>
    <x v="5"/>
    <x v="4"/>
    <x v="5"/>
    <x v="21"/>
    <s v="PC"/>
    <s v="03-2027170"/>
    <m/>
    <n v="202010"/>
    <n v="10"/>
    <x v="0"/>
    <x v="11"/>
    <n v="29443.71"/>
  </r>
  <r>
    <x v="0"/>
    <n v="138443.23000000001"/>
    <n v="115101.7"/>
    <d v="2019-06-14T00:00:00"/>
    <x v="2"/>
    <x v="67"/>
    <x v="0"/>
    <x v="13"/>
    <s v="Mobile"/>
    <s v="99-9599677"/>
    <m/>
    <n v="201906"/>
    <n v="6"/>
    <x v="1"/>
    <x v="9"/>
    <n v="-138443.23000000001"/>
  </r>
  <r>
    <x v="4"/>
    <n v="102000.57"/>
    <n v="87261.49"/>
    <d v="2020-03-17T00:00:00"/>
    <x v="1"/>
    <x v="15"/>
    <x v="4"/>
    <x v="8"/>
    <s v="PC"/>
    <s v="22-0725785"/>
    <m/>
    <n v="202003"/>
    <n v="3"/>
    <x v="0"/>
    <x v="10"/>
    <n v="102000.57"/>
  </r>
  <r>
    <x v="2"/>
    <n v="53181.88"/>
    <n v="42316.82"/>
    <d v="2020-01-06T00:00:00"/>
    <x v="6"/>
    <x v="33"/>
    <x v="2"/>
    <x v="15"/>
    <s v="PC"/>
    <s v="37-6033123"/>
    <m/>
    <n v="202001"/>
    <n v="1"/>
    <x v="0"/>
    <x v="7"/>
    <n v="53181.88"/>
  </r>
  <r>
    <x v="2"/>
    <n v="99518.86"/>
    <n v="81854.259999999995"/>
    <d v="2019-03-12T00:00:00"/>
    <x v="0"/>
    <x v="46"/>
    <x v="2"/>
    <x v="12"/>
    <s v="PC"/>
    <s v="29-5158368"/>
    <m/>
    <n v="201903"/>
    <n v="3"/>
    <x v="1"/>
    <x v="10"/>
    <n v="-99518.86"/>
  </r>
  <r>
    <x v="2"/>
    <n v="79288.03"/>
    <n v="68536.570000000007"/>
    <d v="2019-07-08T00:00:00"/>
    <x v="2"/>
    <x v="4"/>
    <x v="2"/>
    <x v="15"/>
    <s v="PC"/>
    <s v="95-4281933"/>
    <m/>
    <n v="201907"/>
    <n v="7"/>
    <x v="1"/>
    <x v="2"/>
    <n v="-79288.03"/>
  </r>
  <r>
    <x v="5"/>
    <n v="111557.68"/>
    <n v="92470.16"/>
    <d v="2020-02-15T00:00:00"/>
    <x v="0"/>
    <x v="3"/>
    <x v="5"/>
    <x v="20"/>
    <s v="PC"/>
    <s v="61-0532585"/>
    <m/>
    <n v="202002"/>
    <n v="2"/>
    <x v="0"/>
    <x v="0"/>
    <n v="111557.68"/>
  </r>
  <r>
    <x v="6"/>
    <n v="43008.69"/>
    <n v="34458.559999999998"/>
    <d v="2019-07-19T00:00:00"/>
    <x v="5"/>
    <x v="68"/>
    <x v="6"/>
    <x v="14"/>
    <s v="PC"/>
    <s v="99-9093075"/>
    <m/>
    <n v="201907"/>
    <n v="7"/>
    <x v="1"/>
    <x v="2"/>
    <n v="-43008.69"/>
  </r>
  <r>
    <x v="5"/>
    <n v="154936.24"/>
    <n v="135739.64000000001"/>
    <d v="2020-06-29T00:00:00"/>
    <x v="0"/>
    <x v="21"/>
    <x v="5"/>
    <x v="21"/>
    <s v="PC"/>
    <s v="65-2631885"/>
    <m/>
    <n v="202006"/>
    <n v="6"/>
    <x v="0"/>
    <x v="9"/>
    <n v="154936.24"/>
  </r>
  <r>
    <x v="0"/>
    <n v="115339.49"/>
    <n v="100691.37"/>
    <d v="2019-09-03T00:00:00"/>
    <x v="7"/>
    <x v="5"/>
    <x v="0"/>
    <x v="0"/>
    <s v="Mobile"/>
    <s v="03-4651559"/>
    <m/>
    <n v="201909"/>
    <n v="9"/>
    <x v="1"/>
    <x v="1"/>
    <n v="-115339.49"/>
  </r>
  <r>
    <x v="5"/>
    <n v="65254.5"/>
    <n v="53919.79"/>
    <d v="2019-06-17T00:00:00"/>
    <x v="1"/>
    <x v="12"/>
    <x v="5"/>
    <x v="7"/>
    <s v="PC"/>
    <s v="91-6673445"/>
    <m/>
    <n v="201906"/>
    <n v="6"/>
    <x v="1"/>
    <x v="9"/>
    <n v="-65254.5"/>
  </r>
  <r>
    <x v="6"/>
    <n v="50241.47"/>
    <n v="43443.8"/>
    <d v="2020-10-17T00:00:00"/>
    <x v="0"/>
    <x v="26"/>
    <x v="6"/>
    <x v="14"/>
    <s v="Tablet"/>
    <s v="62-1501210"/>
    <m/>
    <n v="202010"/>
    <n v="10"/>
    <x v="0"/>
    <x v="11"/>
    <n v="50241.47"/>
  </r>
  <r>
    <x v="4"/>
    <n v="304337.49"/>
    <n v="261730.24"/>
    <d v="2019-12-04T00:00:00"/>
    <x v="2"/>
    <x v="31"/>
    <x v="4"/>
    <x v="8"/>
    <s v="PC"/>
    <s v="29-0072186"/>
    <m/>
    <n v="201912"/>
    <n v="12"/>
    <x v="1"/>
    <x v="4"/>
    <n v="-304337.49"/>
  </r>
  <r>
    <x v="8"/>
    <n v="95960.77"/>
    <n v="76519.12"/>
    <d v="2020-10-11T00:00:00"/>
    <x v="0"/>
    <x v="3"/>
    <x v="8"/>
    <x v="24"/>
    <s v="PC"/>
    <s v="06-5115020"/>
    <m/>
    <n v="202010"/>
    <n v="10"/>
    <x v="0"/>
    <x v="11"/>
    <n v="95960.77"/>
  </r>
  <r>
    <x v="0"/>
    <n v="152522.94"/>
    <n v="122399.66"/>
    <d v="2020-04-11T00:00:00"/>
    <x v="7"/>
    <x v="48"/>
    <x v="0"/>
    <x v="0"/>
    <s v="PC"/>
    <s v="22-6046651"/>
    <m/>
    <n v="202004"/>
    <n v="4"/>
    <x v="0"/>
    <x v="3"/>
    <n v="152522.94"/>
  </r>
  <r>
    <x v="0"/>
    <n v="63196.98"/>
    <n v="54671.71"/>
    <d v="2019-04-18T00:00:00"/>
    <x v="6"/>
    <x v="30"/>
    <x v="0"/>
    <x v="19"/>
    <s v="PC"/>
    <s v="71-6499815"/>
    <m/>
    <n v="201904"/>
    <n v="4"/>
    <x v="1"/>
    <x v="3"/>
    <n v="-63196.98"/>
  </r>
  <r>
    <x v="0"/>
    <n v="83119.87"/>
    <n v="69604.58"/>
    <d v="2019-01-29T00:00:00"/>
    <x v="2"/>
    <x v="41"/>
    <x v="0"/>
    <x v="13"/>
    <s v="PC"/>
    <s v="81-1454737"/>
    <m/>
    <n v="201901"/>
    <n v="1"/>
    <x v="1"/>
    <x v="7"/>
    <n v="-83119.87"/>
  </r>
  <r>
    <x v="5"/>
    <n v="75483.45"/>
    <n v="60077.279999999999"/>
    <d v="2019-12-03T00:00:00"/>
    <x v="5"/>
    <x v="4"/>
    <x v="5"/>
    <x v="21"/>
    <s v="PC"/>
    <s v="26-0092767"/>
    <m/>
    <n v="201912"/>
    <n v="12"/>
    <x v="1"/>
    <x v="4"/>
    <n v="-75483.45"/>
  </r>
  <r>
    <x v="11"/>
    <n v="65397.279999999999"/>
    <n v="53920.06"/>
    <d v="2020-03-20T00:00:00"/>
    <x v="7"/>
    <x v="66"/>
    <x v="11"/>
    <x v="26"/>
    <s v="Mobile"/>
    <s v="74-6211038"/>
    <m/>
    <n v="202003"/>
    <n v="3"/>
    <x v="0"/>
    <x v="10"/>
    <n v="65397.279999999999"/>
  </r>
  <r>
    <x v="5"/>
    <n v="48890.14"/>
    <n v="41180.160000000003"/>
    <d v="2019-05-20T00:00:00"/>
    <x v="2"/>
    <x v="4"/>
    <x v="5"/>
    <x v="21"/>
    <s v="PC"/>
    <s v="85-5544928"/>
    <m/>
    <n v="201905"/>
    <n v="5"/>
    <x v="1"/>
    <x v="6"/>
    <n v="-48890.14"/>
  </r>
  <r>
    <x v="5"/>
    <n v="80839.75"/>
    <n v="63936.160000000003"/>
    <d v="2020-05-21T00:00:00"/>
    <x v="1"/>
    <x v="0"/>
    <x v="5"/>
    <x v="20"/>
    <s v="PC"/>
    <s v="00-6227453"/>
    <m/>
    <n v="202005"/>
    <n v="5"/>
    <x v="0"/>
    <x v="6"/>
    <n v="80839.75"/>
  </r>
  <r>
    <x v="11"/>
    <n v="79375.17"/>
    <n v="64532.01"/>
    <d v="2020-02-09T00:00:00"/>
    <x v="3"/>
    <x v="3"/>
    <x v="11"/>
    <x v="26"/>
    <s v="Mobile"/>
    <s v="70-5224180"/>
    <m/>
    <n v="202002"/>
    <n v="2"/>
    <x v="0"/>
    <x v="0"/>
    <n v="79375.17"/>
  </r>
  <r>
    <x v="8"/>
    <n v="158011.29999999999"/>
    <n v="137390.82999999999"/>
    <d v="2019-11-27T00:00:00"/>
    <x v="3"/>
    <x v="16"/>
    <x v="8"/>
    <x v="24"/>
    <s v="PC"/>
    <s v="40-8287610"/>
    <m/>
    <n v="201911"/>
    <n v="11"/>
    <x v="1"/>
    <x v="8"/>
    <n v="-158011.29999999999"/>
  </r>
  <r>
    <x v="2"/>
    <n v="155766.23000000001"/>
    <n v="131529"/>
    <d v="2020-05-27T00:00:00"/>
    <x v="1"/>
    <x v="56"/>
    <x v="2"/>
    <x v="3"/>
    <s v="PC"/>
    <s v="49-7876403"/>
    <m/>
    <n v="202005"/>
    <n v="5"/>
    <x v="0"/>
    <x v="6"/>
    <n v="155766.23000000001"/>
  </r>
  <r>
    <x v="5"/>
    <n v="19366.75"/>
    <n v="15857.49"/>
    <d v="2020-03-28T00:00:00"/>
    <x v="1"/>
    <x v="10"/>
    <x v="5"/>
    <x v="23"/>
    <s v="PC"/>
    <s v="01-6107437"/>
    <m/>
    <n v="202003"/>
    <n v="3"/>
    <x v="0"/>
    <x v="10"/>
    <n v="19366.75"/>
  </r>
  <r>
    <x v="5"/>
    <n v="45481.24"/>
    <n v="37317.360000000001"/>
    <d v="2019-10-25T00:00:00"/>
    <x v="6"/>
    <x v="25"/>
    <x v="5"/>
    <x v="20"/>
    <s v="PC"/>
    <s v="13-6163562"/>
    <m/>
    <n v="201910"/>
    <n v="10"/>
    <x v="1"/>
    <x v="11"/>
    <n v="-45481.24"/>
  </r>
  <r>
    <x v="0"/>
    <n v="152747.92000000001"/>
    <n v="130614.75"/>
    <d v="2020-05-03T00:00:00"/>
    <x v="5"/>
    <x v="17"/>
    <x v="0"/>
    <x v="9"/>
    <s v="PC"/>
    <s v="41-0722740"/>
    <m/>
    <n v="202005"/>
    <n v="5"/>
    <x v="0"/>
    <x v="6"/>
    <n v="152747.92000000001"/>
  </r>
  <r>
    <x v="0"/>
    <n v="255216"/>
    <n v="211446.46"/>
    <d v="2019-12-28T00:00:00"/>
    <x v="2"/>
    <x v="16"/>
    <x v="0"/>
    <x v="25"/>
    <s v="PC"/>
    <s v="65-4008552"/>
    <m/>
    <n v="201912"/>
    <n v="12"/>
    <x v="1"/>
    <x v="4"/>
    <n v="-255216"/>
  </r>
  <r>
    <x v="2"/>
    <n v="154858"/>
    <n v="135376.85999999999"/>
    <d v="2020-07-22T00:00:00"/>
    <x v="1"/>
    <x v="46"/>
    <x v="2"/>
    <x v="2"/>
    <s v="PC"/>
    <s v="72-4825752"/>
    <m/>
    <n v="202007"/>
    <n v="7"/>
    <x v="0"/>
    <x v="2"/>
    <n v="154858"/>
  </r>
  <r>
    <x v="5"/>
    <n v="250488.42"/>
    <n v="214142.55"/>
    <d v="2020-06-13T00:00:00"/>
    <x v="5"/>
    <x v="0"/>
    <x v="5"/>
    <x v="10"/>
    <s v="PC"/>
    <s v="18-2580592"/>
    <m/>
    <n v="202006"/>
    <n v="6"/>
    <x v="0"/>
    <x v="9"/>
    <n v="250488.42"/>
  </r>
  <r>
    <x v="0"/>
    <n v="115151.22"/>
    <n v="91430.07"/>
    <d v="2020-10-25T00:00:00"/>
    <x v="5"/>
    <x v="5"/>
    <x v="0"/>
    <x v="0"/>
    <s v="PC"/>
    <s v="14-1283254"/>
    <m/>
    <n v="202010"/>
    <n v="10"/>
    <x v="0"/>
    <x v="11"/>
    <n v="115151.22"/>
  </r>
  <r>
    <x v="0"/>
    <n v="57347.48"/>
    <n v="50041.41"/>
    <d v="2020-08-12T00:00:00"/>
    <x v="3"/>
    <x v="4"/>
    <x v="0"/>
    <x v="0"/>
    <s v="PC"/>
    <s v="79-4826735"/>
    <m/>
    <n v="202008"/>
    <n v="8"/>
    <x v="0"/>
    <x v="5"/>
    <n v="57347.48"/>
  </r>
  <r>
    <x v="2"/>
    <n v="74790.02"/>
    <n v="64992.53"/>
    <d v="2020-06-19T00:00:00"/>
    <x v="3"/>
    <x v="51"/>
    <x v="2"/>
    <x v="12"/>
    <s v="PC"/>
    <s v="82-2840501"/>
    <m/>
    <n v="202006"/>
    <n v="6"/>
    <x v="0"/>
    <x v="9"/>
    <n v="74790.02"/>
  </r>
  <r>
    <x v="5"/>
    <n v="72749.070000000007"/>
    <n v="59108.62"/>
    <d v="2019-01-20T00:00:00"/>
    <x v="6"/>
    <x v="4"/>
    <x v="5"/>
    <x v="10"/>
    <s v="PC"/>
    <s v="19-0320558"/>
    <m/>
    <n v="201901"/>
    <n v="1"/>
    <x v="1"/>
    <x v="7"/>
    <n v="-72749.070000000007"/>
  </r>
  <r>
    <x v="8"/>
    <n v="128235.65"/>
    <n v="103024.52"/>
    <d v="2020-09-20T00:00:00"/>
    <x v="0"/>
    <x v="46"/>
    <x v="8"/>
    <x v="17"/>
    <s v="PC"/>
    <s v="57-0945292"/>
    <m/>
    <n v="202009"/>
    <n v="9"/>
    <x v="0"/>
    <x v="1"/>
    <n v="128235.65"/>
  </r>
  <r>
    <x v="0"/>
    <n v="79088.7"/>
    <n v="67415.210000000006"/>
    <d v="2020-05-24T00:00:00"/>
    <x v="3"/>
    <x v="40"/>
    <x v="0"/>
    <x v="25"/>
    <s v="PC"/>
    <s v="01-6573793"/>
    <m/>
    <n v="202005"/>
    <n v="5"/>
    <x v="0"/>
    <x v="6"/>
    <n v="79088.7"/>
  </r>
  <r>
    <x v="4"/>
    <n v="124537.47"/>
    <n v="105881.76"/>
    <d v="2019-09-24T00:00:00"/>
    <x v="2"/>
    <x v="1"/>
    <x v="4"/>
    <x v="6"/>
    <s v="PC"/>
    <s v="63-0694419"/>
    <m/>
    <n v="201909"/>
    <n v="9"/>
    <x v="1"/>
    <x v="1"/>
    <n v="-124537.47"/>
  </r>
  <r>
    <x v="0"/>
    <n v="161192.45000000001"/>
    <n v="135965.82999999999"/>
    <d v="2019-07-04T00:00:00"/>
    <x v="2"/>
    <x v="10"/>
    <x v="0"/>
    <x v="25"/>
    <s v="PC"/>
    <s v="24-2442637"/>
    <m/>
    <n v="201907"/>
    <n v="7"/>
    <x v="1"/>
    <x v="2"/>
    <n v="-161192.45000000001"/>
  </r>
  <r>
    <x v="5"/>
    <n v="109697.86"/>
    <n v="89853.52"/>
    <d v="2019-07-24T00:00:00"/>
    <x v="3"/>
    <x v="19"/>
    <x v="5"/>
    <x v="20"/>
    <s v="PC"/>
    <s v="04-8899739"/>
    <m/>
    <n v="201907"/>
    <n v="7"/>
    <x v="1"/>
    <x v="2"/>
    <n v="-109697.86"/>
  </r>
  <r>
    <x v="5"/>
    <n v="57276.26"/>
    <n v="49223.22"/>
    <d v="2020-04-04T00:00:00"/>
    <x v="5"/>
    <x v="4"/>
    <x v="5"/>
    <x v="10"/>
    <s v="PC"/>
    <s v="48-2932903"/>
    <m/>
    <n v="202004"/>
    <n v="4"/>
    <x v="0"/>
    <x v="3"/>
    <n v="57276.26"/>
  </r>
  <r>
    <x v="6"/>
    <n v="149956.93"/>
    <n v="130087.64"/>
    <d v="2020-10-08T00:00:00"/>
    <x v="1"/>
    <x v="30"/>
    <x v="6"/>
    <x v="14"/>
    <s v="PC"/>
    <s v="66-0265458"/>
    <m/>
    <n v="202010"/>
    <n v="10"/>
    <x v="0"/>
    <x v="11"/>
    <n v="149956.93"/>
  </r>
  <r>
    <x v="10"/>
    <n v="127075.41"/>
    <n v="110924.13"/>
    <d v="2019-09-24T00:00:00"/>
    <x v="2"/>
    <x v="24"/>
    <x v="10"/>
    <x v="22"/>
    <s v="PC"/>
    <s v="57-6602854"/>
    <m/>
    <n v="201909"/>
    <n v="9"/>
    <x v="1"/>
    <x v="1"/>
    <n v="-127075.41"/>
  </r>
  <r>
    <x v="0"/>
    <n v="28755.32"/>
    <n v="23938.799999999999"/>
    <d v="2019-10-10T00:00:00"/>
    <x v="0"/>
    <x v="18"/>
    <x v="0"/>
    <x v="0"/>
    <s v="PC"/>
    <s v="47-6702070"/>
    <m/>
    <n v="201910"/>
    <n v="10"/>
    <x v="1"/>
    <x v="11"/>
    <n v="-28755.32"/>
  </r>
  <r>
    <x v="2"/>
    <n v="178027.46"/>
    <n v="144985.56"/>
    <d v="2020-01-04T00:00:00"/>
    <x v="5"/>
    <x v="10"/>
    <x v="2"/>
    <x v="12"/>
    <s v="PC"/>
    <s v="99-9215178"/>
    <m/>
    <n v="202001"/>
    <n v="1"/>
    <x v="0"/>
    <x v="7"/>
    <n v="178027.46"/>
  </r>
  <r>
    <x v="8"/>
    <n v="152231.85999999999"/>
    <n v="122303.08"/>
    <d v="2019-05-08T00:00:00"/>
    <x v="6"/>
    <x v="37"/>
    <x v="8"/>
    <x v="17"/>
    <s v="PC"/>
    <s v="39-5953116"/>
    <m/>
    <n v="201905"/>
    <n v="5"/>
    <x v="1"/>
    <x v="6"/>
    <n v="-152231.85999999999"/>
  </r>
  <r>
    <x v="0"/>
    <n v="53957.42"/>
    <n v="46905.19"/>
    <d v="2019-05-25T00:00:00"/>
    <x v="6"/>
    <x v="4"/>
    <x v="0"/>
    <x v="19"/>
    <s v="PC"/>
    <s v="71-3278650"/>
    <m/>
    <n v="201905"/>
    <n v="5"/>
    <x v="1"/>
    <x v="6"/>
    <n v="-53957.42"/>
  </r>
  <r>
    <x v="2"/>
    <n v="80474.78"/>
    <n v="66568.740000000005"/>
    <d v="2019-05-22T00:00:00"/>
    <x v="2"/>
    <x v="5"/>
    <x v="2"/>
    <x v="15"/>
    <s v="PC"/>
    <s v="38-6891011"/>
    <m/>
    <n v="201905"/>
    <n v="5"/>
    <x v="1"/>
    <x v="6"/>
    <n v="-80474.78"/>
  </r>
  <r>
    <x v="8"/>
    <n v="145439.65"/>
    <n v="123710.97"/>
    <d v="2020-10-03T00:00:00"/>
    <x v="6"/>
    <x v="61"/>
    <x v="8"/>
    <x v="24"/>
    <s v="PC"/>
    <s v="06-5566367"/>
    <m/>
    <n v="202010"/>
    <n v="10"/>
    <x v="0"/>
    <x v="11"/>
    <n v="145439.65"/>
  </r>
  <r>
    <x v="5"/>
    <n v="84035.82"/>
    <n v="71329.600000000006"/>
    <d v="2020-10-27T00:00:00"/>
    <x v="0"/>
    <x v="4"/>
    <x v="5"/>
    <x v="7"/>
    <s v="Tablet"/>
    <s v="30-9025281"/>
    <m/>
    <n v="202010"/>
    <n v="10"/>
    <x v="0"/>
    <x v="11"/>
    <n v="84035.82"/>
  </r>
  <r>
    <x v="3"/>
    <n v="68288.679999999993"/>
    <n v="56754.720000000001"/>
    <d v="2020-09-27T00:00:00"/>
    <x v="3"/>
    <x v="4"/>
    <x v="3"/>
    <x v="4"/>
    <s v="PC"/>
    <s v="80-4161102"/>
    <m/>
    <n v="202009"/>
    <n v="9"/>
    <x v="0"/>
    <x v="1"/>
    <n v="68288.679999999993"/>
  </r>
  <r>
    <x v="0"/>
    <n v="100578.6"/>
    <n v="83208.679999999993"/>
    <d v="2019-01-14T00:00:00"/>
    <x v="8"/>
    <x v="24"/>
    <x v="0"/>
    <x v="19"/>
    <s v="PC"/>
    <s v="96-1388247"/>
    <m/>
    <n v="201901"/>
    <n v="1"/>
    <x v="1"/>
    <x v="7"/>
    <n v="-100578.6"/>
  </r>
  <r>
    <x v="5"/>
    <n v="94925"/>
    <n v="77572.710000000006"/>
    <d v="2019-09-30T00:00:00"/>
    <x v="4"/>
    <x v="6"/>
    <x v="5"/>
    <x v="23"/>
    <s v="Mobile"/>
    <s v="21-2097342"/>
    <m/>
    <n v="201909"/>
    <n v="9"/>
    <x v="1"/>
    <x v="1"/>
    <n v="-94925"/>
  </r>
  <r>
    <x v="5"/>
    <n v="105464.41"/>
    <n v="84761.75"/>
    <d v="2019-08-27T00:00:00"/>
    <x v="0"/>
    <x v="26"/>
    <x v="5"/>
    <x v="23"/>
    <s v="PC"/>
    <s v="30-4045249"/>
    <m/>
    <n v="201908"/>
    <n v="8"/>
    <x v="1"/>
    <x v="5"/>
    <n v="-105464.41"/>
  </r>
  <r>
    <x v="5"/>
    <n v="155827.29999999999"/>
    <n v="126360.36"/>
    <d v="2019-04-30T00:00:00"/>
    <x v="5"/>
    <x v="1"/>
    <x v="5"/>
    <x v="23"/>
    <s v="Tablet"/>
    <s v="31-9806848"/>
    <m/>
    <n v="201904"/>
    <n v="4"/>
    <x v="1"/>
    <x v="3"/>
    <n v="-155827.29999999999"/>
  </r>
  <r>
    <x v="2"/>
    <n v="90994.31"/>
    <n v="72540.66"/>
    <d v="2020-05-09T00:00:00"/>
    <x v="8"/>
    <x v="38"/>
    <x v="2"/>
    <x v="29"/>
    <s v="PC"/>
    <s v="09-7835975"/>
    <m/>
    <n v="202005"/>
    <n v="5"/>
    <x v="0"/>
    <x v="6"/>
    <n v="90994.31"/>
  </r>
  <r>
    <x v="2"/>
    <n v="32779.67"/>
    <n v="26800.66"/>
    <d v="2020-03-22T00:00:00"/>
    <x v="7"/>
    <x v="49"/>
    <x v="2"/>
    <x v="3"/>
    <s v="PC"/>
    <s v="16-9758497"/>
    <m/>
    <n v="202003"/>
    <n v="3"/>
    <x v="0"/>
    <x v="10"/>
    <n v="32779.67"/>
  </r>
  <r>
    <x v="8"/>
    <n v="40187.99"/>
    <n v="32508.07"/>
    <d v="2020-05-22T00:00:00"/>
    <x v="1"/>
    <x v="21"/>
    <x v="8"/>
    <x v="17"/>
    <s v="PC"/>
    <s v="54-1058965"/>
    <m/>
    <n v="202005"/>
    <n v="5"/>
    <x v="0"/>
    <x v="6"/>
    <n v="40187.99"/>
  </r>
  <r>
    <x v="4"/>
    <n v="91842.59"/>
    <n v="73979.210000000006"/>
    <d v="2019-03-29T00:00:00"/>
    <x v="1"/>
    <x v="55"/>
    <x v="4"/>
    <x v="8"/>
    <s v="PC"/>
    <s v="84-0565956"/>
    <m/>
    <n v="201903"/>
    <n v="3"/>
    <x v="1"/>
    <x v="10"/>
    <n v="-91842.59"/>
  </r>
  <r>
    <x v="2"/>
    <n v="38494.71"/>
    <n v="33113.15"/>
    <d v="2019-02-04T00:00:00"/>
    <x v="1"/>
    <x v="10"/>
    <x v="2"/>
    <x v="15"/>
    <s v="PC"/>
    <s v="85-6263705"/>
    <m/>
    <n v="201902"/>
    <n v="2"/>
    <x v="1"/>
    <x v="0"/>
    <n v="-38494.71"/>
  </r>
  <r>
    <x v="5"/>
    <n v="86050.61"/>
    <n v="75569.649999999994"/>
    <d v="2020-09-03T00:00:00"/>
    <x v="2"/>
    <x v="47"/>
    <x v="5"/>
    <x v="20"/>
    <s v="PC"/>
    <s v="46-4560578"/>
    <m/>
    <n v="202009"/>
    <n v="9"/>
    <x v="0"/>
    <x v="1"/>
    <n v="86050.61"/>
  </r>
  <r>
    <x v="0"/>
    <n v="36749.51"/>
    <n v="30101.52"/>
    <d v="2020-10-15T00:00:00"/>
    <x v="1"/>
    <x v="1"/>
    <x v="0"/>
    <x v="0"/>
    <s v="PC"/>
    <s v="08-5093310"/>
    <m/>
    <n v="202010"/>
    <n v="10"/>
    <x v="0"/>
    <x v="11"/>
    <n v="36749.51"/>
  </r>
  <r>
    <x v="1"/>
    <n v="194531.02"/>
    <n v="158970.75"/>
    <d v="2019-07-09T00:00:00"/>
    <x v="2"/>
    <x v="5"/>
    <x v="1"/>
    <x v="31"/>
    <s v="Tablet"/>
    <s v="21-8525376"/>
    <m/>
    <n v="201907"/>
    <n v="7"/>
    <x v="1"/>
    <x v="2"/>
    <n v="-194531.02"/>
  </r>
  <r>
    <x v="5"/>
    <n v="106730.16"/>
    <n v="89503.91"/>
    <d v="2020-07-30T00:00:00"/>
    <x v="3"/>
    <x v="5"/>
    <x v="5"/>
    <x v="21"/>
    <s v="PC"/>
    <s v="60-0406937"/>
    <m/>
    <n v="202007"/>
    <n v="7"/>
    <x v="0"/>
    <x v="2"/>
    <n v="106730.16"/>
  </r>
  <r>
    <x v="12"/>
    <n v="30177.8"/>
    <n v="23924.959999999999"/>
    <d v="2020-10-06T00:00:00"/>
    <x v="8"/>
    <x v="36"/>
    <x v="12"/>
    <x v="28"/>
    <s v="Mobile"/>
    <s v="61-4937643"/>
    <m/>
    <n v="202010"/>
    <n v="10"/>
    <x v="0"/>
    <x v="11"/>
    <n v="30177.8"/>
  </r>
  <r>
    <x v="2"/>
    <n v="93902.04"/>
    <n v="80793.31"/>
    <d v="2020-03-01T00:00:00"/>
    <x v="2"/>
    <x v="11"/>
    <x v="2"/>
    <x v="3"/>
    <s v="PC"/>
    <s v="94-3251589"/>
    <m/>
    <n v="202003"/>
    <n v="3"/>
    <x v="0"/>
    <x v="10"/>
    <n v="93902.04"/>
  </r>
  <r>
    <x v="12"/>
    <n v="250483.63"/>
    <n v="217269.5"/>
    <d v="2020-07-03T00:00:00"/>
    <x v="4"/>
    <x v="19"/>
    <x v="12"/>
    <x v="28"/>
    <s v="Mobile"/>
    <s v="48-2124998"/>
    <m/>
    <n v="202007"/>
    <n v="7"/>
    <x v="0"/>
    <x v="2"/>
    <n v="250483.63"/>
  </r>
  <r>
    <x v="0"/>
    <n v="162142.74"/>
    <n v="136037.76000000001"/>
    <d v="2019-01-29T00:00:00"/>
    <x v="2"/>
    <x v="20"/>
    <x v="0"/>
    <x v="13"/>
    <s v="PC"/>
    <s v="19-1017922"/>
    <m/>
    <n v="201901"/>
    <n v="1"/>
    <x v="1"/>
    <x v="7"/>
    <n v="-162142.74"/>
  </r>
  <r>
    <x v="13"/>
    <n v="47516.54"/>
    <n v="38987.32"/>
    <d v="2020-01-09T00:00:00"/>
    <x v="0"/>
    <x v="4"/>
    <x v="13"/>
    <x v="34"/>
    <s v="PC"/>
    <s v="51-1141675"/>
    <m/>
    <n v="202001"/>
    <n v="1"/>
    <x v="0"/>
    <x v="7"/>
    <n v="47516.54"/>
  </r>
  <r>
    <x v="12"/>
    <n v="163546.81"/>
    <n v="133307"/>
    <d v="2019-05-07T00:00:00"/>
    <x v="8"/>
    <x v="52"/>
    <x v="12"/>
    <x v="28"/>
    <s v="PC"/>
    <s v="94-2134593"/>
    <m/>
    <n v="201905"/>
    <n v="5"/>
    <x v="1"/>
    <x v="6"/>
    <n v="-163546.81"/>
  </r>
  <r>
    <x v="5"/>
    <n v="35437.89"/>
    <n v="30412.799999999999"/>
    <d v="2020-02-03T00:00:00"/>
    <x v="2"/>
    <x v="60"/>
    <x v="5"/>
    <x v="21"/>
    <s v="PC"/>
    <s v="82-0616982"/>
    <m/>
    <n v="202002"/>
    <n v="2"/>
    <x v="0"/>
    <x v="0"/>
    <n v="35437.89"/>
  </r>
  <r>
    <x v="7"/>
    <n v="122889.28"/>
    <n v="103042.66"/>
    <d v="2020-11-27T00:00:00"/>
    <x v="6"/>
    <x v="24"/>
    <x v="7"/>
    <x v="16"/>
    <s v="PC"/>
    <s v="22-5761330"/>
    <m/>
    <n v="202011"/>
    <n v="11"/>
    <x v="0"/>
    <x v="8"/>
    <n v="122889.28"/>
  </r>
  <r>
    <x v="9"/>
    <n v="26490.47"/>
    <n v="21168.53"/>
    <d v="2019-11-04T00:00:00"/>
    <x v="5"/>
    <x v="3"/>
    <x v="9"/>
    <x v="18"/>
    <s v="PC"/>
    <s v="62-1694462"/>
    <m/>
    <n v="201911"/>
    <n v="11"/>
    <x v="1"/>
    <x v="8"/>
    <n v="-26490.47"/>
  </r>
  <r>
    <x v="4"/>
    <n v="173722.59"/>
    <n v="148063.76"/>
    <d v="2019-04-09T00:00:00"/>
    <x v="1"/>
    <x v="50"/>
    <x v="4"/>
    <x v="11"/>
    <s v="PC"/>
    <s v="66-2612057"/>
    <m/>
    <n v="201904"/>
    <n v="4"/>
    <x v="1"/>
    <x v="3"/>
    <n v="-173722.59"/>
  </r>
  <r>
    <x v="5"/>
    <n v="76543.360000000001"/>
    <n v="65819.64"/>
    <d v="2019-03-21T00:00:00"/>
    <x v="4"/>
    <x v="7"/>
    <x v="5"/>
    <x v="21"/>
    <s v="PC"/>
    <s v="01-7655863"/>
    <m/>
    <n v="201903"/>
    <n v="3"/>
    <x v="1"/>
    <x v="10"/>
    <n v="-76543.360000000001"/>
  </r>
  <r>
    <x v="0"/>
    <n v="69626.39"/>
    <n v="57295.56"/>
    <d v="2019-06-15T00:00:00"/>
    <x v="8"/>
    <x v="27"/>
    <x v="0"/>
    <x v="0"/>
    <s v="PC"/>
    <s v="06-2196763"/>
    <m/>
    <n v="201906"/>
    <n v="6"/>
    <x v="1"/>
    <x v="9"/>
    <n v="-69626.39"/>
  </r>
  <r>
    <x v="5"/>
    <n v="249915.21"/>
    <n v="215326.95"/>
    <d v="2020-12-15T00:00:00"/>
    <x v="5"/>
    <x v="17"/>
    <x v="5"/>
    <x v="20"/>
    <s v="PC"/>
    <s v="84-4465649"/>
    <m/>
    <n v="202012"/>
    <n v="12"/>
    <x v="0"/>
    <x v="4"/>
    <n v="249915.21"/>
  </r>
  <r>
    <x v="2"/>
    <n v="55790.71"/>
    <n v="48783.4"/>
    <d v="2020-10-08T00:00:00"/>
    <x v="5"/>
    <x v="4"/>
    <x v="2"/>
    <x v="12"/>
    <s v="PC"/>
    <s v="63-6767584"/>
    <m/>
    <n v="202010"/>
    <n v="10"/>
    <x v="0"/>
    <x v="11"/>
    <n v="55790.71"/>
  </r>
  <r>
    <x v="6"/>
    <n v="77896.83"/>
    <n v="62714.74"/>
    <d v="2020-03-13T00:00:00"/>
    <x v="2"/>
    <x v="23"/>
    <x v="6"/>
    <x v="14"/>
    <s v="PC"/>
    <s v="75-7443241"/>
    <m/>
    <n v="202003"/>
    <n v="3"/>
    <x v="0"/>
    <x v="10"/>
    <n v="77896.83"/>
  </r>
  <r>
    <x v="2"/>
    <n v="104391.93"/>
    <n v="86770.57"/>
    <d v="2020-01-04T00:00:00"/>
    <x v="3"/>
    <x v="18"/>
    <x v="2"/>
    <x v="29"/>
    <s v="PC"/>
    <s v="34-8182639"/>
    <m/>
    <n v="202001"/>
    <n v="1"/>
    <x v="0"/>
    <x v="7"/>
    <n v="104391.93"/>
  </r>
  <r>
    <x v="2"/>
    <n v="57115.99"/>
    <n v="48976.959999999999"/>
    <d v="2019-03-27T00:00:00"/>
    <x v="0"/>
    <x v="74"/>
    <x v="2"/>
    <x v="3"/>
    <s v="Mobile"/>
    <s v="53-3803984"/>
    <m/>
    <n v="201903"/>
    <n v="3"/>
    <x v="1"/>
    <x v="10"/>
    <n v="-57115.99"/>
  </r>
  <r>
    <x v="5"/>
    <n v="74685.850000000006"/>
    <n v="59166.13"/>
    <d v="2020-05-23T00:00:00"/>
    <x v="1"/>
    <x v="44"/>
    <x v="5"/>
    <x v="23"/>
    <s v="PC"/>
    <s v="68-0176456"/>
    <m/>
    <n v="202005"/>
    <n v="5"/>
    <x v="0"/>
    <x v="6"/>
    <n v="74685.850000000006"/>
  </r>
  <r>
    <x v="5"/>
    <n v="74103.820000000007"/>
    <n v="64811.199999999997"/>
    <d v="2020-01-02T00:00:00"/>
    <x v="5"/>
    <x v="4"/>
    <x v="5"/>
    <x v="21"/>
    <s v="PC"/>
    <s v="63-7370049"/>
    <m/>
    <n v="202001"/>
    <n v="1"/>
    <x v="0"/>
    <x v="7"/>
    <n v="74103.820000000007"/>
  </r>
  <r>
    <x v="5"/>
    <n v="176190.16"/>
    <n v="142273.54999999999"/>
    <d v="2019-09-02T00:00:00"/>
    <x v="5"/>
    <x v="4"/>
    <x v="5"/>
    <x v="7"/>
    <s v="PC"/>
    <s v="03-3461826"/>
    <m/>
    <n v="201909"/>
    <n v="9"/>
    <x v="1"/>
    <x v="1"/>
    <n v="-176190.16"/>
  </r>
  <r>
    <x v="0"/>
    <n v="185778.3"/>
    <n v="154734.75"/>
    <d v="2020-06-25T00:00:00"/>
    <x v="8"/>
    <x v="16"/>
    <x v="0"/>
    <x v="25"/>
    <s v="PC"/>
    <s v="76-5888381"/>
    <m/>
    <n v="202006"/>
    <n v="6"/>
    <x v="0"/>
    <x v="9"/>
    <n v="185778.3"/>
  </r>
  <r>
    <x v="5"/>
    <n v="212521.26"/>
    <n v="172014.71"/>
    <d v="2019-06-20T00:00:00"/>
    <x v="0"/>
    <x v="4"/>
    <x v="5"/>
    <x v="20"/>
    <s v="PC"/>
    <s v="43-7357498"/>
    <m/>
    <n v="201906"/>
    <n v="6"/>
    <x v="1"/>
    <x v="9"/>
    <n v="-212521.26"/>
  </r>
  <r>
    <x v="5"/>
    <n v="40148.49"/>
    <n v="31954.18"/>
    <d v="2019-02-02T00:00:00"/>
    <x v="8"/>
    <x v="48"/>
    <x v="5"/>
    <x v="10"/>
    <s v="PC"/>
    <s v="88-8981595"/>
    <m/>
    <n v="201902"/>
    <n v="2"/>
    <x v="1"/>
    <x v="0"/>
    <n v="-40148.49"/>
  </r>
  <r>
    <x v="2"/>
    <n v="157942.65"/>
    <n v="136620.39000000001"/>
    <d v="2020-06-23T00:00:00"/>
    <x v="8"/>
    <x v="3"/>
    <x v="2"/>
    <x v="29"/>
    <s v="PC"/>
    <s v="95-6123269"/>
    <m/>
    <n v="202006"/>
    <n v="6"/>
    <x v="0"/>
    <x v="9"/>
    <n v="157942.65"/>
  </r>
  <r>
    <x v="6"/>
    <n v="172453.1"/>
    <n v="145688.38"/>
    <d v="2020-06-24T00:00:00"/>
    <x v="7"/>
    <x v="20"/>
    <x v="6"/>
    <x v="14"/>
    <s v="PC"/>
    <s v="60-6986682"/>
    <m/>
    <n v="202006"/>
    <n v="6"/>
    <x v="0"/>
    <x v="9"/>
    <n v="172453.1"/>
  </r>
  <r>
    <x v="5"/>
    <n v="203604.46"/>
    <n v="175344.16"/>
    <d v="2019-06-26T00:00:00"/>
    <x v="8"/>
    <x v="20"/>
    <x v="5"/>
    <x v="20"/>
    <s v="Mobile"/>
    <s v="29-5478106"/>
    <m/>
    <n v="201906"/>
    <n v="6"/>
    <x v="1"/>
    <x v="9"/>
    <n v="-203604.46"/>
  </r>
  <r>
    <x v="0"/>
    <n v="251587.20000000001"/>
    <n v="201848.41"/>
    <d v="2019-06-14T00:00:00"/>
    <x v="6"/>
    <x v="50"/>
    <x v="0"/>
    <x v="13"/>
    <s v="Mobile"/>
    <s v="49-2256360"/>
    <m/>
    <n v="201906"/>
    <n v="6"/>
    <x v="1"/>
    <x v="9"/>
    <n v="-251587.20000000001"/>
  </r>
  <r>
    <x v="0"/>
    <n v="19930.04"/>
    <n v="16543.93"/>
    <d v="2019-03-09T00:00:00"/>
    <x v="6"/>
    <x v="4"/>
    <x v="0"/>
    <x v="9"/>
    <s v="Tablet"/>
    <s v="59-2480731"/>
    <m/>
    <n v="201903"/>
    <n v="3"/>
    <x v="1"/>
    <x v="10"/>
    <n v="-19930.04"/>
  </r>
  <r>
    <x v="8"/>
    <n v="149372.32"/>
    <n v="130611.16"/>
    <d v="2020-12-20T00:00:00"/>
    <x v="8"/>
    <x v="73"/>
    <x v="8"/>
    <x v="17"/>
    <s v="Mobile"/>
    <s v="63-6848448"/>
    <m/>
    <n v="202012"/>
    <n v="12"/>
    <x v="0"/>
    <x v="4"/>
    <n v="149372.32"/>
  </r>
  <r>
    <x v="0"/>
    <n v="25907.52"/>
    <n v="22454.05"/>
    <d v="2019-02-19T00:00:00"/>
    <x v="0"/>
    <x v="5"/>
    <x v="0"/>
    <x v="13"/>
    <s v="PC"/>
    <s v="14-5110197"/>
    <m/>
    <n v="201902"/>
    <n v="2"/>
    <x v="1"/>
    <x v="0"/>
    <n v="-25907.52"/>
  </r>
  <r>
    <x v="2"/>
    <n v="64762.89"/>
    <n v="54238.92"/>
    <d v="2019-02-06T00:00:00"/>
    <x v="8"/>
    <x v="6"/>
    <x v="2"/>
    <x v="15"/>
    <s v="PC"/>
    <s v="42-2646312"/>
    <m/>
    <n v="201902"/>
    <n v="2"/>
    <x v="1"/>
    <x v="0"/>
    <n v="-64762.89"/>
  </r>
  <r>
    <x v="1"/>
    <n v="65211.07"/>
    <n v="56883.62"/>
    <d v="2020-10-28T00:00:00"/>
    <x v="1"/>
    <x v="1"/>
    <x v="1"/>
    <x v="31"/>
    <s v="PC"/>
    <s v="60-8083173"/>
    <m/>
    <n v="202010"/>
    <n v="10"/>
    <x v="0"/>
    <x v="11"/>
    <n v="65211.07"/>
  </r>
  <r>
    <x v="3"/>
    <n v="42475.6"/>
    <n v="35802.68"/>
    <d v="2019-02-13T00:00:00"/>
    <x v="0"/>
    <x v="4"/>
    <x v="3"/>
    <x v="5"/>
    <s v="PC"/>
    <s v="76-1827989"/>
    <m/>
    <n v="201902"/>
    <n v="2"/>
    <x v="1"/>
    <x v="0"/>
    <n v="-42475.6"/>
  </r>
  <r>
    <x v="2"/>
    <n v="172340.86"/>
    <n v="136562.9"/>
    <d v="2020-04-09T00:00:00"/>
    <x v="3"/>
    <x v="54"/>
    <x v="2"/>
    <x v="15"/>
    <s v="PC"/>
    <s v="36-4321653"/>
    <m/>
    <n v="202004"/>
    <n v="4"/>
    <x v="0"/>
    <x v="3"/>
    <n v="172340.86"/>
  </r>
  <r>
    <x v="11"/>
    <n v="165709.19"/>
    <n v="138102.04"/>
    <d v="2020-10-09T00:00:00"/>
    <x v="6"/>
    <x v="19"/>
    <x v="11"/>
    <x v="26"/>
    <s v="PC"/>
    <s v="18-7046062"/>
    <m/>
    <n v="202010"/>
    <n v="10"/>
    <x v="0"/>
    <x v="11"/>
    <n v="165709.19"/>
  </r>
  <r>
    <x v="10"/>
    <n v="118409.59"/>
    <n v="96030.18"/>
    <d v="2020-10-06T00:00:00"/>
    <x v="1"/>
    <x v="39"/>
    <x v="10"/>
    <x v="22"/>
    <s v="PC"/>
    <s v="73-4380400"/>
    <m/>
    <n v="202010"/>
    <n v="10"/>
    <x v="0"/>
    <x v="11"/>
    <n v="118409.59"/>
  </r>
  <r>
    <x v="5"/>
    <n v="58416.11"/>
    <n v="48076.46"/>
    <d v="2020-05-16T00:00:00"/>
    <x v="5"/>
    <x v="58"/>
    <x v="5"/>
    <x v="7"/>
    <s v="PC"/>
    <s v="47-5051773"/>
    <m/>
    <n v="202005"/>
    <n v="5"/>
    <x v="0"/>
    <x v="6"/>
    <n v="58416.11"/>
  </r>
  <r>
    <x v="5"/>
    <n v="78629.19"/>
    <n v="63359.4"/>
    <d v="2019-02-21T00:00:00"/>
    <x v="5"/>
    <x v="4"/>
    <x v="5"/>
    <x v="10"/>
    <s v="Mobile"/>
    <s v="92-3687989"/>
    <m/>
    <n v="201902"/>
    <n v="2"/>
    <x v="1"/>
    <x v="0"/>
    <n v="-78629.19"/>
  </r>
  <r>
    <x v="0"/>
    <n v="64842.92"/>
    <n v="56439.28"/>
    <d v="2019-09-29T00:00:00"/>
    <x v="5"/>
    <x v="2"/>
    <x v="0"/>
    <x v="13"/>
    <s v="Mobile"/>
    <s v="60-9753536"/>
    <m/>
    <n v="201909"/>
    <n v="9"/>
    <x v="1"/>
    <x v="1"/>
    <n v="-64842.92"/>
  </r>
  <r>
    <x v="7"/>
    <n v="76183.740000000005"/>
    <n v="61617.41"/>
    <d v="2019-06-03T00:00:00"/>
    <x v="2"/>
    <x v="7"/>
    <x v="7"/>
    <x v="16"/>
    <s v="Mobile"/>
    <s v="39-5658730"/>
    <m/>
    <n v="201906"/>
    <n v="6"/>
    <x v="1"/>
    <x v="9"/>
    <n v="-76183.740000000005"/>
  </r>
  <r>
    <x v="0"/>
    <n v="131839.16"/>
    <n v="115372.45"/>
    <d v="2020-04-27T00:00:00"/>
    <x v="0"/>
    <x v="40"/>
    <x v="0"/>
    <x v="0"/>
    <s v="PC"/>
    <s v="73-8632957"/>
    <m/>
    <n v="202004"/>
    <n v="4"/>
    <x v="0"/>
    <x v="3"/>
    <n v="131839.16"/>
  </r>
  <r>
    <x v="2"/>
    <n v="147092.62"/>
    <n v="117806.48"/>
    <d v="2020-10-31T00:00:00"/>
    <x v="2"/>
    <x v="28"/>
    <x v="2"/>
    <x v="15"/>
    <s v="PC"/>
    <s v="16-0987104"/>
    <m/>
    <n v="202010"/>
    <n v="10"/>
    <x v="0"/>
    <x v="11"/>
    <n v="147092.62"/>
  </r>
  <r>
    <x v="1"/>
    <n v="62011.86"/>
    <n v="49324.23"/>
    <d v="2019-01-17T00:00:00"/>
    <x v="3"/>
    <x v="4"/>
    <x v="1"/>
    <x v="31"/>
    <s v="Tablet"/>
    <s v="76-0164425"/>
    <m/>
    <n v="201901"/>
    <n v="1"/>
    <x v="1"/>
    <x v="7"/>
    <n v="-62011.86"/>
  </r>
  <r>
    <x v="2"/>
    <n v="56763.040000000001"/>
    <n v="47663.92"/>
    <d v="2019-08-11T00:00:00"/>
    <x v="6"/>
    <x v="20"/>
    <x v="2"/>
    <x v="3"/>
    <s v="Mobile"/>
    <s v="87-7908481"/>
    <m/>
    <n v="201908"/>
    <n v="8"/>
    <x v="1"/>
    <x v="5"/>
    <n v="-56763.040000000001"/>
  </r>
  <r>
    <x v="2"/>
    <n v="78057.960000000006"/>
    <n v="67161.070000000007"/>
    <d v="2020-11-29T00:00:00"/>
    <x v="3"/>
    <x v="9"/>
    <x v="2"/>
    <x v="15"/>
    <s v="Tablet"/>
    <s v="30-7149594"/>
    <m/>
    <n v="202011"/>
    <n v="11"/>
    <x v="0"/>
    <x v="8"/>
    <n v="78057.960000000006"/>
  </r>
  <r>
    <x v="4"/>
    <n v="96358.45"/>
    <n v="80700.2"/>
    <d v="2019-06-12T00:00:00"/>
    <x v="7"/>
    <x v="68"/>
    <x v="4"/>
    <x v="8"/>
    <s v="PC"/>
    <s v="75-7848944"/>
    <m/>
    <n v="201906"/>
    <n v="6"/>
    <x v="1"/>
    <x v="9"/>
    <n v="-96358.45"/>
  </r>
  <r>
    <x v="5"/>
    <n v="40535.64"/>
    <n v="35480.85"/>
    <d v="2019-01-13T00:00:00"/>
    <x v="8"/>
    <x v="49"/>
    <x v="5"/>
    <x v="20"/>
    <s v="PC"/>
    <s v="72-2796883"/>
    <m/>
    <n v="201901"/>
    <n v="1"/>
    <x v="1"/>
    <x v="7"/>
    <n v="-40535.64"/>
  </r>
  <r>
    <x v="5"/>
    <n v="96795.99"/>
    <n v="81395.75"/>
    <d v="2019-06-21T00:00:00"/>
    <x v="5"/>
    <x v="63"/>
    <x v="5"/>
    <x v="23"/>
    <s v="PC"/>
    <s v="32-3124563"/>
    <m/>
    <n v="201906"/>
    <n v="6"/>
    <x v="1"/>
    <x v="9"/>
    <n v="-96795.99"/>
  </r>
  <r>
    <x v="2"/>
    <n v="122035.93"/>
    <n v="97897.22"/>
    <d v="2020-06-21T00:00:00"/>
    <x v="4"/>
    <x v="2"/>
    <x v="2"/>
    <x v="3"/>
    <s v="PC"/>
    <s v="83-7592334"/>
    <m/>
    <n v="202006"/>
    <n v="6"/>
    <x v="0"/>
    <x v="9"/>
    <n v="122035.93"/>
  </r>
  <r>
    <x v="0"/>
    <n v="89502.53"/>
    <n v="72488.100000000006"/>
    <d v="2020-10-31T00:00:00"/>
    <x v="2"/>
    <x v="65"/>
    <x v="0"/>
    <x v="25"/>
    <s v="PC"/>
    <s v="61-3721294"/>
    <m/>
    <n v="202010"/>
    <n v="10"/>
    <x v="0"/>
    <x v="11"/>
    <n v="89502.53"/>
  </r>
  <r>
    <x v="2"/>
    <n v="223233.32"/>
    <n v="179100.09"/>
    <d v="2019-06-28T00:00:00"/>
    <x v="1"/>
    <x v="14"/>
    <x v="2"/>
    <x v="12"/>
    <s v="PC"/>
    <s v="43-8355995"/>
    <m/>
    <n v="201906"/>
    <n v="6"/>
    <x v="1"/>
    <x v="9"/>
    <n v="-223233.32"/>
  </r>
  <r>
    <x v="1"/>
    <n v="33190.03"/>
    <n v="28397.39"/>
    <d v="2020-08-18T00:00:00"/>
    <x v="8"/>
    <x v="60"/>
    <x v="1"/>
    <x v="1"/>
    <s v="Tablet"/>
    <s v="49-2458036"/>
    <m/>
    <n v="202008"/>
    <n v="8"/>
    <x v="0"/>
    <x v="5"/>
    <n v="33190.03"/>
  </r>
  <r>
    <x v="2"/>
    <n v="82357.570000000007"/>
    <n v="65474.27"/>
    <d v="2019-02-19T00:00:00"/>
    <x v="0"/>
    <x v="49"/>
    <x v="2"/>
    <x v="3"/>
    <s v="PC"/>
    <s v="13-9607758"/>
    <m/>
    <n v="201902"/>
    <n v="2"/>
    <x v="1"/>
    <x v="0"/>
    <n v="-82357.570000000007"/>
  </r>
  <r>
    <x v="11"/>
    <n v="46857.77"/>
    <n v="39116.870000000003"/>
    <d v="2020-06-19T00:00:00"/>
    <x v="1"/>
    <x v="4"/>
    <x v="11"/>
    <x v="27"/>
    <s v="Mobile"/>
    <s v="61-0888460"/>
    <m/>
    <n v="202006"/>
    <n v="6"/>
    <x v="0"/>
    <x v="9"/>
    <n v="46857.77"/>
  </r>
  <r>
    <x v="4"/>
    <n v="178560.1"/>
    <n v="150383.32"/>
    <d v="2020-07-02T00:00:00"/>
    <x v="0"/>
    <x v="41"/>
    <x v="4"/>
    <x v="6"/>
    <s v="Mobile"/>
    <s v="25-2616039"/>
    <m/>
    <n v="202007"/>
    <n v="7"/>
    <x v="0"/>
    <x v="2"/>
    <n v="178560.1"/>
  </r>
  <r>
    <x v="0"/>
    <n v="173944.47"/>
    <n v="139729.59"/>
    <d v="2020-09-11T00:00:00"/>
    <x v="0"/>
    <x v="4"/>
    <x v="0"/>
    <x v="0"/>
    <s v="PC"/>
    <s v="46-2962443"/>
    <m/>
    <n v="202009"/>
    <n v="9"/>
    <x v="0"/>
    <x v="1"/>
    <n v="173944.47"/>
  </r>
  <r>
    <x v="4"/>
    <n v="176662.26"/>
    <n v="146859.34"/>
    <d v="2020-06-28T00:00:00"/>
    <x v="8"/>
    <x v="21"/>
    <x v="4"/>
    <x v="8"/>
    <s v="PC"/>
    <s v="44-9908550"/>
    <m/>
    <n v="202006"/>
    <n v="6"/>
    <x v="0"/>
    <x v="9"/>
    <n v="176662.26"/>
  </r>
  <r>
    <x v="5"/>
    <n v="133754.65"/>
    <n v="106147.69"/>
    <d v="2020-09-18T00:00:00"/>
    <x v="1"/>
    <x v="17"/>
    <x v="5"/>
    <x v="21"/>
    <s v="PC"/>
    <s v="52-3150154"/>
    <m/>
    <n v="202009"/>
    <n v="9"/>
    <x v="0"/>
    <x v="1"/>
    <n v="133754.65"/>
  </r>
  <r>
    <x v="8"/>
    <n v="159294.28"/>
    <n v="130605.38"/>
    <d v="2020-08-09T00:00:00"/>
    <x v="2"/>
    <x v="27"/>
    <x v="8"/>
    <x v="17"/>
    <s v="PC"/>
    <s v="37-9761957"/>
    <m/>
    <n v="202008"/>
    <n v="8"/>
    <x v="0"/>
    <x v="5"/>
    <n v="159294.28"/>
  </r>
  <r>
    <x v="5"/>
    <n v="123562.02"/>
    <n v="102927.16"/>
    <d v="2020-04-22T00:00:00"/>
    <x v="2"/>
    <x v="29"/>
    <x v="5"/>
    <x v="10"/>
    <s v="PC"/>
    <s v="67-6072579"/>
    <m/>
    <n v="202004"/>
    <n v="4"/>
    <x v="0"/>
    <x v="3"/>
    <n v="123562.02"/>
  </r>
  <r>
    <x v="5"/>
    <n v="33013.08"/>
    <n v="26743.9"/>
    <d v="2020-11-28T00:00:00"/>
    <x v="8"/>
    <x v="14"/>
    <x v="5"/>
    <x v="10"/>
    <s v="PC"/>
    <s v="89-0300778"/>
    <m/>
    <n v="202011"/>
    <n v="11"/>
    <x v="0"/>
    <x v="8"/>
    <n v="33013.08"/>
  </r>
  <r>
    <x v="2"/>
    <n v="105340.85"/>
    <n v="87285.43"/>
    <d v="2020-08-18T00:00:00"/>
    <x v="0"/>
    <x v="5"/>
    <x v="2"/>
    <x v="29"/>
    <s v="PC"/>
    <s v="80-1894360"/>
    <m/>
    <n v="202008"/>
    <n v="8"/>
    <x v="0"/>
    <x v="5"/>
    <n v="105340.85"/>
  </r>
  <r>
    <x v="3"/>
    <n v="127143.54"/>
    <n v="105033.28"/>
    <d v="2019-10-03T00:00:00"/>
    <x v="8"/>
    <x v="18"/>
    <x v="3"/>
    <x v="4"/>
    <s v="PC"/>
    <s v="58-2235320"/>
    <m/>
    <n v="201910"/>
    <n v="10"/>
    <x v="1"/>
    <x v="11"/>
    <n v="-127143.54"/>
  </r>
  <r>
    <x v="2"/>
    <n v="56570.64"/>
    <n v="46993.23"/>
    <d v="2020-10-05T00:00:00"/>
    <x v="0"/>
    <x v="13"/>
    <x v="2"/>
    <x v="2"/>
    <s v="PC"/>
    <s v="68-9875936"/>
    <m/>
    <n v="202010"/>
    <n v="10"/>
    <x v="0"/>
    <x v="11"/>
    <n v="56570.64"/>
  </r>
  <r>
    <x v="5"/>
    <n v="75522.66"/>
    <n v="60448.34"/>
    <d v="2019-03-13T00:00:00"/>
    <x v="6"/>
    <x v="51"/>
    <x v="5"/>
    <x v="20"/>
    <s v="PC"/>
    <s v="75-8968627"/>
    <m/>
    <n v="201903"/>
    <n v="3"/>
    <x v="1"/>
    <x v="10"/>
    <n v="-75522.66"/>
  </r>
  <r>
    <x v="2"/>
    <n v="87085.71"/>
    <n v="76548.34"/>
    <d v="2020-08-27T00:00:00"/>
    <x v="7"/>
    <x v="42"/>
    <x v="2"/>
    <x v="2"/>
    <s v="PC"/>
    <s v="86-9456489"/>
    <m/>
    <n v="202008"/>
    <n v="8"/>
    <x v="0"/>
    <x v="5"/>
    <n v="87085.71"/>
  </r>
  <r>
    <x v="4"/>
    <n v="290010.78999999998"/>
    <n v="234444.72"/>
    <d v="2019-12-25T00:00:00"/>
    <x v="6"/>
    <x v="37"/>
    <x v="4"/>
    <x v="8"/>
    <s v="PC"/>
    <s v="02-1124101"/>
    <m/>
    <n v="201912"/>
    <n v="12"/>
    <x v="1"/>
    <x v="4"/>
    <n v="-290010.78999999998"/>
  </r>
  <r>
    <x v="9"/>
    <n v="256603.66"/>
    <n v="209799.15"/>
    <d v="2019-07-27T00:00:00"/>
    <x v="6"/>
    <x v="41"/>
    <x v="9"/>
    <x v="18"/>
    <s v="Tablet"/>
    <s v="85-9787047"/>
    <m/>
    <n v="201907"/>
    <n v="7"/>
    <x v="1"/>
    <x v="2"/>
    <n v="-256603.66"/>
  </r>
  <r>
    <x v="4"/>
    <n v="126074.62"/>
    <n v="100027.6"/>
    <d v="2020-11-07T00:00:00"/>
    <x v="0"/>
    <x v="8"/>
    <x v="4"/>
    <x v="6"/>
    <s v="PC"/>
    <s v="60-7663173"/>
    <m/>
    <n v="202011"/>
    <n v="11"/>
    <x v="0"/>
    <x v="8"/>
    <n v="126074.62"/>
  </r>
  <r>
    <x v="0"/>
    <n v="94085.5"/>
    <n v="77498.23"/>
    <d v="2020-01-19T00:00:00"/>
    <x v="8"/>
    <x v="38"/>
    <x v="0"/>
    <x v="19"/>
    <s v="PC"/>
    <s v="34-1570975"/>
    <m/>
    <n v="202001"/>
    <n v="1"/>
    <x v="0"/>
    <x v="7"/>
    <n v="94085.5"/>
  </r>
  <r>
    <x v="2"/>
    <n v="159216.47"/>
    <n v="137419.74"/>
    <d v="2020-06-26T00:00:00"/>
    <x v="1"/>
    <x v="4"/>
    <x v="2"/>
    <x v="2"/>
    <s v="PC"/>
    <s v="57-9765345"/>
    <m/>
    <n v="202006"/>
    <n v="6"/>
    <x v="0"/>
    <x v="9"/>
    <n v="159216.47"/>
  </r>
  <r>
    <x v="2"/>
    <n v="74958.460000000006"/>
    <n v="65806.03"/>
    <d v="2020-08-05T00:00:00"/>
    <x v="8"/>
    <x v="3"/>
    <x v="2"/>
    <x v="2"/>
    <s v="PC"/>
    <s v="31-8846200"/>
    <m/>
    <n v="202008"/>
    <n v="8"/>
    <x v="0"/>
    <x v="5"/>
    <n v="74958.460000000006"/>
  </r>
  <r>
    <x v="0"/>
    <n v="83897.88"/>
    <n v="69559.73"/>
    <d v="2019-03-18T00:00:00"/>
    <x v="5"/>
    <x v="15"/>
    <x v="0"/>
    <x v="9"/>
    <s v="Mobile"/>
    <s v="48-6452102"/>
    <m/>
    <n v="201903"/>
    <n v="3"/>
    <x v="1"/>
    <x v="10"/>
    <n v="-83897.88"/>
  </r>
  <r>
    <x v="0"/>
    <n v="133055.04000000001"/>
    <n v="105366.29"/>
    <d v="2019-11-10T00:00:00"/>
    <x v="0"/>
    <x v="35"/>
    <x v="0"/>
    <x v="25"/>
    <s v="PC"/>
    <s v="85-9541179"/>
    <m/>
    <n v="201911"/>
    <n v="11"/>
    <x v="1"/>
    <x v="8"/>
    <n v="-133055.04000000001"/>
  </r>
  <r>
    <x v="0"/>
    <n v="94115.99"/>
    <n v="75669.259999999995"/>
    <d v="2019-09-16T00:00:00"/>
    <x v="5"/>
    <x v="9"/>
    <x v="0"/>
    <x v="25"/>
    <s v="PC"/>
    <s v="93-2085046"/>
    <m/>
    <n v="201909"/>
    <n v="9"/>
    <x v="1"/>
    <x v="1"/>
    <n v="-94115.99"/>
  </r>
  <r>
    <x v="1"/>
    <n v="125851.79"/>
    <n v="103777.39"/>
    <d v="2020-11-15T00:00:00"/>
    <x v="1"/>
    <x v="31"/>
    <x v="1"/>
    <x v="31"/>
    <s v="PC"/>
    <s v="03-6962760"/>
    <m/>
    <n v="202011"/>
    <n v="11"/>
    <x v="0"/>
    <x v="8"/>
    <n v="125851.79"/>
  </r>
  <r>
    <x v="6"/>
    <n v="60917.85"/>
    <n v="52736.58"/>
    <d v="2019-02-17T00:00:00"/>
    <x v="6"/>
    <x v="37"/>
    <x v="6"/>
    <x v="14"/>
    <s v="PC"/>
    <s v="15-3241183"/>
    <m/>
    <n v="201902"/>
    <n v="2"/>
    <x v="1"/>
    <x v="0"/>
    <n v="-60917.85"/>
  </r>
  <r>
    <x v="5"/>
    <n v="101318.72"/>
    <n v="86657.9"/>
    <d v="2019-04-13T00:00:00"/>
    <x v="1"/>
    <x v="1"/>
    <x v="5"/>
    <x v="7"/>
    <s v="PC"/>
    <s v="54-5705354"/>
    <m/>
    <n v="201904"/>
    <n v="4"/>
    <x v="1"/>
    <x v="3"/>
    <n v="-101318.72"/>
  </r>
  <r>
    <x v="2"/>
    <n v="131610.37"/>
    <n v="106406.98"/>
    <d v="2020-04-30T00:00:00"/>
    <x v="3"/>
    <x v="41"/>
    <x v="2"/>
    <x v="12"/>
    <s v="PC"/>
    <s v="29-1888759"/>
    <m/>
    <n v="202004"/>
    <n v="4"/>
    <x v="0"/>
    <x v="3"/>
    <n v="131610.37"/>
  </r>
  <r>
    <x v="5"/>
    <n v="235042.75"/>
    <n v="187446.59"/>
    <d v="2019-12-25T00:00:00"/>
    <x v="0"/>
    <x v="33"/>
    <x v="5"/>
    <x v="7"/>
    <s v="PC"/>
    <s v="12-3815754"/>
    <m/>
    <n v="201912"/>
    <n v="12"/>
    <x v="1"/>
    <x v="4"/>
    <n v="-235042.75"/>
  </r>
  <r>
    <x v="11"/>
    <n v="58921.31"/>
    <n v="51715.23"/>
    <d v="2020-12-13T00:00:00"/>
    <x v="1"/>
    <x v="4"/>
    <x v="11"/>
    <x v="26"/>
    <s v="PC"/>
    <s v="30-4823900"/>
    <m/>
    <n v="202012"/>
    <n v="12"/>
    <x v="0"/>
    <x v="4"/>
    <n v="58921.31"/>
  </r>
  <r>
    <x v="2"/>
    <n v="101846.87"/>
    <n v="88066.99"/>
    <d v="2019-01-07T00:00:00"/>
    <x v="2"/>
    <x v="51"/>
    <x v="2"/>
    <x v="3"/>
    <s v="PC"/>
    <s v="72-9074281"/>
    <m/>
    <n v="201901"/>
    <n v="1"/>
    <x v="1"/>
    <x v="7"/>
    <n v="-101846.87"/>
  </r>
  <r>
    <x v="5"/>
    <n v="95307.21"/>
    <n v="78533.14"/>
    <d v="2020-03-26T00:00:00"/>
    <x v="0"/>
    <x v="17"/>
    <x v="5"/>
    <x v="10"/>
    <s v="PC"/>
    <s v="52-0213558"/>
    <m/>
    <n v="202003"/>
    <n v="3"/>
    <x v="0"/>
    <x v="10"/>
    <n v="95307.21"/>
  </r>
  <r>
    <x v="5"/>
    <n v="232217.05"/>
    <n v="191439.74"/>
    <d v="2019-06-20T00:00:00"/>
    <x v="3"/>
    <x v="3"/>
    <x v="5"/>
    <x v="7"/>
    <s v="Mobile"/>
    <s v="19-6334792"/>
    <m/>
    <n v="201906"/>
    <n v="6"/>
    <x v="1"/>
    <x v="9"/>
    <n v="-232217.05"/>
  </r>
  <r>
    <x v="2"/>
    <n v="75912.59"/>
    <n v="60145.55"/>
    <d v="2019-10-14T00:00:00"/>
    <x v="7"/>
    <x v="10"/>
    <x v="2"/>
    <x v="12"/>
    <s v="Mobile"/>
    <s v="35-4712641"/>
    <m/>
    <n v="201910"/>
    <n v="10"/>
    <x v="1"/>
    <x v="11"/>
    <n v="-75912.59"/>
  </r>
  <r>
    <x v="2"/>
    <n v="57367.93"/>
    <n v="46255.76"/>
    <d v="2019-10-28T00:00:00"/>
    <x v="2"/>
    <x v="21"/>
    <x v="2"/>
    <x v="3"/>
    <s v="Mobile"/>
    <s v="03-3542738"/>
    <m/>
    <n v="201910"/>
    <n v="10"/>
    <x v="1"/>
    <x v="11"/>
    <n v="-57367.93"/>
  </r>
  <r>
    <x v="2"/>
    <n v="158240.24"/>
    <n v="136561.32999999999"/>
    <d v="2020-11-23T00:00:00"/>
    <x v="0"/>
    <x v="3"/>
    <x v="2"/>
    <x v="29"/>
    <s v="PC"/>
    <s v="81-9457605"/>
    <m/>
    <n v="202011"/>
    <n v="11"/>
    <x v="0"/>
    <x v="8"/>
    <n v="158240.24"/>
  </r>
  <r>
    <x v="2"/>
    <n v="97291.62"/>
    <n v="76899.3"/>
    <d v="2020-01-02T00:00:00"/>
    <x v="2"/>
    <x v="4"/>
    <x v="2"/>
    <x v="15"/>
    <s v="PC"/>
    <s v="63-0813030"/>
    <m/>
    <n v="202001"/>
    <n v="1"/>
    <x v="0"/>
    <x v="7"/>
    <n v="97291.62"/>
  </r>
  <r>
    <x v="2"/>
    <n v="83904.320000000007"/>
    <n v="69011.3"/>
    <d v="2020-06-07T00:00:00"/>
    <x v="1"/>
    <x v="64"/>
    <x v="2"/>
    <x v="12"/>
    <s v="PC"/>
    <s v="00-7326184"/>
    <m/>
    <n v="202006"/>
    <n v="6"/>
    <x v="0"/>
    <x v="9"/>
    <n v="83904.320000000007"/>
  </r>
  <r>
    <x v="4"/>
    <n v="133696.85999999999"/>
    <n v="109310.55"/>
    <d v="2020-01-27T00:00:00"/>
    <x v="0"/>
    <x v="1"/>
    <x v="4"/>
    <x v="6"/>
    <s v="PC"/>
    <s v="22-0156233"/>
    <m/>
    <n v="202001"/>
    <n v="1"/>
    <x v="0"/>
    <x v="7"/>
    <n v="133696.85999999999"/>
  </r>
  <r>
    <x v="4"/>
    <n v="146076.81"/>
    <n v="123230.39999999999"/>
    <d v="2019-07-27T00:00:00"/>
    <x v="5"/>
    <x v="4"/>
    <x v="4"/>
    <x v="8"/>
    <s v="PC"/>
    <s v="94-0623186"/>
    <m/>
    <n v="201907"/>
    <n v="7"/>
    <x v="1"/>
    <x v="2"/>
    <n v="-146076.81"/>
  </r>
  <r>
    <x v="5"/>
    <n v="56118.05"/>
    <n v="47711.57"/>
    <d v="2020-03-02T00:00:00"/>
    <x v="3"/>
    <x v="34"/>
    <x v="5"/>
    <x v="10"/>
    <s v="PC"/>
    <s v="08-0446109"/>
    <m/>
    <n v="202003"/>
    <n v="3"/>
    <x v="0"/>
    <x v="10"/>
    <n v="56118.05"/>
  </r>
  <r>
    <x v="5"/>
    <n v="46296.26"/>
    <n v="40319.410000000003"/>
    <d v="2020-05-15T00:00:00"/>
    <x v="1"/>
    <x v="10"/>
    <x v="5"/>
    <x v="10"/>
    <s v="Tablet"/>
    <s v="77-3489084"/>
    <m/>
    <n v="202005"/>
    <n v="5"/>
    <x v="0"/>
    <x v="6"/>
    <n v="46296.26"/>
  </r>
  <r>
    <x v="7"/>
    <n v="118061.05"/>
    <n v="101131.1"/>
    <d v="2020-07-02T00:00:00"/>
    <x v="5"/>
    <x v="4"/>
    <x v="7"/>
    <x v="16"/>
    <s v="Mobile"/>
    <s v="59-2117058"/>
    <m/>
    <n v="202007"/>
    <n v="7"/>
    <x v="0"/>
    <x v="2"/>
    <n v="118061.05"/>
  </r>
  <r>
    <x v="1"/>
    <n v="74480.56"/>
    <n v="60023.88"/>
    <d v="2020-03-06T00:00:00"/>
    <x v="2"/>
    <x v="60"/>
    <x v="1"/>
    <x v="1"/>
    <s v="PC"/>
    <s v="31-1849120"/>
    <m/>
    <n v="202003"/>
    <n v="3"/>
    <x v="0"/>
    <x v="10"/>
    <n v="74480.56"/>
  </r>
  <r>
    <x v="3"/>
    <n v="87205.01"/>
    <n v="69171.009999999995"/>
    <d v="2020-06-18T00:00:00"/>
    <x v="1"/>
    <x v="4"/>
    <x v="3"/>
    <x v="33"/>
    <s v="Tablet"/>
    <s v="45-3085595"/>
    <m/>
    <n v="202006"/>
    <n v="6"/>
    <x v="0"/>
    <x v="9"/>
    <n v="87205.01"/>
  </r>
  <r>
    <x v="2"/>
    <n v="107716.72"/>
    <n v="86679.64"/>
    <d v="2020-01-18T00:00:00"/>
    <x v="4"/>
    <x v="16"/>
    <x v="2"/>
    <x v="29"/>
    <s v="Mobile"/>
    <s v="61-3294149"/>
    <m/>
    <n v="202001"/>
    <n v="1"/>
    <x v="0"/>
    <x v="7"/>
    <n v="107716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8420F-6F65-465A-8357-8177649490F5}" name="PivotTable3" cacheId="26" applyNumberFormats="0" applyBorderFormats="0" applyFontFormats="0" applyPatternFormats="0" applyAlignmentFormats="0" applyWidthHeightFormats="1" dataCaption="Values" grandTotalCaption=" " updatedVersion="8" minRefreshableVersion="3" useAutoFormatting="1" colGrandTotals="0" itemPrintTitles="1" createdVersion="8" indent="0" outline="1" outlineData="1" multipleFieldFilters="0" rowHeaderCaption="Month" colHeaderCaption=" ">
  <location ref="A6:C20" firstHeaderRow="1" firstDataRow="2" firstDataCol="1"/>
  <pivotFields count="14">
    <pivotField showAll="0" defaultSubtotal="0"/>
    <pivotField dataField="1" numFmtId="4" showAll="0" defaultSubtotal="0"/>
    <pivotField showAll="0" defaultSubtotal="0"/>
    <pivotField numFmtId="14" showAll="0" defaultSubtotal="0">
      <items count="536">
        <item x="411"/>
        <item x="191"/>
        <item x="533"/>
        <item x="210"/>
        <item x="126"/>
        <item x="473"/>
        <item x="306"/>
        <item x="101"/>
        <item x="98"/>
        <item x="343"/>
        <item x="382"/>
        <item x="313"/>
        <item x="49"/>
        <item x="226"/>
        <item x="9"/>
        <item x="165"/>
        <item x="369"/>
        <item x="218"/>
        <item x="48"/>
        <item x="139"/>
        <item x="515"/>
        <item x="43"/>
        <item x="156"/>
        <item x="6"/>
        <item x="438"/>
        <item x="287"/>
        <item x="54"/>
        <item x="339"/>
        <item x="421"/>
        <item x="297"/>
        <item x="405"/>
        <item x="516"/>
        <item x="208"/>
        <item x="28"/>
        <item x="434"/>
        <item x="470"/>
        <item x="120"/>
        <item x="155"/>
        <item x="518"/>
        <item x="271"/>
        <item x="11"/>
        <item x="386"/>
        <item x="16"/>
        <item x="484"/>
        <item x="377"/>
        <item x="245"/>
        <item x="40"/>
        <item x="389"/>
        <item x="21"/>
        <item x="284"/>
        <item x="496"/>
        <item x="403"/>
        <item x="181"/>
        <item x="59"/>
        <item x="230"/>
        <item x="530"/>
        <item x="300"/>
        <item x="371"/>
        <item x="310"/>
        <item x="75"/>
        <item x="426"/>
        <item x="266"/>
        <item x="390"/>
        <item x="42"/>
        <item x="512"/>
        <item x="107"/>
        <item x="36"/>
        <item x="236"/>
        <item x="404"/>
        <item x="435"/>
        <item x="217"/>
        <item x="367"/>
        <item x="235"/>
        <item x="68"/>
        <item x="532"/>
        <item x="243"/>
        <item x="277"/>
        <item x="167"/>
        <item x="110"/>
        <item x="285"/>
        <item x="205"/>
        <item x="250"/>
        <item x="401"/>
        <item x="85"/>
        <item x="137"/>
        <item x="274"/>
        <item x="10"/>
        <item x="164"/>
        <item x="35"/>
        <item x="428"/>
        <item x="430"/>
        <item x="366"/>
        <item x="459"/>
        <item x="336"/>
        <item x="431"/>
        <item x="80"/>
        <item x="456"/>
        <item x="448"/>
        <item x="293"/>
        <item x="503"/>
        <item x="436"/>
        <item x="143"/>
        <item x="502"/>
        <item x="116"/>
        <item x="391"/>
        <item x="328"/>
        <item x="149"/>
        <item x="410"/>
        <item x="135"/>
        <item x="455"/>
        <item x="334"/>
        <item x="259"/>
        <item x="18"/>
        <item x="175"/>
        <item x="73"/>
        <item x="521"/>
        <item x="37"/>
        <item x="494"/>
        <item x="147"/>
        <item x="190"/>
        <item x="262"/>
        <item x="452"/>
        <item x="192"/>
        <item x="480"/>
        <item x="82"/>
        <item x="31"/>
        <item x="320"/>
        <item x="365"/>
        <item x="414"/>
        <item x="394"/>
        <item x="347"/>
        <item x="150"/>
        <item x="396"/>
        <item x="241"/>
        <item x="359"/>
        <item x="29"/>
        <item x="506"/>
        <item x="368"/>
        <item x="2"/>
        <item x="114"/>
        <item x="56"/>
        <item x="311"/>
        <item x="497"/>
        <item x="13"/>
        <item x="233"/>
        <item x="174"/>
        <item x="201"/>
        <item x="528"/>
        <item x="238"/>
        <item x="451"/>
        <item x="461"/>
        <item x="90"/>
        <item x="153"/>
        <item x="445"/>
        <item x="14"/>
        <item x="475"/>
        <item x="358"/>
        <item x="520"/>
        <item x="457"/>
        <item x="270"/>
        <item x="443"/>
        <item x="160"/>
        <item x="305"/>
        <item x="327"/>
        <item x="465"/>
        <item x="184"/>
        <item x="96"/>
        <item x="268"/>
        <item x="121"/>
        <item x="44"/>
        <item x="292"/>
        <item x="481"/>
        <item x="513"/>
        <item x="283"/>
        <item x="422"/>
        <item x="222"/>
        <item x="186"/>
        <item x="278"/>
        <item x="220"/>
        <item x="325"/>
        <item x="76"/>
        <item x="94"/>
        <item x="83"/>
        <item x="531"/>
        <item x="407"/>
        <item x="342"/>
        <item x="478"/>
        <item x="330"/>
        <item x="263"/>
        <item x="323"/>
        <item x="375"/>
        <item x="501"/>
        <item x="427"/>
        <item x="1"/>
        <item x="322"/>
        <item x="398"/>
        <item x="298"/>
        <item x="112"/>
        <item x="397"/>
        <item x="351"/>
        <item x="103"/>
        <item x="344"/>
        <item x="471"/>
        <item x="385"/>
        <item x="60"/>
        <item x="57"/>
        <item x="534"/>
        <item x="182"/>
        <item x="454"/>
        <item x="441"/>
        <item x="295"/>
        <item x="65"/>
        <item x="122"/>
        <item x="492"/>
        <item x="253"/>
        <item x="129"/>
        <item x="178"/>
        <item x="71"/>
        <item x="66"/>
        <item x="33"/>
        <item x="53"/>
        <item x="216"/>
        <item x="321"/>
        <item x="86"/>
        <item x="199"/>
        <item x="511"/>
        <item x="20"/>
        <item x="92"/>
        <item x="309"/>
        <item x="464"/>
        <item x="412"/>
        <item x="176"/>
        <item x="424"/>
        <item x="41"/>
        <item x="348"/>
        <item x="489"/>
        <item x="17"/>
        <item x="95"/>
        <item x="61"/>
        <item x="360"/>
        <item x="408"/>
        <item x="467"/>
        <item x="256"/>
        <item x="219"/>
        <item x="100"/>
        <item x="64"/>
        <item x="498"/>
        <item x="364"/>
        <item x="207"/>
        <item x="425"/>
        <item x="111"/>
        <item x="136"/>
        <item x="179"/>
        <item x="304"/>
        <item x="469"/>
        <item x="449"/>
        <item x="102"/>
        <item x="227"/>
        <item x="474"/>
        <item x="4"/>
        <item x="282"/>
        <item x="161"/>
        <item x="527"/>
        <item x="307"/>
        <item x="69"/>
        <item x="157"/>
        <item x="486"/>
        <item x="384"/>
        <item x="316"/>
        <item x="12"/>
        <item x="77"/>
        <item x="341"/>
        <item x="508"/>
        <item x="78"/>
        <item x="254"/>
        <item x="58"/>
        <item x="221"/>
        <item x="89"/>
        <item x="50"/>
        <item x="257"/>
        <item x="30"/>
        <item x="104"/>
        <item x="249"/>
        <item x="113"/>
        <item x="329"/>
        <item x="115"/>
        <item x="440"/>
        <item x="38"/>
        <item x="373"/>
        <item x="264"/>
        <item x="509"/>
        <item x="276"/>
        <item x="380"/>
        <item x="22"/>
        <item x="255"/>
        <item x="128"/>
        <item x="280"/>
        <item x="0"/>
        <item x="193"/>
        <item x="383"/>
        <item x="429"/>
        <item x="314"/>
        <item x="352"/>
        <item x="312"/>
        <item x="355"/>
        <item x="289"/>
        <item x="491"/>
        <item x="419"/>
        <item x="154"/>
        <item x="423"/>
        <item x="248"/>
        <item x="462"/>
        <item x="84"/>
        <item x="378"/>
        <item x="206"/>
        <item x="52"/>
        <item x="26"/>
        <item x="141"/>
        <item x="47"/>
        <item x="485"/>
        <item x="242"/>
        <item x="490"/>
        <item x="495"/>
        <item x="265"/>
        <item x="189"/>
        <item x="418"/>
        <item x="195"/>
        <item x="504"/>
        <item x="32"/>
        <item x="432"/>
        <item x="197"/>
        <item x="392"/>
        <item x="211"/>
        <item x="34"/>
        <item x="91"/>
        <item x="81"/>
        <item x="3"/>
        <item x="27"/>
        <item x="308"/>
        <item x="172"/>
        <item x="319"/>
        <item x="517"/>
        <item x="302"/>
        <item x="406"/>
        <item x="288"/>
        <item x="290"/>
        <item x="194"/>
        <item x="63"/>
        <item x="526"/>
        <item x="231"/>
        <item x="140"/>
        <item x="169"/>
        <item x="108"/>
        <item x="331"/>
        <item x="413"/>
        <item x="228"/>
        <item x="338"/>
        <item x="357"/>
        <item x="415"/>
        <item x="117"/>
        <item x="130"/>
        <item x="433"/>
        <item x="8"/>
        <item x="19"/>
        <item x="247"/>
        <item x="349"/>
        <item x="335"/>
        <item x="123"/>
        <item x="79"/>
        <item x="134"/>
        <item x="152"/>
        <item x="132"/>
        <item x="472"/>
        <item x="447"/>
        <item x="476"/>
        <item x="291"/>
        <item x="234"/>
        <item x="213"/>
        <item x="127"/>
        <item x="258"/>
        <item x="239"/>
        <item x="162"/>
        <item x="324"/>
        <item x="87"/>
        <item x="356"/>
        <item x="173"/>
        <item x="24"/>
        <item x="237"/>
        <item x="446"/>
        <item x="62"/>
        <item x="119"/>
        <item x="535"/>
        <item x="402"/>
        <item x="493"/>
        <item x="487"/>
        <item x="229"/>
        <item x="370"/>
        <item x="354"/>
        <item x="514"/>
        <item x="240"/>
        <item x="524"/>
        <item x="170"/>
        <item x="379"/>
        <item x="522"/>
        <item x="180"/>
        <item x="244"/>
        <item x="188"/>
        <item x="483"/>
        <item x="460"/>
        <item x="482"/>
        <item x="124"/>
        <item x="466"/>
        <item x="70"/>
        <item x="5"/>
        <item x="177"/>
        <item x="214"/>
        <item x="437"/>
        <item x="340"/>
        <item x="204"/>
        <item x="55"/>
        <item x="499"/>
        <item x="417"/>
        <item x="183"/>
        <item x="363"/>
        <item x="105"/>
        <item x="232"/>
        <item x="507"/>
        <item x="395"/>
        <item x="301"/>
        <item x="252"/>
        <item x="261"/>
        <item x="281"/>
        <item x="72"/>
        <item x="202"/>
        <item x="224"/>
        <item x="25"/>
        <item x="118"/>
        <item x="99"/>
        <item x="453"/>
        <item x="326"/>
        <item x="272"/>
        <item x="148"/>
        <item x="296"/>
        <item x="106"/>
        <item x="131"/>
        <item x="7"/>
        <item x="317"/>
        <item x="74"/>
        <item x="345"/>
        <item x="318"/>
        <item x="163"/>
        <item x="468"/>
        <item x="372"/>
        <item x="353"/>
        <item x="196"/>
        <item x="523"/>
        <item x="350"/>
        <item x="209"/>
        <item x="97"/>
        <item x="400"/>
        <item x="525"/>
        <item x="387"/>
        <item x="500"/>
        <item x="299"/>
        <item x="337"/>
        <item x="225"/>
        <item x="151"/>
        <item x="444"/>
        <item x="187"/>
        <item x="166"/>
        <item x="286"/>
        <item x="315"/>
        <item x="416"/>
        <item x="393"/>
        <item x="362"/>
        <item x="109"/>
        <item x="144"/>
        <item x="381"/>
        <item x="215"/>
        <item x="505"/>
        <item x="279"/>
        <item x="260"/>
        <item x="212"/>
        <item x="374"/>
        <item x="185"/>
        <item x="171"/>
        <item x="346"/>
        <item x="458"/>
        <item x="420"/>
        <item x="333"/>
        <item x="138"/>
        <item x="479"/>
        <item x="519"/>
        <item x="51"/>
        <item x="39"/>
        <item x="45"/>
        <item x="529"/>
        <item x="15"/>
        <item x="442"/>
        <item x="361"/>
        <item x="46"/>
        <item x="67"/>
        <item x="93"/>
        <item x="332"/>
        <item x="439"/>
        <item x="125"/>
        <item x="269"/>
        <item x="251"/>
        <item x="488"/>
        <item x="273"/>
        <item x="158"/>
        <item x="203"/>
        <item x="510"/>
        <item x="198"/>
        <item x="399"/>
        <item x="450"/>
        <item x="88"/>
        <item x="168"/>
        <item x="159"/>
        <item x="246"/>
        <item x="463"/>
        <item x="303"/>
        <item x="477"/>
        <item x="133"/>
        <item x="294"/>
        <item x="267"/>
        <item x="142"/>
        <item x="223"/>
        <item x="376"/>
        <item x="146"/>
        <item x="23"/>
        <item x="409"/>
        <item x="145"/>
        <item x="275"/>
        <item x="200"/>
        <item x="388"/>
      </items>
    </pivotField>
    <pivotField showAll="0" defaultSubtotal="0"/>
    <pivotField showAll="0" defaultSubtotal="0"/>
    <pivotField showAll="0" defaultSubtotal="0">
      <items count="15">
        <item x="2"/>
        <item x="8"/>
        <item x="6"/>
        <item x="3"/>
        <item x="11"/>
        <item x="1"/>
        <item x="9"/>
        <item x="4"/>
        <item x="7"/>
        <item x="0"/>
        <item x="13"/>
        <item x="14"/>
        <item x="5"/>
        <item x="10"/>
        <item x="12"/>
      </items>
    </pivotField>
    <pivotField showAll="0" defaultSubtotal="0"/>
    <pivotField showAll="0" defaultSubtotal="0"/>
    <pivotField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4">
        <item sd="0" x="0"/>
        <item sd="0" x="1"/>
        <item sd="0" x="2"/>
        <item sd="0" x="3"/>
      </items>
    </pivotField>
    <pivotField subtotalTop="0" dragToRow="0" dragToCol="0" dragToPage="0" showAll="0" defaultSubtotal="0"/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2"/>
  </colFields>
  <colItems count="2">
    <i>
      <x v="1"/>
    </i>
    <i>
      <x v="2"/>
    </i>
  </colItems>
  <dataFields count="1">
    <dataField name=" " fld="1" baseField="0" baseItem="0" numFmtId="3"/>
  </dataFields>
  <formats count="3">
    <format dxfId="6">
      <pivotArea outline="0" collapsedLevelsAreSubtotals="1" fieldPosition="0"/>
    </format>
    <format dxfId="5">
      <pivotArea outline="0" collapsedLevelsAreSubtotals="1" fieldPosition="0"/>
    </format>
    <format dxfId="4">
      <pivotArea dataOnly="0" labelOnly="1" fieldPosition="0">
        <references count="1">
          <reference field="12" count="2">
            <x v="1"/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A6E03-5110-4439-88C6-68F9051E26EE}" name="PivotTable8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:C20" firstHeaderRow="1" firstDataRow="2" firstDataCol="1"/>
  <pivotFields count="14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3">
        <item x="7"/>
        <item x="0"/>
        <item x="10"/>
        <item x="3"/>
        <item x="6"/>
        <item x="9"/>
        <item x="2"/>
        <item x="5"/>
        <item x="1"/>
        <item x="11"/>
        <item x="8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3"/>
  </colFields>
  <colItems count="2">
    <i>
      <x/>
    </i>
    <i>
      <x v="1"/>
    </i>
  </colItems>
  <dataFields count="1">
    <dataField name="Sum of  order_value_EUR " fld="1" baseField="0" baseItem="0" numFmtId="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BB304-98D3-4AAA-91CA-9C7E2D4047C5}" name="PivotTable8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:E21" firstHeaderRow="1" firstDataRow="3" firstDataCol="1"/>
  <pivotFields count="14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25">
        <item x="9"/>
        <item x="6"/>
        <item x="16"/>
        <item x="21"/>
        <item x="10"/>
        <item x="15"/>
        <item x="2"/>
        <item x="12"/>
        <item x="1"/>
        <item x="20"/>
        <item x="14"/>
        <item x="4"/>
        <item x="11"/>
        <item x="0"/>
        <item x="19"/>
        <item x="3"/>
        <item x="8"/>
        <item x="18"/>
        <item x="5"/>
        <item x="7"/>
        <item x="22"/>
        <item x="23"/>
        <item x="13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3">
        <item x="7"/>
        <item x="0"/>
        <item x="10"/>
        <item x="3"/>
        <item x="6"/>
        <item x="9"/>
        <item x="2"/>
        <item x="5"/>
        <item x="1"/>
        <item x="11"/>
        <item x="8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3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 of  order_value_EUR " fld="1" baseField="0" baseItem="0" numFmtId="4"/>
    <dataField name="Sum of  order_value_EUR 2" fld="1" showDataAs="percentDiff" baseField="13" baseItem="0" numFmtId="1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77D4F-F0E9-4B7C-A427-B9722D086FB7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6:D131" firstHeaderRow="1" firstDataRow="2" firstDataCol="1"/>
  <pivotFields count="18">
    <pivotField showAll="0"/>
    <pivotField numFmtId="4" showAll="0"/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GP" fld="1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06BA5-9B49-4356-9880-6EFF66CEE94B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D122" firstHeaderRow="1" firstDataRow="2" firstDataCol="1"/>
  <pivotFields count="18">
    <pivotField showAll="0"/>
    <pivotField dataField="1" numFmtId="4" showAll="0"/>
    <pivotField showAll="0"/>
    <pivotField numFmtId="14" showAll="0"/>
    <pivotField showAll="0"/>
    <pivotField axis="axisRow" showAll="0">
      <items count="76">
        <item x="73"/>
        <item x="34"/>
        <item x="17"/>
        <item x="39"/>
        <item x="66"/>
        <item x="33"/>
        <item x="63"/>
        <item x="19"/>
        <item x="51"/>
        <item x="23"/>
        <item x="46"/>
        <item x="5"/>
        <item x="28"/>
        <item x="15"/>
        <item x="61"/>
        <item x="21"/>
        <item x="8"/>
        <item x="65"/>
        <item x="0"/>
        <item x="69"/>
        <item x="27"/>
        <item x="48"/>
        <item x="64"/>
        <item x="71"/>
        <item x="35"/>
        <item x="7"/>
        <item x="3"/>
        <item x="1"/>
        <item x="60"/>
        <item x="16"/>
        <item x="4"/>
        <item x="22"/>
        <item x="49"/>
        <item x="20"/>
        <item x="57"/>
        <item x="24"/>
        <item x="2"/>
        <item x="36"/>
        <item x="74"/>
        <item x="72"/>
        <item x="44"/>
        <item x="52"/>
        <item x="55"/>
        <item x="47"/>
        <item x="29"/>
        <item x="40"/>
        <item x="53"/>
        <item x="18"/>
        <item x="41"/>
        <item x="59"/>
        <item x="45"/>
        <item x="14"/>
        <item x="56"/>
        <item x="12"/>
        <item x="26"/>
        <item x="6"/>
        <item x="50"/>
        <item x="70"/>
        <item x="43"/>
        <item x="37"/>
        <item x="30"/>
        <item x="13"/>
        <item x="68"/>
        <item x="58"/>
        <item x="62"/>
        <item x="9"/>
        <item x="11"/>
        <item x="54"/>
        <item x="32"/>
        <item x="42"/>
        <item x="10"/>
        <item x="25"/>
        <item x="31"/>
        <item x="67"/>
        <item x="38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 order_value_EUR " fld="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877FC-754F-48DA-A5D0-1648F2260361}" name="PivotTable7" cacheId="2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77:D222" firstHeaderRow="1" firstDataRow="2" firstDataCol="1"/>
  <pivotFields count="18">
    <pivotField axis="axisRow" showAll="0">
      <items count="16">
        <item x="14"/>
        <item x="7"/>
        <item x="8"/>
        <item x="13"/>
        <item x="1"/>
        <item x="5"/>
        <item x="12"/>
        <item x="11"/>
        <item x="10"/>
        <item x="9"/>
        <item x="6"/>
        <item x="2"/>
        <item x="3"/>
        <item x="0"/>
        <item x="4"/>
        <item t="default"/>
      </items>
    </pivotField>
    <pivotField numFmtId="4" showAll="0"/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8"/>
    <field x="0"/>
  </rowFields>
  <rowItems count="44">
    <i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GP" fld="1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0044E-35E6-47EA-925A-C7E76B5F9A60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7:D309" firstHeaderRow="1" firstDataRow="2" firstDataCol="1"/>
  <pivotFields count="18">
    <pivotField showAll="0"/>
    <pivotField numFmtId="4" showAll="0"/>
    <pivotField showAll="0"/>
    <pivotField numFmtId="14" showAll="0"/>
    <pivotField axis="axisRow" showAll="0">
      <items count="11">
        <item x="4"/>
        <item x="5"/>
        <item x="3"/>
        <item x="0"/>
        <item x="2"/>
        <item x="8"/>
        <item x="1"/>
        <item x="9"/>
        <item x="7"/>
        <item x="6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GP" fld="1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E0190-894F-4314-9575-D1AE81824F9B}" name="PivotTable1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9:D334" firstHeaderRow="1" firstDataRow="2" firstDataCol="1"/>
  <pivotFields count="18">
    <pivotField showAll="0"/>
    <pivotField dataField="1" numFmtId="4" showAll="0"/>
    <pivotField showAll="0"/>
    <pivotField numFmtId="14" showAll="0"/>
    <pivotField showAll="0">
      <items count="11">
        <item x="4"/>
        <item x="5"/>
        <item x="3"/>
        <item x="0"/>
        <item x="2"/>
        <item x="8"/>
        <item x="1"/>
        <item x="9"/>
        <item x="7"/>
        <item x="6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 order_value_EUR " fld="1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6E761-5918-48BD-99FF-3D71F2A20B2A}" name="PivotTable8" cacheId="2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26:D293" firstHeaderRow="1" firstDataRow="2" firstDataCol="1"/>
  <pivotFields count="18">
    <pivotField axis="axisRow" showAll="0">
      <items count="16">
        <item x="14"/>
        <item x="7"/>
        <item x="8"/>
        <item x="13"/>
        <item x="1"/>
        <item x="5"/>
        <item x="12"/>
        <item x="11"/>
        <item x="10"/>
        <item x="9"/>
        <item x="6"/>
        <item x="2"/>
        <item x="3"/>
        <item x="0"/>
        <item x="4"/>
        <item t="default"/>
      </items>
    </pivotField>
    <pivotField dataField="1" numFmtId="4" showAll="0"/>
    <pivotField showAll="0"/>
    <pivotField numFmtId="14" showAll="0"/>
    <pivotField showAll="0"/>
    <pivotField showAll="0"/>
    <pivotField axis="axisRow" showAll="0">
      <items count="16">
        <item x="2"/>
        <item x="8"/>
        <item x="6"/>
        <item x="3"/>
        <item x="11"/>
        <item x="1"/>
        <item x="9"/>
        <item x="4"/>
        <item x="7"/>
        <item x="0"/>
        <item x="13"/>
        <item x="14"/>
        <item x="5"/>
        <item x="10"/>
        <item x="12"/>
        <item t="default"/>
      </items>
    </pivotField>
    <pivotField axis="axisRow" showAll="0">
      <items count="36">
        <item x="13"/>
        <item x="10"/>
        <item x="9"/>
        <item x="3"/>
        <item x="23"/>
        <item x="32"/>
        <item x="24"/>
        <item x="4"/>
        <item x="29"/>
        <item x="26"/>
        <item x="19"/>
        <item x="30"/>
        <item x="28"/>
        <item x="34"/>
        <item x="16"/>
        <item x="12"/>
        <item x="20"/>
        <item x="8"/>
        <item x="15"/>
        <item x="11"/>
        <item x="18"/>
        <item x="22"/>
        <item x="0"/>
        <item x="7"/>
        <item x="33"/>
        <item x="31"/>
        <item x="14"/>
        <item x="21"/>
        <item x="27"/>
        <item x="5"/>
        <item x="17"/>
        <item x="2"/>
        <item x="25"/>
        <item x="1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0"/>
    <field x="6"/>
    <field x="7"/>
  </rowFields>
  <rowItems count="66">
    <i>
      <x/>
    </i>
    <i r="1">
      <x v="11"/>
    </i>
    <i r="2">
      <x v="5"/>
    </i>
    <i>
      <x v="1"/>
    </i>
    <i r="1">
      <x v="8"/>
    </i>
    <i r="2">
      <x v="14"/>
    </i>
    <i>
      <x v="2"/>
    </i>
    <i r="1">
      <x v="1"/>
    </i>
    <i r="2">
      <x v="6"/>
    </i>
    <i r="2">
      <x v="30"/>
    </i>
    <i>
      <x v="3"/>
    </i>
    <i r="1">
      <x v="10"/>
    </i>
    <i r="2">
      <x v="11"/>
    </i>
    <i r="2">
      <x v="13"/>
    </i>
    <i>
      <x v="4"/>
    </i>
    <i r="1">
      <x v="5"/>
    </i>
    <i r="2">
      <x v="25"/>
    </i>
    <i r="2">
      <x v="33"/>
    </i>
    <i>
      <x v="5"/>
    </i>
    <i r="1">
      <x v="12"/>
    </i>
    <i r="2">
      <x v="1"/>
    </i>
    <i r="2">
      <x v="4"/>
    </i>
    <i r="2">
      <x v="16"/>
    </i>
    <i r="2">
      <x v="23"/>
    </i>
    <i r="2">
      <x v="27"/>
    </i>
    <i>
      <x v="6"/>
    </i>
    <i r="1">
      <x v="14"/>
    </i>
    <i r="2">
      <x v="12"/>
    </i>
    <i>
      <x v="7"/>
    </i>
    <i r="1">
      <x v="4"/>
    </i>
    <i r="2">
      <x v="9"/>
    </i>
    <i r="2">
      <x v="28"/>
    </i>
    <i>
      <x v="8"/>
    </i>
    <i r="1">
      <x v="13"/>
    </i>
    <i r="2">
      <x v="21"/>
    </i>
    <i>
      <x v="9"/>
    </i>
    <i r="1">
      <x v="6"/>
    </i>
    <i r="2">
      <x v="20"/>
    </i>
    <i>
      <x v="10"/>
    </i>
    <i r="1">
      <x v="2"/>
    </i>
    <i r="2">
      <x v="26"/>
    </i>
    <i>
      <x v="11"/>
    </i>
    <i r="1">
      <x/>
    </i>
    <i r="2">
      <x v="3"/>
    </i>
    <i r="2">
      <x v="8"/>
    </i>
    <i r="2">
      <x v="15"/>
    </i>
    <i r="2">
      <x v="18"/>
    </i>
    <i r="2">
      <x v="31"/>
    </i>
    <i>
      <x v="12"/>
    </i>
    <i r="1">
      <x v="3"/>
    </i>
    <i r="2">
      <x v="7"/>
    </i>
    <i r="2">
      <x v="24"/>
    </i>
    <i r="2">
      <x v="29"/>
    </i>
    <i>
      <x v="13"/>
    </i>
    <i r="1">
      <x v="9"/>
    </i>
    <i r="2">
      <x/>
    </i>
    <i r="2">
      <x v="2"/>
    </i>
    <i r="2">
      <x v="10"/>
    </i>
    <i r="2">
      <x v="22"/>
    </i>
    <i r="2">
      <x v="32"/>
    </i>
    <i>
      <x v="14"/>
    </i>
    <i r="1">
      <x v="7"/>
    </i>
    <i r="2">
      <x v="17"/>
    </i>
    <i r="2">
      <x v="19"/>
    </i>
    <i r="2">
      <x v="3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 order_value_EUR " fld="1" baseField="0" baseItem="0" numFmtId="4"/>
  </dataFields>
  <formats count="1"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21F83-05CB-433A-A697-10D9B6C3A969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5:D152" firstHeaderRow="1" firstDataRow="2" firstDataCol="1"/>
  <pivotFields count="18">
    <pivotField showAll="0"/>
    <pivotField numFmtId="4" showAll="0"/>
    <pivotField showAll="0"/>
    <pivotField numFmtId="14" showAll="0"/>
    <pivotField showAll="0"/>
    <pivotField showAll="0"/>
    <pivotField axis="axisRow" showAll="0">
      <items count="16">
        <item x="2"/>
        <item x="8"/>
        <item x="6"/>
        <item x="3"/>
        <item x="11"/>
        <item x="1"/>
        <item x="9"/>
        <item x="4"/>
        <item x="7"/>
        <item x="0"/>
        <item x="13"/>
        <item x="14"/>
        <item x="5"/>
        <item x="10"/>
        <item x="12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GP" fld="1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372E9-29D4-445C-96FF-A62F44611555}" name="PivotTable1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3:E325" firstHeaderRow="1" firstDataRow="2" firstDataCol="1"/>
  <pivotFields count="18">
    <pivotField showAll="0"/>
    <pivotField numFmtId="4" showAll="0"/>
    <pivotField showAll="0"/>
    <pivotField numFmtId="14" showAll="0"/>
    <pivotField axis="axisRow" showAll="0">
      <items count="11">
        <item x="4"/>
        <item x="5"/>
        <item x="3"/>
        <item x="0"/>
        <item x="2"/>
        <item x="8"/>
        <item x="1"/>
        <item x="9"/>
        <item x="7"/>
        <item x="6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GP" fld="1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D9A85-7650-412B-8F7D-E56F6027B1EE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5:J173" firstHeaderRow="1" firstDataRow="3" firstDataCol="1"/>
  <pivotFields count="18">
    <pivotField showAll="0"/>
    <pivotField dataField="1" numFmtId="4" showAll="0"/>
    <pivotField showAll="0"/>
    <pivotField numFmtId="14" showAll="0"/>
    <pivotField showAll="0"/>
    <pivotField showAll="0"/>
    <pivotField axis="axisRow" showAll="0">
      <items count="16">
        <item x="2"/>
        <item x="8"/>
        <item x="6"/>
        <item x="3"/>
        <item x="11"/>
        <item x="1"/>
        <item x="9"/>
        <item x="4"/>
        <item x="7"/>
        <item x="0"/>
        <item x="13"/>
        <item x="14"/>
        <item x="5"/>
        <item x="10"/>
        <item x="12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13"/>
    <field x="8"/>
  </colFields>
  <col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colItems>
  <dataFields count="1">
    <dataField name="Sum of  order_value_EUR " fld="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1AEB7-7346-4084-AEA9-39FCC2843528}" name="PivotTable2" cacheId="28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>
  <location ref="A2:G40" firstHeaderRow="1" firstDataRow="3" firstDataCol="1"/>
  <pivotFields count="18">
    <pivotField showAll="0" defaultSubtotal="0">
      <items count="15">
        <item x="14"/>
        <item x="7"/>
        <item x="8"/>
        <item x="13"/>
        <item x="1"/>
        <item x="5"/>
        <item x="12"/>
        <item x="11"/>
        <item x="10"/>
        <item x="9"/>
        <item x="6"/>
        <item x="2"/>
        <item x="3"/>
        <item x="0"/>
        <item x="4"/>
      </items>
    </pivotField>
    <pivotField dataField="1" numFmtId="4" showAll="0" defaultSubtotal="0"/>
    <pivotField showAll="0" defaultSubtotal="0"/>
    <pivotField numFmtId="14" showAll="0" defaultSubtotal="0"/>
    <pivotField showAll="0" defaultSubtotal="0"/>
    <pivotField showAll="0" defaultSubtotal="0"/>
    <pivotField showAll="0" defaultSubtotal="0"/>
    <pivotField axis="axisRow" showAll="0" defaultSubtotal="0">
      <items count="35">
        <item x="13"/>
        <item x="10"/>
        <item x="9"/>
        <item x="3"/>
        <item x="23"/>
        <item x="32"/>
        <item x="24"/>
        <item x="4"/>
        <item x="29"/>
        <item x="26"/>
        <item x="19"/>
        <item x="30"/>
        <item x="28"/>
        <item x="34"/>
        <item x="16"/>
        <item x="12"/>
        <item x="20"/>
        <item x="8"/>
        <item x="15"/>
        <item x="11"/>
        <item x="18"/>
        <item x="22"/>
        <item x="0"/>
        <item x="7"/>
        <item x="33"/>
        <item x="31"/>
        <item x="14"/>
        <item x="21"/>
        <item x="27"/>
        <item x="5"/>
        <item x="17"/>
        <item x="2"/>
        <item x="25"/>
        <item x="1"/>
        <item x="6"/>
      </items>
    </pivotField>
    <pivotField axis="axisCol"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>
      <items count="12">
        <item x="7"/>
        <item x="0"/>
        <item x="10"/>
        <item x="3"/>
        <item x="6"/>
        <item x="9"/>
        <item x="2"/>
        <item x="5"/>
        <item x="1"/>
        <item x="11"/>
        <item x="8"/>
        <item x="4"/>
      </items>
    </pivotField>
    <pivotField axis="axisCol" multipleItemSelectionAllowed="1" showAll="0" defaultSubtotal="0">
      <items count="2">
        <item x="1"/>
        <item x="0"/>
      </items>
    </pivotField>
    <pivotField showAll="0" defaultSubtotal="0"/>
    <pivotField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7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2">
    <field x="13"/>
    <field x="8"/>
  </colFields>
  <colItems count="6">
    <i>
      <x/>
      <x/>
    </i>
    <i r="1">
      <x v="1"/>
    </i>
    <i r="1">
      <x v="2"/>
    </i>
    <i>
      <x v="1"/>
      <x/>
    </i>
    <i r="1">
      <x v="1"/>
    </i>
    <i r="1">
      <x v="2"/>
    </i>
  </colItems>
  <dataFields count="1">
    <dataField name="Sum of  order_value_EUR " fld="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91E1C-DCCE-4967-97D5-6BAFE90AB788}" name="PivotTable14" cacheId="2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3">
  <location ref="A3:E16" firstHeaderRow="1" firstDataRow="3" firstDataCol="1" rowPageCount="1" colPageCount="1"/>
  <pivotFields count="18">
    <pivotField compact="0" outline="0" showAll="0" defaultSubtotal="0">
      <items count="15">
        <item h="1" x="14"/>
        <item h="1" x="7"/>
        <item h="1" x="8"/>
        <item h="1" x="13"/>
        <item h="1" x="1"/>
        <item x="5"/>
        <item h="1" x="12"/>
        <item h="1" x="11"/>
        <item h="1" x="10"/>
        <item h="1" x="9"/>
        <item h="1" x="6"/>
        <item h="1" x="2"/>
        <item h="1" x="3"/>
        <item h="1" x="0"/>
        <item h="1" x="4"/>
      </items>
    </pivotField>
    <pivotField dataField="1" compact="0" numFmtId="4" outline="0" showAll="0" defaultSubtotal="0"/>
    <pivotField dataField="1" compact="0" outline="0" showAll="0" defaultSubtotal="0"/>
    <pivotField compact="0" numFmtId="14" outline="0" showAll="0" defaultSubtotal="0"/>
    <pivotField axis="axisRow" compact="0" outline="0" showAll="0" defaultSubtotal="0">
      <items count="10">
        <item x="4"/>
        <item x="5"/>
        <item x="3"/>
        <item x="0"/>
        <item x="2"/>
        <item x="8"/>
        <item x="1"/>
        <item x="9"/>
        <item x="7"/>
        <item x="6"/>
      </items>
    </pivotField>
    <pivotField compact="0" outline="0" showAll="0" defaultSubtotal="0">
      <items count="75">
        <item x="73"/>
        <item x="34"/>
        <item x="17"/>
        <item x="39"/>
        <item x="66"/>
        <item x="33"/>
        <item x="63"/>
        <item x="19"/>
        <item x="51"/>
        <item x="23"/>
        <item x="46"/>
        <item x="5"/>
        <item x="28"/>
        <item x="15"/>
        <item x="61"/>
        <item x="21"/>
        <item x="8"/>
        <item x="65"/>
        <item x="0"/>
        <item x="69"/>
        <item x="27"/>
        <item x="48"/>
        <item x="64"/>
        <item x="71"/>
        <item x="35"/>
        <item x="7"/>
        <item x="3"/>
        <item x="1"/>
        <item x="60"/>
        <item x="16"/>
        <item x="4"/>
        <item x="22"/>
        <item x="49"/>
        <item x="20"/>
        <item x="57"/>
        <item x="24"/>
        <item x="2"/>
        <item x="36"/>
        <item x="74"/>
        <item x="72"/>
        <item x="44"/>
        <item x="52"/>
        <item x="55"/>
        <item x="47"/>
        <item x="29"/>
        <item x="40"/>
        <item x="53"/>
        <item x="18"/>
        <item x="41"/>
        <item x="59"/>
        <item x="45"/>
        <item x="14"/>
        <item x="56"/>
        <item x="12"/>
        <item x="26"/>
        <item x="6"/>
        <item x="50"/>
        <item x="70"/>
        <item x="43"/>
        <item x="37"/>
        <item x="30"/>
        <item x="13"/>
        <item x="68"/>
        <item x="58"/>
        <item x="62"/>
        <item x="9"/>
        <item x="11"/>
        <item x="54"/>
        <item x="32"/>
        <item x="42"/>
        <item x="10"/>
        <item x="25"/>
        <item x="31"/>
        <item x="67"/>
        <item x="38"/>
      </items>
    </pivotField>
    <pivotField compact="0" outline="0" showAll="0" defaultSubtotal="0">
      <items count="15">
        <item x="2"/>
        <item x="8"/>
        <item x="6"/>
        <item x="3"/>
        <item x="11"/>
        <item x="1"/>
        <item x="9"/>
        <item x="4"/>
        <item x="7"/>
        <item x="0"/>
        <item x="13"/>
        <item x="14"/>
        <item x="5"/>
        <item x="10"/>
        <item x="12"/>
      </items>
    </pivotField>
    <pivotField compact="0" outline="0" showAll="0" defaultSubtotal="0">
      <items count="35">
        <item x="13"/>
        <item x="10"/>
        <item x="9"/>
        <item x="3"/>
        <item x="23"/>
        <item x="32"/>
        <item x="24"/>
        <item x="4"/>
        <item x="29"/>
        <item x="26"/>
        <item x="19"/>
        <item x="30"/>
        <item x="28"/>
        <item x="34"/>
        <item x="16"/>
        <item x="12"/>
        <item x="20"/>
        <item x="8"/>
        <item x="15"/>
        <item x="11"/>
        <item x="18"/>
        <item x="22"/>
        <item x="0"/>
        <item x="7"/>
        <item x="33"/>
        <item x="31"/>
        <item x="14"/>
        <item x="21"/>
        <item x="27"/>
        <item x="5"/>
        <item x="17"/>
        <item x="2"/>
        <item x="25"/>
        <item x="1"/>
        <item x="6"/>
      </items>
    </pivotField>
    <pivotField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2">
        <item x="7"/>
        <item x="0"/>
        <item x="10"/>
        <item x="3"/>
        <item x="6"/>
        <item x="9"/>
        <item x="2"/>
        <item x="5"/>
        <item x="1"/>
        <item x="11"/>
        <item x="8"/>
        <item x="4"/>
      </items>
    </pivotField>
    <pivotField axis="axisCol" compact="0" outline="0" multipleItemSelectionAllowed="1" showAll="0" defaultSubtotal="0">
      <items count="2">
        <item x="1"/>
        <item x="0"/>
      </items>
    </pivotField>
    <pivotField axis="axisPage" compact="0" outline="0" multipleItemSelectionAllowed="1" showAll="0" defaultSubtotal="0">
      <items count="12">
        <item h="1" x="7"/>
        <item h="1" x="0"/>
        <item h="1" x="10"/>
        <item h="1" x="3"/>
        <item h="1" x="6"/>
        <item h="1" x="9"/>
        <item h="1" x="2"/>
        <item h="1" x="5"/>
        <item h="1" x="1"/>
        <item h="1" x="11"/>
        <item h="1" x="8"/>
        <item x="4"/>
      </items>
    </pivotField>
    <pivotField compact="0" outline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3"/>
    <field x="-2"/>
  </colFields>
  <colItems count="4">
    <i>
      <x/>
      <x/>
    </i>
    <i r="1" i="1">
      <x v="1"/>
    </i>
    <i>
      <x v="1"/>
      <x/>
    </i>
    <i r="1" i="1">
      <x v="1"/>
    </i>
  </colItems>
  <pageFields count="1">
    <pageField fld="14" hier="-1"/>
  </pageFields>
  <dataFields count="2">
    <dataField name="Sum of  order_value_EUR " fld="1" baseField="0" baseItem="0" numFmtId="4"/>
    <dataField name="Sum of  cost 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58AB8-0329-438A-9718-18E43F381A20}" name="PivotTable1" cacheId="2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3">
  <location ref="A55:B68" firstHeaderRow="1" firstDataRow="1" firstDataCol="1" rowPageCount="1" colPageCount="1"/>
  <pivotFields count="19">
    <pivotField compact="0" outline="0" showAll="0" defaultSubtotal="0"/>
    <pivotField compact="0" numFmtId="4" outline="0" subtotalTop="0" showAll="0" defaultSubtotal="0"/>
    <pivotField compact="0" outline="0" showAll="0" defaultSubtotal="0"/>
    <pivotField compact="0" numFmtId="14" outline="0" showAll="0" defaultSubtotal="0"/>
    <pivotField axis="axisPage" compact="0" outline="0" multipleItemSelectionAllowed="1" showAll="0" defaultSubtotal="0">
      <items count="10">
        <item h="1" x="4"/>
        <item h="1" x="5"/>
        <item x="3"/>
        <item h="1" x="0"/>
        <item h="1" x="2"/>
        <item h="1" x="8"/>
        <item h="1" x="1"/>
        <item h="1" x="9"/>
        <item h="1" x="7"/>
        <item h="1"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>
      <items count="2">
        <item x="1"/>
        <item x="0"/>
      </items>
    </pivotField>
    <pivotField axis="axisRow" compact="0" outline="0" showAll="0" defaultSubtotal="0">
      <items count="12">
        <item x="7"/>
        <item x="0"/>
        <item x="10"/>
        <item x="3"/>
        <item x="6"/>
        <item x="9"/>
        <item x="2"/>
        <item x="5"/>
        <item x="1"/>
        <item x="11"/>
        <item x="8"/>
        <item x="4"/>
      </items>
    </pivotField>
    <pivotField dataField="1" compact="0" outline="0" subtotalTop="0" showAll="0" defaultSubtotal="0"/>
    <pivotField compact="0" outline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 hier="-1"/>
  </pageFields>
  <dataFields count="1">
    <dataField name="Sum of Diff" fld="15" baseField="0" baseItem="0" numFmtId="164"/>
  </dataFields>
  <formats count="3">
    <format dxfId="2">
      <pivotArea outline="0" fieldPosition="0">
        <references count="1">
          <reference field="14" count="0" selected="0"/>
        </references>
      </pivotArea>
    </format>
    <format dxfId="1">
      <pivotArea outline="0" collapsedLevelsAreSubtotals="1" fieldPosition="0"/>
    </format>
    <format dxfId="0">
      <pivotArea outline="0" fieldPosition="0">
        <references count="1">
          <reference field="14" count="2" selected="0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D1A63"/>
      </a:accent1>
      <a:accent2>
        <a:srgbClr val="F68048"/>
      </a:accent2>
      <a:accent3>
        <a:srgbClr val="7E7E7E"/>
      </a:accent3>
      <a:accent4>
        <a:srgbClr val="253A95"/>
      </a:accent4>
      <a:accent5>
        <a:srgbClr val="F89B72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63251C-390F-4C7E-A229-FE0AA1E84C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e0e182f-7e36-4abb-b25f-ab9cea54fc0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10" Type="http://schemas.openxmlformats.org/officeDocument/2006/relationships/pivotTable" Target="../pivotTables/pivotTable13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54F3-BC3D-42E4-B949-E317E7AADD04}">
  <dimension ref="A1:P1001"/>
  <sheetViews>
    <sheetView topLeftCell="A79" workbookViewId="0">
      <selection activeCell="G38" sqref="G38"/>
    </sheetView>
  </sheetViews>
  <sheetFormatPr defaultRowHeight="15" x14ac:dyDescent="0.25"/>
  <cols>
    <col min="1" max="1" width="11.85546875" bestFit="1" customWidth="1"/>
    <col min="2" max="2" width="16.5703125" bestFit="1" customWidth="1"/>
    <col min="3" max="3" width="10" bestFit="1" customWidth="1"/>
    <col min="4" max="4" width="10.42578125" bestFit="1" customWidth="1"/>
    <col min="5" max="5" width="12.7109375" bestFit="1" customWidth="1"/>
    <col min="6" max="6" width="34.28515625" bestFit="1" customWidth="1"/>
    <col min="7" max="7" width="16.28515625" bestFit="1" customWidth="1"/>
    <col min="8" max="8" width="18.85546875" bestFit="1" customWidth="1"/>
    <col min="9" max="9" width="11" bestFit="1" customWidth="1"/>
    <col min="10" max="10" width="10.7109375" bestFit="1" customWidth="1"/>
    <col min="15" max="15" width="12.5703125" bestFit="1" customWidth="1"/>
  </cols>
  <sheetData>
    <row r="1" spans="1:16" x14ac:dyDescent="0.25">
      <c r="A1" t="s">
        <v>0</v>
      </c>
      <c r="B1" t="s">
        <v>1209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1193</v>
      </c>
      <c r="L1" t="s">
        <v>1191</v>
      </c>
      <c r="M1" t="s">
        <v>1190</v>
      </c>
      <c r="N1" t="s">
        <v>1192</v>
      </c>
      <c r="O1" t="s">
        <v>1201</v>
      </c>
      <c r="P1" t="s">
        <v>1202</v>
      </c>
    </row>
    <row r="2" spans="1:16" x14ac:dyDescent="0.25">
      <c r="A2" t="s">
        <v>9</v>
      </c>
      <c r="B2" s="1">
        <v>17524.02</v>
      </c>
      <c r="C2">
        <v>14122.61</v>
      </c>
      <c r="D2" s="2">
        <v>43873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L2">
        <f>YEAR(D2)*100+MONTH(D2)</f>
        <v>202002</v>
      </c>
      <c r="M2">
        <f>MONTH(D2)</f>
        <v>2</v>
      </c>
      <c r="N2">
        <f>YEAR(D2)</f>
        <v>2020</v>
      </c>
      <c r="O2" t="str">
        <f>VLOOKUP(M2,month_lookup!A:B,2,FALSE)</f>
        <v>Feb</v>
      </c>
      <c r="P2">
        <f t="shared" ref="P2:P5" si="0">IF(N2=2020,B2,-B2)</f>
        <v>17524.02</v>
      </c>
    </row>
    <row r="3" spans="1:16" x14ac:dyDescent="0.25">
      <c r="A3" t="s">
        <v>16</v>
      </c>
      <c r="B3" s="1">
        <v>116563.4</v>
      </c>
      <c r="C3">
        <v>92807.78</v>
      </c>
      <c r="D3" s="2">
        <v>43734</v>
      </c>
      <c r="E3" t="s">
        <v>17</v>
      </c>
      <c r="F3" t="s">
        <v>18</v>
      </c>
      <c r="G3" t="s">
        <v>19</v>
      </c>
      <c r="H3" t="s">
        <v>20</v>
      </c>
      <c r="I3" t="s">
        <v>14</v>
      </c>
      <c r="J3" t="s">
        <v>21</v>
      </c>
      <c r="L3">
        <f t="shared" ref="L3:L66" si="1">YEAR(D3)*100+MONTH(D3)</f>
        <v>201909</v>
      </c>
      <c r="M3">
        <f t="shared" ref="M3:M66" si="2">MONTH(D3)</f>
        <v>9</v>
      </c>
      <c r="N3">
        <f t="shared" ref="N3:N66" si="3">YEAR(D3)</f>
        <v>2019</v>
      </c>
      <c r="O3" t="str">
        <f>VLOOKUP(M3,month_lookup!A:B,2,FALSE)</f>
        <v>Sep</v>
      </c>
      <c r="P3">
        <f t="shared" si="0"/>
        <v>-116563.4</v>
      </c>
    </row>
    <row r="4" spans="1:16" x14ac:dyDescent="0.25">
      <c r="A4" t="s">
        <v>22</v>
      </c>
      <c r="B4" s="1">
        <v>296465.56</v>
      </c>
      <c r="C4">
        <v>257480.34</v>
      </c>
      <c r="D4" s="2">
        <v>43657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L4">
        <f t="shared" si="1"/>
        <v>201907</v>
      </c>
      <c r="M4">
        <f t="shared" si="2"/>
        <v>7</v>
      </c>
      <c r="N4">
        <f t="shared" si="3"/>
        <v>2019</v>
      </c>
      <c r="O4" t="str">
        <f>VLOOKUP(M4,month_lookup!A:B,2,FALSE)</f>
        <v>Jul</v>
      </c>
      <c r="P4">
        <f t="shared" si="0"/>
        <v>-296465.56</v>
      </c>
    </row>
    <row r="5" spans="1:16" x14ac:dyDescent="0.25">
      <c r="A5" t="s">
        <v>22</v>
      </c>
      <c r="B5" s="1">
        <v>74532.02</v>
      </c>
      <c r="C5">
        <v>59752.32</v>
      </c>
      <c r="D5" s="2">
        <v>43923</v>
      </c>
      <c r="E5" t="s">
        <v>29</v>
      </c>
      <c r="F5" t="s">
        <v>30</v>
      </c>
      <c r="G5" t="s">
        <v>25</v>
      </c>
      <c r="H5" t="s">
        <v>31</v>
      </c>
      <c r="I5" t="s">
        <v>27</v>
      </c>
      <c r="J5" t="s">
        <v>32</v>
      </c>
      <c r="L5">
        <f t="shared" si="1"/>
        <v>202004</v>
      </c>
      <c r="M5">
        <f t="shared" si="2"/>
        <v>4</v>
      </c>
      <c r="N5">
        <f t="shared" si="3"/>
        <v>2020</v>
      </c>
      <c r="O5" t="str">
        <f>VLOOKUP(M5,month_lookup!A:B,2,FALSE)</f>
        <v>Apr</v>
      </c>
      <c r="P5">
        <f t="shared" si="0"/>
        <v>74532.02</v>
      </c>
    </row>
    <row r="6" spans="1:16" x14ac:dyDescent="0.25">
      <c r="A6" t="s">
        <v>33</v>
      </c>
      <c r="B6" s="1">
        <v>178763.42</v>
      </c>
      <c r="C6">
        <v>146621.76000000001</v>
      </c>
      <c r="D6" s="2">
        <v>43821</v>
      </c>
      <c r="E6" t="s">
        <v>17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L6">
        <f t="shared" si="1"/>
        <v>201912</v>
      </c>
      <c r="M6">
        <f t="shared" si="2"/>
        <v>12</v>
      </c>
      <c r="N6">
        <f t="shared" si="3"/>
        <v>2019</v>
      </c>
      <c r="O6" t="str">
        <f>VLOOKUP(M6,month_lookup!A:B,2,FALSE)</f>
        <v>Dec</v>
      </c>
      <c r="P6">
        <f>IF(N6=2020,B6,-B6)</f>
        <v>-178763.42</v>
      </c>
    </row>
    <row r="7" spans="1:16" x14ac:dyDescent="0.25">
      <c r="A7" t="s">
        <v>33</v>
      </c>
      <c r="B7" s="1">
        <v>84900.24</v>
      </c>
      <c r="C7">
        <v>73701.899999999994</v>
      </c>
      <c r="D7" s="2">
        <v>44026</v>
      </c>
      <c r="E7" t="s">
        <v>23</v>
      </c>
      <c r="F7" t="s">
        <v>39</v>
      </c>
      <c r="G7" t="s">
        <v>35</v>
      </c>
      <c r="H7" t="s">
        <v>40</v>
      </c>
      <c r="I7" t="s">
        <v>27</v>
      </c>
      <c r="J7" t="s">
        <v>41</v>
      </c>
      <c r="L7">
        <f t="shared" si="1"/>
        <v>202007</v>
      </c>
      <c r="M7">
        <f t="shared" si="2"/>
        <v>7</v>
      </c>
      <c r="N7">
        <f t="shared" si="3"/>
        <v>2020</v>
      </c>
      <c r="O7" t="str">
        <f>VLOOKUP(M7,month_lookup!A:B,2,FALSE)</f>
        <v>Jul</v>
      </c>
      <c r="P7">
        <f t="shared" ref="P7:P70" si="4">IF(N7=2020,B7,-B7)</f>
        <v>84900.24</v>
      </c>
    </row>
    <row r="8" spans="1:16" x14ac:dyDescent="0.25">
      <c r="A8" t="s">
        <v>22</v>
      </c>
      <c r="B8" s="1">
        <v>71620.08</v>
      </c>
      <c r="C8">
        <v>62245.01</v>
      </c>
      <c r="D8" s="2">
        <v>43501</v>
      </c>
      <c r="E8" t="s">
        <v>10</v>
      </c>
      <c r="F8" t="s">
        <v>42</v>
      </c>
      <c r="G8" t="s">
        <v>25</v>
      </c>
      <c r="H8" t="s">
        <v>26</v>
      </c>
      <c r="I8" t="s">
        <v>27</v>
      </c>
      <c r="J8" t="s">
        <v>43</v>
      </c>
      <c r="L8">
        <f t="shared" si="1"/>
        <v>201902</v>
      </c>
      <c r="M8">
        <f t="shared" si="2"/>
        <v>2</v>
      </c>
      <c r="N8">
        <f t="shared" si="3"/>
        <v>2019</v>
      </c>
      <c r="O8" t="str">
        <f>VLOOKUP(M8,month_lookup!A:B,2,FALSE)</f>
        <v>Feb</v>
      </c>
      <c r="P8">
        <f t="shared" si="4"/>
        <v>-71620.08</v>
      </c>
    </row>
    <row r="9" spans="1:16" x14ac:dyDescent="0.25">
      <c r="A9" t="s">
        <v>44</v>
      </c>
      <c r="B9" s="1">
        <v>156585.22</v>
      </c>
      <c r="C9">
        <v>126599.15</v>
      </c>
      <c r="D9" s="2">
        <v>44073</v>
      </c>
      <c r="E9" t="s">
        <v>45</v>
      </c>
      <c r="F9" t="s">
        <v>46</v>
      </c>
      <c r="G9" t="s">
        <v>47</v>
      </c>
      <c r="H9" t="s">
        <v>48</v>
      </c>
      <c r="I9" t="s">
        <v>27</v>
      </c>
      <c r="J9" t="s">
        <v>49</v>
      </c>
      <c r="L9">
        <f t="shared" si="1"/>
        <v>202008</v>
      </c>
      <c r="M9">
        <f t="shared" si="2"/>
        <v>8</v>
      </c>
      <c r="N9">
        <f t="shared" si="3"/>
        <v>2020</v>
      </c>
      <c r="O9" t="str">
        <f>VLOOKUP(M9,month_lookup!A:B,2,FALSE)</f>
        <v>Aug</v>
      </c>
      <c r="P9">
        <f t="shared" si="4"/>
        <v>156585.22</v>
      </c>
    </row>
    <row r="10" spans="1:16" x14ac:dyDescent="0.25">
      <c r="A10" t="s">
        <v>22</v>
      </c>
      <c r="B10" s="1">
        <v>78461.13</v>
      </c>
      <c r="C10">
        <v>63537.82</v>
      </c>
      <c r="D10" s="2">
        <v>43961</v>
      </c>
      <c r="E10" t="s">
        <v>50</v>
      </c>
      <c r="F10" t="s">
        <v>30</v>
      </c>
      <c r="G10" t="s">
        <v>25</v>
      </c>
      <c r="H10" t="s">
        <v>26</v>
      </c>
      <c r="I10" t="s">
        <v>14</v>
      </c>
      <c r="J10" t="s">
        <v>51</v>
      </c>
      <c r="L10">
        <f t="shared" si="1"/>
        <v>202005</v>
      </c>
      <c r="M10">
        <f t="shared" si="2"/>
        <v>5</v>
      </c>
      <c r="N10">
        <f t="shared" si="3"/>
        <v>2020</v>
      </c>
      <c r="O10" t="str">
        <f>VLOOKUP(M10,month_lookup!A:B,2,FALSE)</f>
        <v>May</v>
      </c>
      <c r="P10">
        <f t="shared" si="4"/>
        <v>78461.13</v>
      </c>
    </row>
    <row r="11" spans="1:16" x14ac:dyDescent="0.25">
      <c r="A11" t="s">
        <v>52</v>
      </c>
      <c r="B11" s="1">
        <v>64827.8</v>
      </c>
      <c r="C11">
        <v>56043.63</v>
      </c>
      <c r="D11" s="2">
        <v>43485</v>
      </c>
      <c r="E11" t="s">
        <v>50</v>
      </c>
      <c r="F11" t="s">
        <v>53</v>
      </c>
      <c r="G11" t="s">
        <v>54</v>
      </c>
      <c r="H11" t="s">
        <v>55</v>
      </c>
      <c r="I11" t="s">
        <v>27</v>
      </c>
      <c r="J11" t="s">
        <v>56</v>
      </c>
      <c r="L11">
        <f t="shared" si="1"/>
        <v>201901</v>
      </c>
      <c r="M11">
        <f t="shared" si="2"/>
        <v>1</v>
      </c>
      <c r="N11">
        <f t="shared" si="3"/>
        <v>2019</v>
      </c>
      <c r="O11" t="str">
        <f>VLOOKUP(M11,month_lookup!A:B,2,FALSE)</f>
        <v>Jan</v>
      </c>
      <c r="P11">
        <f t="shared" si="4"/>
        <v>-64827.8</v>
      </c>
    </row>
    <row r="12" spans="1:16" x14ac:dyDescent="0.25">
      <c r="A12" t="s">
        <v>9</v>
      </c>
      <c r="B12" s="1">
        <v>142664.34</v>
      </c>
      <c r="C12">
        <v>120808.16</v>
      </c>
      <c r="D12" s="2">
        <v>43589</v>
      </c>
      <c r="E12" t="s">
        <v>50</v>
      </c>
      <c r="F12" t="s">
        <v>57</v>
      </c>
      <c r="G12" t="s">
        <v>12</v>
      </c>
      <c r="H12" t="s">
        <v>13</v>
      </c>
      <c r="I12" t="s">
        <v>27</v>
      </c>
      <c r="J12" t="s">
        <v>58</v>
      </c>
      <c r="L12">
        <f t="shared" si="1"/>
        <v>201905</v>
      </c>
      <c r="M12">
        <f t="shared" si="2"/>
        <v>5</v>
      </c>
      <c r="N12">
        <f t="shared" si="3"/>
        <v>2019</v>
      </c>
      <c r="O12" t="str">
        <f>VLOOKUP(M12,month_lookup!A:B,2,FALSE)</f>
        <v>May</v>
      </c>
      <c r="P12">
        <f t="shared" si="4"/>
        <v>-142664.34</v>
      </c>
    </row>
    <row r="13" spans="1:16" x14ac:dyDescent="0.25">
      <c r="A13" t="s">
        <v>44</v>
      </c>
      <c r="B13" s="1">
        <v>66673.19</v>
      </c>
      <c r="C13">
        <v>52811.83</v>
      </c>
      <c r="D13" s="2">
        <v>43519</v>
      </c>
      <c r="E13" t="s">
        <v>59</v>
      </c>
      <c r="F13" t="s">
        <v>53</v>
      </c>
      <c r="G13" t="s">
        <v>47</v>
      </c>
      <c r="H13" t="s">
        <v>48</v>
      </c>
      <c r="I13" t="s">
        <v>27</v>
      </c>
      <c r="J13" t="s">
        <v>60</v>
      </c>
      <c r="L13">
        <f t="shared" si="1"/>
        <v>201902</v>
      </c>
      <c r="M13">
        <f t="shared" si="2"/>
        <v>2</v>
      </c>
      <c r="N13">
        <f t="shared" si="3"/>
        <v>2019</v>
      </c>
      <c r="O13" t="str">
        <f>VLOOKUP(M13,month_lookup!A:B,2,FALSE)</f>
        <v>Feb</v>
      </c>
      <c r="P13">
        <f t="shared" si="4"/>
        <v>-66673.19</v>
      </c>
    </row>
    <row r="14" spans="1:16" x14ac:dyDescent="0.25">
      <c r="A14" t="s">
        <v>22</v>
      </c>
      <c r="B14" s="1">
        <v>136915.60999999999</v>
      </c>
      <c r="C14">
        <v>114790.05</v>
      </c>
      <c r="D14" s="2">
        <v>43834</v>
      </c>
      <c r="E14" t="s">
        <v>61</v>
      </c>
      <c r="F14" t="s">
        <v>30</v>
      </c>
      <c r="G14" t="s">
        <v>25</v>
      </c>
      <c r="H14" t="s">
        <v>31</v>
      </c>
      <c r="I14" t="s">
        <v>37</v>
      </c>
      <c r="J14" t="s">
        <v>62</v>
      </c>
      <c r="L14">
        <f t="shared" si="1"/>
        <v>202001</v>
      </c>
      <c r="M14">
        <f t="shared" si="2"/>
        <v>1</v>
      </c>
      <c r="N14">
        <f t="shared" si="3"/>
        <v>2020</v>
      </c>
      <c r="O14" t="str">
        <f>VLOOKUP(M14,month_lookup!A:B,2,FALSE)</f>
        <v>Jan</v>
      </c>
      <c r="P14">
        <f t="shared" si="4"/>
        <v>136915.60999999999</v>
      </c>
    </row>
    <row r="15" spans="1:16" x14ac:dyDescent="0.25">
      <c r="A15" t="s">
        <v>44</v>
      </c>
      <c r="B15" s="1">
        <v>164971.70000000001</v>
      </c>
      <c r="C15">
        <v>132686.74</v>
      </c>
      <c r="D15" s="2">
        <v>43666</v>
      </c>
      <c r="E15" t="s">
        <v>45</v>
      </c>
      <c r="F15" t="s">
        <v>63</v>
      </c>
      <c r="G15" t="s">
        <v>47</v>
      </c>
      <c r="H15" t="s">
        <v>48</v>
      </c>
      <c r="I15" t="s">
        <v>27</v>
      </c>
      <c r="J15" t="s">
        <v>64</v>
      </c>
      <c r="L15">
        <f t="shared" si="1"/>
        <v>201907</v>
      </c>
      <c r="M15">
        <f t="shared" si="2"/>
        <v>7</v>
      </c>
      <c r="N15">
        <f t="shared" si="3"/>
        <v>2019</v>
      </c>
      <c r="O15" t="str">
        <f>VLOOKUP(M15,month_lookup!A:B,2,FALSE)</f>
        <v>Jul</v>
      </c>
      <c r="P15">
        <f t="shared" si="4"/>
        <v>-164971.70000000001</v>
      </c>
    </row>
    <row r="16" spans="1:16" x14ac:dyDescent="0.25">
      <c r="A16" t="s">
        <v>44</v>
      </c>
      <c r="B16" s="1">
        <v>149486.26999999999</v>
      </c>
      <c r="C16">
        <v>118662.2</v>
      </c>
      <c r="D16" s="2">
        <v>43683</v>
      </c>
      <c r="E16" t="s">
        <v>29</v>
      </c>
      <c r="F16" t="s">
        <v>34</v>
      </c>
      <c r="G16" t="s">
        <v>47</v>
      </c>
      <c r="H16" t="s">
        <v>65</v>
      </c>
      <c r="I16" t="s">
        <v>27</v>
      </c>
      <c r="J16" t="s">
        <v>66</v>
      </c>
      <c r="L16">
        <f t="shared" si="1"/>
        <v>201908</v>
      </c>
      <c r="M16">
        <f t="shared" si="2"/>
        <v>8</v>
      </c>
      <c r="N16">
        <f t="shared" si="3"/>
        <v>2019</v>
      </c>
      <c r="O16" t="str">
        <f>VLOOKUP(M16,month_lookup!A:B,2,FALSE)</f>
        <v>Aug</v>
      </c>
      <c r="P16">
        <f t="shared" si="4"/>
        <v>-149486.26999999999</v>
      </c>
    </row>
    <row r="17" spans="1:16" x14ac:dyDescent="0.25">
      <c r="A17" t="s">
        <v>9</v>
      </c>
      <c r="B17" s="1">
        <v>54078.92</v>
      </c>
      <c r="C17">
        <v>46102.28</v>
      </c>
      <c r="D17" s="2">
        <v>44143</v>
      </c>
      <c r="E17" t="s">
        <v>10</v>
      </c>
      <c r="F17" t="s">
        <v>67</v>
      </c>
      <c r="G17" t="s">
        <v>12</v>
      </c>
      <c r="H17" t="s">
        <v>68</v>
      </c>
      <c r="I17" t="s">
        <v>27</v>
      </c>
      <c r="J17" t="s">
        <v>69</v>
      </c>
      <c r="L17">
        <f t="shared" si="1"/>
        <v>202011</v>
      </c>
      <c r="M17">
        <f t="shared" si="2"/>
        <v>11</v>
      </c>
      <c r="N17">
        <f t="shared" si="3"/>
        <v>2020</v>
      </c>
      <c r="O17" t="str">
        <f>VLOOKUP(M17,month_lookup!A:B,2,FALSE)</f>
        <v>Nov</v>
      </c>
      <c r="P17">
        <f t="shared" si="4"/>
        <v>54078.92</v>
      </c>
    </row>
    <row r="18" spans="1:16" x14ac:dyDescent="0.25">
      <c r="A18" t="s">
        <v>52</v>
      </c>
      <c r="B18" s="1">
        <v>107499.78</v>
      </c>
      <c r="C18">
        <v>91364.06</v>
      </c>
      <c r="D18" s="2">
        <v>43522</v>
      </c>
      <c r="E18" t="s">
        <v>59</v>
      </c>
      <c r="F18" t="s">
        <v>70</v>
      </c>
      <c r="G18" t="s">
        <v>54</v>
      </c>
      <c r="H18" t="s">
        <v>71</v>
      </c>
      <c r="I18" t="s">
        <v>27</v>
      </c>
      <c r="J18" t="s">
        <v>72</v>
      </c>
      <c r="L18">
        <f t="shared" si="1"/>
        <v>201902</v>
      </c>
      <c r="M18">
        <f t="shared" si="2"/>
        <v>2</v>
      </c>
      <c r="N18">
        <f t="shared" si="3"/>
        <v>2019</v>
      </c>
      <c r="O18" t="str">
        <f>VLOOKUP(M18,month_lookup!A:B,2,FALSE)</f>
        <v>Feb</v>
      </c>
      <c r="P18">
        <f t="shared" si="4"/>
        <v>-107499.78</v>
      </c>
    </row>
    <row r="19" spans="1:16" x14ac:dyDescent="0.25">
      <c r="A19" t="s">
        <v>44</v>
      </c>
      <c r="B19" s="1">
        <v>29493.79</v>
      </c>
      <c r="C19">
        <v>24285.19</v>
      </c>
      <c r="D19" s="2">
        <v>43791</v>
      </c>
      <c r="E19" t="s">
        <v>17</v>
      </c>
      <c r="F19" t="s">
        <v>67</v>
      </c>
      <c r="G19" t="s">
        <v>47</v>
      </c>
      <c r="H19" t="s">
        <v>73</v>
      </c>
      <c r="I19" t="s">
        <v>27</v>
      </c>
      <c r="J19" t="s">
        <v>74</v>
      </c>
      <c r="L19">
        <f t="shared" si="1"/>
        <v>201911</v>
      </c>
      <c r="M19">
        <f t="shared" si="2"/>
        <v>11</v>
      </c>
      <c r="N19">
        <f t="shared" si="3"/>
        <v>2019</v>
      </c>
      <c r="O19" t="str">
        <f>VLOOKUP(M19,month_lookup!A:B,2,FALSE)</f>
        <v>Nov</v>
      </c>
      <c r="P19">
        <f t="shared" si="4"/>
        <v>-29493.79</v>
      </c>
    </row>
    <row r="20" spans="1:16" x14ac:dyDescent="0.25">
      <c r="A20" t="s">
        <v>22</v>
      </c>
      <c r="B20" s="1">
        <v>147656.51999999999</v>
      </c>
      <c r="C20">
        <v>124193.9</v>
      </c>
      <c r="D20" s="2">
        <v>43621</v>
      </c>
      <c r="E20" t="s">
        <v>59</v>
      </c>
      <c r="F20" t="s">
        <v>11</v>
      </c>
      <c r="G20" t="s">
        <v>25</v>
      </c>
      <c r="H20" t="s">
        <v>75</v>
      </c>
      <c r="I20" t="s">
        <v>27</v>
      </c>
      <c r="J20" t="s">
        <v>76</v>
      </c>
      <c r="L20">
        <f t="shared" si="1"/>
        <v>201906</v>
      </c>
      <c r="M20">
        <f t="shared" si="2"/>
        <v>6</v>
      </c>
      <c r="N20">
        <f t="shared" si="3"/>
        <v>2019</v>
      </c>
      <c r="O20" t="str">
        <f>VLOOKUP(M20,month_lookup!A:B,2,FALSE)</f>
        <v>Jun</v>
      </c>
      <c r="P20">
        <f t="shared" si="4"/>
        <v>-147656.51999999999</v>
      </c>
    </row>
    <row r="21" spans="1:16" x14ac:dyDescent="0.25">
      <c r="A21" t="s">
        <v>22</v>
      </c>
      <c r="B21" s="1">
        <v>156839.31</v>
      </c>
      <c r="C21">
        <v>134709.28</v>
      </c>
      <c r="D21" s="2">
        <v>43962</v>
      </c>
      <c r="E21" t="s">
        <v>59</v>
      </c>
      <c r="F21" t="s">
        <v>77</v>
      </c>
      <c r="G21" t="s">
        <v>25</v>
      </c>
      <c r="H21" t="s">
        <v>75</v>
      </c>
      <c r="I21" t="s">
        <v>27</v>
      </c>
      <c r="J21" t="s">
        <v>78</v>
      </c>
      <c r="L21">
        <f t="shared" si="1"/>
        <v>202005</v>
      </c>
      <c r="M21">
        <f t="shared" si="2"/>
        <v>5</v>
      </c>
      <c r="N21">
        <f t="shared" si="3"/>
        <v>2020</v>
      </c>
      <c r="O21" t="str">
        <f>VLOOKUP(M21,month_lookup!A:B,2,FALSE)</f>
        <v>May</v>
      </c>
      <c r="P21">
        <f t="shared" si="4"/>
        <v>156839.31</v>
      </c>
    </row>
    <row r="22" spans="1:16" x14ac:dyDescent="0.25">
      <c r="A22" t="s">
        <v>33</v>
      </c>
      <c r="B22" s="1">
        <v>81412.100000000006</v>
      </c>
      <c r="C22">
        <v>64747.040000000001</v>
      </c>
      <c r="D22" s="2">
        <v>43775</v>
      </c>
      <c r="E22" t="s">
        <v>79</v>
      </c>
      <c r="F22" t="s">
        <v>34</v>
      </c>
      <c r="G22" t="s">
        <v>35</v>
      </c>
      <c r="H22" t="s">
        <v>36</v>
      </c>
      <c r="I22" t="s">
        <v>27</v>
      </c>
      <c r="J22" t="s">
        <v>80</v>
      </c>
      <c r="L22">
        <f t="shared" si="1"/>
        <v>201911</v>
      </c>
      <c r="M22">
        <f t="shared" si="2"/>
        <v>11</v>
      </c>
      <c r="N22">
        <f t="shared" si="3"/>
        <v>2019</v>
      </c>
      <c r="O22" t="str">
        <f>VLOOKUP(M22,month_lookup!A:B,2,FALSE)</f>
        <v>Nov</v>
      </c>
      <c r="P22">
        <f t="shared" si="4"/>
        <v>-81412.100000000006</v>
      </c>
    </row>
    <row r="23" spans="1:16" x14ac:dyDescent="0.25">
      <c r="A23" t="s">
        <v>9</v>
      </c>
      <c r="B23" s="1">
        <v>56717.53</v>
      </c>
      <c r="C23">
        <v>45101.78</v>
      </c>
      <c r="D23" s="2">
        <v>43534</v>
      </c>
      <c r="E23" t="s">
        <v>23</v>
      </c>
      <c r="F23" t="s">
        <v>34</v>
      </c>
      <c r="G23" t="s">
        <v>12</v>
      </c>
      <c r="H23" t="s">
        <v>81</v>
      </c>
      <c r="I23" t="s">
        <v>27</v>
      </c>
      <c r="J23" t="s">
        <v>82</v>
      </c>
      <c r="L23">
        <f t="shared" si="1"/>
        <v>201903</v>
      </c>
      <c r="M23">
        <f t="shared" si="2"/>
        <v>3</v>
      </c>
      <c r="N23">
        <f t="shared" si="3"/>
        <v>2019</v>
      </c>
      <c r="O23" t="str">
        <f>VLOOKUP(M23,month_lookup!A:B,2,FALSE)</f>
        <v>Mar</v>
      </c>
      <c r="P23">
        <f t="shared" si="4"/>
        <v>-56717.53</v>
      </c>
    </row>
    <row r="24" spans="1:16" x14ac:dyDescent="0.25">
      <c r="A24" t="s">
        <v>83</v>
      </c>
      <c r="B24" s="1">
        <v>17028.189999999999</v>
      </c>
      <c r="C24">
        <v>14102.75</v>
      </c>
      <c r="D24" s="2">
        <v>43868</v>
      </c>
      <c r="E24" t="s">
        <v>23</v>
      </c>
      <c r="F24" t="s">
        <v>34</v>
      </c>
      <c r="G24" t="s">
        <v>84</v>
      </c>
      <c r="H24" t="s">
        <v>85</v>
      </c>
      <c r="I24" t="s">
        <v>27</v>
      </c>
      <c r="J24" t="s">
        <v>86</v>
      </c>
      <c r="L24">
        <f t="shared" si="1"/>
        <v>202002</v>
      </c>
      <c r="M24">
        <f t="shared" si="2"/>
        <v>2</v>
      </c>
      <c r="N24">
        <f t="shared" si="3"/>
        <v>2020</v>
      </c>
      <c r="O24" t="str">
        <f>VLOOKUP(M24,month_lookup!A:B,2,FALSE)</f>
        <v>Feb</v>
      </c>
      <c r="P24">
        <f t="shared" si="4"/>
        <v>17028.189999999999</v>
      </c>
    </row>
    <row r="25" spans="1:16" x14ac:dyDescent="0.25">
      <c r="A25" t="s">
        <v>16</v>
      </c>
      <c r="B25" s="1">
        <v>236462.3</v>
      </c>
      <c r="C25">
        <v>205674.91</v>
      </c>
      <c r="D25" s="2">
        <v>44188</v>
      </c>
      <c r="E25" t="s">
        <v>23</v>
      </c>
      <c r="F25" t="s">
        <v>30</v>
      </c>
      <c r="G25" t="s">
        <v>19</v>
      </c>
      <c r="H25" t="s">
        <v>20</v>
      </c>
      <c r="I25" t="s">
        <v>27</v>
      </c>
      <c r="J25" t="s">
        <v>87</v>
      </c>
      <c r="L25">
        <f t="shared" si="1"/>
        <v>202012</v>
      </c>
      <c r="M25">
        <f t="shared" si="2"/>
        <v>12</v>
      </c>
      <c r="N25">
        <f t="shared" si="3"/>
        <v>2020</v>
      </c>
      <c r="O25" t="str">
        <f>VLOOKUP(M25,month_lookup!A:B,2,FALSE)</f>
        <v>Dec</v>
      </c>
      <c r="P25">
        <f t="shared" si="4"/>
        <v>236462.3</v>
      </c>
    </row>
    <row r="26" spans="1:16" x14ac:dyDescent="0.25">
      <c r="A26" t="s">
        <v>22</v>
      </c>
      <c r="B26" s="1">
        <v>172989.17</v>
      </c>
      <c r="C26">
        <v>142975.54999999999</v>
      </c>
      <c r="D26" s="2">
        <v>43992</v>
      </c>
      <c r="E26" t="s">
        <v>29</v>
      </c>
      <c r="F26" t="s">
        <v>88</v>
      </c>
      <c r="G26" t="s">
        <v>25</v>
      </c>
      <c r="H26" t="s">
        <v>89</v>
      </c>
      <c r="I26" t="s">
        <v>27</v>
      </c>
      <c r="J26" t="s">
        <v>90</v>
      </c>
      <c r="L26">
        <f t="shared" si="1"/>
        <v>202006</v>
      </c>
      <c r="M26">
        <f t="shared" si="2"/>
        <v>6</v>
      </c>
      <c r="N26">
        <f t="shared" si="3"/>
        <v>2020</v>
      </c>
      <c r="O26" t="str">
        <f>VLOOKUP(M26,month_lookup!A:B,2,FALSE)</f>
        <v>Jun</v>
      </c>
      <c r="P26">
        <f t="shared" si="4"/>
        <v>172989.17</v>
      </c>
    </row>
    <row r="27" spans="1:16" x14ac:dyDescent="0.25">
      <c r="A27" t="s">
        <v>9</v>
      </c>
      <c r="B27" s="1">
        <v>48179.57</v>
      </c>
      <c r="C27">
        <v>41405.519999999997</v>
      </c>
      <c r="D27" s="2">
        <v>44057</v>
      </c>
      <c r="E27" t="s">
        <v>10</v>
      </c>
      <c r="F27" t="s">
        <v>91</v>
      </c>
      <c r="G27" t="s">
        <v>12</v>
      </c>
      <c r="H27" t="s">
        <v>68</v>
      </c>
      <c r="I27" t="s">
        <v>27</v>
      </c>
      <c r="J27" t="s">
        <v>92</v>
      </c>
      <c r="L27">
        <f t="shared" si="1"/>
        <v>202008</v>
      </c>
      <c r="M27">
        <f t="shared" si="2"/>
        <v>8</v>
      </c>
      <c r="N27">
        <f t="shared" si="3"/>
        <v>2020</v>
      </c>
      <c r="O27" t="str">
        <f>VLOOKUP(M27,month_lookup!A:B,2,FALSE)</f>
        <v>Aug</v>
      </c>
      <c r="P27">
        <f t="shared" si="4"/>
        <v>48179.57</v>
      </c>
    </row>
    <row r="28" spans="1:16" x14ac:dyDescent="0.25">
      <c r="A28" t="s">
        <v>22</v>
      </c>
      <c r="B28" s="1">
        <v>121318.55</v>
      </c>
      <c r="C28">
        <v>102890.26</v>
      </c>
      <c r="D28" s="2">
        <v>43900</v>
      </c>
      <c r="E28" t="s">
        <v>79</v>
      </c>
      <c r="F28" t="s">
        <v>93</v>
      </c>
      <c r="G28" t="s">
        <v>25</v>
      </c>
      <c r="H28" t="s">
        <v>31</v>
      </c>
      <c r="I28" t="s">
        <v>37</v>
      </c>
      <c r="J28" t="s">
        <v>94</v>
      </c>
      <c r="L28">
        <f t="shared" si="1"/>
        <v>202003</v>
      </c>
      <c r="M28">
        <f t="shared" si="2"/>
        <v>3</v>
      </c>
      <c r="N28">
        <f t="shared" si="3"/>
        <v>2020</v>
      </c>
      <c r="O28" t="str">
        <f>VLOOKUP(M28,month_lookup!A:B,2,FALSE)</f>
        <v>Mar</v>
      </c>
      <c r="P28">
        <f t="shared" si="4"/>
        <v>121318.55</v>
      </c>
    </row>
    <row r="29" spans="1:16" x14ac:dyDescent="0.25">
      <c r="A29" t="s">
        <v>95</v>
      </c>
      <c r="B29" s="1">
        <v>93153.98</v>
      </c>
      <c r="C29">
        <v>79702.55</v>
      </c>
      <c r="D29" s="2">
        <v>43924</v>
      </c>
      <c r="E29" t="s">
        <v>50</v>
      </c>
      <c r="F29" t="s">
        <v>96</v>
      </c>
      <c r="G29" t="s">
        <v>97</v>
      </c>
      <c r="H29" t="s">
        <v>98</v>
      </c>
      <c r="I29" t="s">
        <v>14</v>
      </c>
      <c r="J29" t="s">
        <v>99</v>
      </c>
      <c r="L29">
        <f t="shared" si="1"/>
        <v>202004</v>
      </c>
      <c r="M29">
        <f t="shared" si="2"/>
        <v>4</v>
      </c>
      <c r="N29">
        <f t="shared" si="3"/>
        <v>2020</v>
      </c>
      <c r="O29" t="str">
        <f>VLOOKUP(M29,month_lookup!A:B,2,FALSE)</f>
        <v>Apr</v>
      </c>
      <c r="P29">
        <f t="shared" si="4"/>
        <v>93153.98</v>
      </c>
    </row>
    <row r="30" spans="1:16" x14ac:dyDescent="0.25">
      <c r="A30" t="s">
        <v>100</v>
      </c>
      <c r="B30" s="1">
        <v>98289.32</v>
      </c>
      <c r="C30">
        <v>84116</v>
      </c>
      <c r="D30" s="2">
        <v>43511</v>
      </c>
      <c r="E30" t="s">
        <v>50</v>
      </c>
      <c r="F30" t="s">
        <v>101</v>
      </c>
      <c r="G30" t="s">
        <v>102</v>
      </c>
      <c r="H30" t="s">
        <v>103</v>
      </c>
      <c r="I30" t="s">
        <v>27</v>
      </c>
      <c r="J30" t="s">
        <v>104</v>
      </c>
      <c r="L30">
        <f t="shared" si="1"/>
        <v>201902</v>
      </c>
      <c r="M30">
        <f t="shared" si="2"/>
        <v>2</v>
      </c>
      <c r="N30">
        <f t="shared" si="3"/>
        <v>2019</v>
      </c>
      <c r="O30" t="str">
        <f>VLOOKUP(M30,month_lookup!A:B,2,FALSE)</f>
        <v>Feb</v>
      </c>
      <c r="P30">
        <f t="shared" si="4"/>
        <v>-98289.32</v>
      </c>
    </row>
    <row r="31" spans="1:16" x14ac:dyDescent="0.25">
      <c r="A31" t="s">
        <v>105</v>
      </c>
      <c r="B31" s="1">
        <v>108920.56</v>
      </c>
      <c r="C31">
        <v>94270.74</v>
      </c>
      <c r="D31" s="2">
        <v>43654</v>
      </c>
      <c r="E31" t="s">
        <v>10</v>
      </c>
      <c r="F31" t="s">
        <v>57</v>
      </c>
      <c r="G31" t="s">
        <v>106</v>
      </c>
      <c r="H31" t="s">
        <v>107</v>
      </c>
      <c r="I31" t="s">
        <v>27</v>
      </c>
      <c r="J31" t="s">
        <v>108</v>
      </c>
      <c r="L31">
        <f t="shared" si="1"/>
        <v>201907</v>
      </c>
      <c r="M31">
        <f t="shared" si="2"/>
        <v>7</v>
      </c>
      <c r="N31">
        <f t="shared" si="3"/>
        <v>2019</v>
      </c>
      <c r="O31" t="str">
        <f>VLOOKUP(M31,month_lookup!A:B,2,FALSE)</f>
        <v>Jul</v>
      </c>
      <c r="P31">
        <f t="shared" si="4"/>
        <v>-108920.56</v>
      </c>
    </row>
    <row r="32" spans="1:16" x14ac:dyDescent="0.25">
      <c r="A32" t="s">
        <v>22</v>
      </c>
      <c r="B32" s="1">
        <v>37273.839999999997</v>
      </c>
      <c r="C32">
        <v>31559.759999999998</v>
      </c>
      <c r="D32" s="2">
        <v>43850</v>
      </c>
      <c r="E32" t="s">
        <v>17</v>
      </c>
      <c r="F32" t="s">
        <v>109</v>
      </c>
      <c r="G32" t="s">
        <v>25</v>
      </c>
      <c r="H32" t="s">
        <v>31</v>
      </c>
      <c r="I32" t="s">
        <v>37</v>
      </c>
      <c r="J32" t="s">
        <v>110</v>
      </c>
      <c r="L32">
        <f t="shared" si="1"/>
        <v>202001</v>
      </c>
      <c r="M32">
        <f t="shared" si="2"/>
        <v>1</v>
      </c>
      <c r="N32">
        <f t="shared" si="3"/>
        <v>2020</v>
      </c>
      <c r="O32" t="str">
        <f>VLOOKUP(M32,month_lookup!A:B,2,FALSE)</f>
        <v>Jan</v>
      </c>
      <c r="P32">
        <f t="shared" si="4"/>
        <v>37273.839999999997</v>
      </c>
    </row>
    <row r="33" spans="1:16" x14ac:dyDescent="0.25">
      <c r="A33" t="s">
        <v>33</v>
      </c>
      <c r="B33" s="1">
        <v>221745.05</v>
      </c>
      <c r="C33">
        <v>190767.27</v>
      </c>
      <c r="D33" s="2">
        <v>43641</v>
      </c>
      <c r="E33" t="s">
        <v>50</v>
      </c>
      <c r="F33" t="s">
        <v>111</v>
      </c>
      <c r="G33" t="s">
        <v>35</v>
      </c>
      <c r="H33" t="s">
        <v>36</v>
      </c>
      <c r="I33" t="s">
        <v>14</v>
      </c>
      <c r="J33" t="s">
        <v>112</v>
      </c>
      <c r="L33">
        <f t="shared" si="1"/>
        <v>201906</v>
      </c>
      <c r="M33">
        <f t="shared" si="2"/>
        <v>6</v>
      </c>
      <c r="N33">
        <f t="shared" si="3"/>
        <v>2019</v>
      </c>
      <c r="O33" t="str">
        <f>VLOOKUP(M33,month_lookup!A:B,2,FALSE)</f>
        <v>Jun</v>
      </c>
      <c r="P33">
        <f t="shared" si="4"/>
        <v>-221745.05</v>
      </c>
    </row>
    <row r="34" spans="1:16" x14ac:dyDescent="0.25">
      <c r="A34" t="s">
        <v>83</v>
      </c>
      <c r="B34" s="1">
        <v>54566.99</v>
      </c>
      <c r="C34">
        <v>43757.27</v>
      </c>
      <c r="D34" s="2">
        <v>43913</v>
      </c>
      <c r="E34" t="s">
        <v>59</v>
      </c>
      <c r="F34" t="s">
        <v>113</v>
      </c>
      <c r="G34" t="s">
        <v>84</v>
      </c>
      <c r="H34" t="s">
        <v>85</v>
      </c>
      <c r="I34" t="s">
        <v>27</v>
      </c>
      <c r="J34" t="s">
        <v>114</v>
      </c>
      <c r="L34">
        <f t="shared" si="1"/>
        <v>202003</v>
      </c>
      <c r="M34">
        <f t="shared" si="2"/>
        <v>3</v>
      </c>
      <c r="N34">
        <f t="shared" si="3"/>
        <v>2020</v>
      </c>
      <c r="O34" t="str">
        <f>VLOOKUP(M34,month_lookup!A:B,2,FALSE)</f>
        <v>Mar</v>
      </c>
      <c r="P34">
        <f t="shared" si="4"/>
        <v>54566.99</v>
      </c>
    </row>
    <row r="35" spans="1:16" x14ac:dyDescent="0.25">
      <c r="A35" t="s">
        <v>22</v>
      </c>
      <c r="B35" s="1">
        <v>111639.29</v>
      </c>
      <c r="C35">
        <v>97204.33</v>
      </c>
      <c r="D35" s="2">
        <v>43766</v>
      </c>
      <c r="E35" t="s">
        <v>59</v>
      </c>
      <c r="F35" t="s">
        <v>115</v>
      </c>
      <c r="G35" t="s">
        <v>25</v>
      </c>
      <c r="H35" t="s">
        <v>89</v>
      </c>
      <c r="I35" t="s">
        <v>27</v>
      </c>
      <c r="J35" t="s">
        <v>116</v>
      </c>
      <c r="L35">
        <f t="shared" si="1"/>
        <v>201910</v>
      </c>
      <c r="M35">
        <f t="shared" si="2"/>
        <v>10</v>
      </c>
      <c r="N35">
        <f t="shared" si="3"/>
        <v>2019</v>
      </c>
      <c r="O35" t="str">
        <f>VLOOKUP(M35,month_lookup!A:B,2,FALSE)</f>
        <v>Oct</v>
      </c>
      <c r="P35">
        <f t="shared" si="4"/>
        <v>-111639.29</v>
      </c>
    </row>
    <row r="36" spans="1:16" x14ac:dyDescent="0.25">
      <c r="A36" t="s">
        <v>9</v>
      </c>
      <c r="B36" s="1">
        <v>74273.539999999994</v>
      </c>
      <c r="C36">
        <v>61981.27</v>
      </c>
      <c r="D36" s="2">
        <v>43918</v>
      </c>
      <c r="E36" t="s">
        <v>29</v>
      </c>
      <c r="F36" t="s">
        <v>57</v>
      </c>
      <c r="G36" t="s">
        <v>12</v>
      </c>
      <c r="H36" t="s">
        <v>117</v>
      </c>
      <c r="I36" t="s">
        <v>27</v>
      </c>
      <c r="J36" t="s">
        <v>118</v>
      </c>
      <c r="L36">
        <f t="shared" si="1"/>
        <v>202003</v>
      </c>
      <c r="M36">
        <f t="shared" si="2"/>
        <v>3</v>
      </c>
      <c r="N36">
        <f t="shared" si="3"/>
        <v>2020</v>
      </c>
      <c r="O36" t="str">
        <f>VLOOKUP(M36,month_lookup!A:B,2,FALSE)</f>
        <v>Mar</v>
      </c>
      <c r="P36">
        <f t="shared" si="4"/>
        <v>74273.539999999994</v>
      </c>
    </row>
    <row r="37" spans="1:16" x14ac:dyDescent="0.25">
      <c r="A37" t="s">
        <v>22</v>
      </c>
      <c r="B37" s="1">
        <v>95566.43</v>
      </c>
      <c r="C37">
        <v>80342.7</v>
      </c>
      <c r="D37" s="2">
        <v>43592</v>
      </c>
      <c r="E37" t="s">
        <v>23</v>
      </c>
      <c r="F37" t="s">
        <v>30</v>
      </c>
      <c r="G37" t="s">
        <v>25</v>
      </c>
      <c r="H37" t="s">
        <v>89</v>
      </c>
      <c r="I37" t="s">
        <v>27</v>
      </c>
      <c r="J37" t="s">
        <v>119</v>
      </c>
      <c r="L37">
        <f t="shared" si="1"/>
        <v>201905</v>
      </c>
      <c r="M37">
        <f t="shared" si="2"/>
        <v>5</v>
      </c>
      <c r="N37">
        <f t="shared" si="3"/>
        <v>2019</v>
      </c>
      <c r="O37" t="str">
        <f>VLOOKUP(M37,month_lookup!A:B,2,FALSE)</f>
        <v>May</v>
      </c>
      <c r="P37">
        <f t="shared" si="4"/>
        <v>-95566.43</v>
      </c>
    </row>
    <row r="38" spans="1:16" x14ac:dyDescent="0.25">
      <c r="A38" t="s">
        <v>52</v>
      </c>
      <c r="B38" s="1">
        <v>28783.05</v>
      </c>
      <c r="C38">
        <v>24776.45</v>
      </c>
      <c r="D38" s="2">
        <v>43553</v>
      </c>
      <c r="E38" t="s">
        <v>23</v>
      </c>
      <c r="F38" t="s">
        <v>120</v>
      </c>
      <c r="G38" t="s">
        <v>54</v>
      </c>
      <c r="H38" t="s">
        <v>55</v>
      </c>
      <c r="I38" t="s">
        <v>27</v>
      </c>
      <c r="J38" t="s">
        <v>121</v>
      </c>
      <c r="L38">
        <f t="shared" si="1"/>
        <v>201903</v>
      </c>
      <c r="M38">
        <f t="shared" si="2"/>
        <v>3</v>
      </c>
      <c r="N38">
        <f t="shared" si="3"/>
        <v>2019</v>
      </c>
      <c r="O38" t="str">
        <f>VLOOKUP(M38,month_lookup!A:B,2,FALSE)</f>
        <v>Mar</v>
      </c>
      <c r="P38">
        <f t="shared" si="4"/>
        <v>-28783.05</v>
      </c>
    </row>
    <row r="39" spans="1:16" x14ac:dyDescent="0.25">
      <c r="A39" t="s">
        <v>44</v>
      </c>
      <c r="B39" s="1">
        <v>124414.74</v>
      </c>
      <c r="C39">
        <v>98959.48</v>
      </c>
      <c r="D39" s="2">
        <v>43629</v>
      </c>
      <c r="E39" t="s">
        <v>61</v>
      </c>
      <c r="F39" t="s">
        <v>122</v>
      </c>
      <c r="G39" t="s">
        <v>47</v>
      </c>
      <c r="H39" t="s">
        <v>48</v>
      </c>
      <c r="I39" t="s">
        <v>27</v>
      </c>
      <c r="J39" t="s">
        <v>123</v>
      </c>
      <c r="L39">
        <f t="shared" si="1"/>
        <v>201906</v>
      </c>
      <c r="M39">
        <f t="shared" si="2"/>
        <v>6</v>
      </c>
      <c r="N39">
        <f t="shared" si="3"/>
        <v>2019</v>
      </c>
      <c r="O39" t="str">
        <f>VLOOKUP(M39,month_lookup!A:B,2,FALSE)</f>
        <v>Jun</v>
      </c>
      <c r="P39">
        <f t="shared" si="4"/>
        <v>-124414.74</v>
      </c>
    </row>
    <row r="40" spans="1:16" x14ac:dyDescent="0.25">
      <c r="A40" t="s">
        <v>22</v>
      </c>
      <c r="B40" s="1">
        <v>153029.72</v>
      </c>
      <c r="C40">
        <v>125117.1</v>
      </c>
      <c r="D40" s="2">
        <v>43858</v>
      </c>
      <c r="E40" t="s">
        <v>17</v>
      </c>
      <c r="F40" t="s">
        <v>113</v>
      </c>
      <c r="G40" t="s">
        <v>25</v>
      </c>
      <c r="H40" t="s">
        <v>75</v>
      </c>
      <c r="I40" t="s">
        <v>27</v>
      </c>
      <c r="J40" t="s">
        <v>124</v>
      </c>
      <c r="L40">
        <f t="shared" si="1"/>
        <v>202001</v>
      </c>
      <c r="M40">
        <f t="shared" si="2"/>
        <v>1</v>
      </c>
      <c r="N40">
        <f t="shared" si="3"/>
        <v>2020</v>
      </c>
      <c r="O40" t="str">
        <f>VLOOKUP(M40,month_lookup!A:B,2,FALSE)</f>
        <v>Jan</v>
      </c>
      <c r="P40">
        <f t="shared" si="4"/>
        <v>153029.72</v>
      </c>
    </row>
    <row r="41" spans="1:16" x14ac:dyDescent="0.25">
      <c r="A41" t="s">
        <v>9</v>
      </c>
      <c r="B41" s="1">
        <v>174919.64</v>
      </c>
      <c r="C41">
        <v>146845.04</v>
      </c>
      <c r="D41" s="2">
        <v>44138</v>
      </c>
      <c r="E41" t="s">
        <v>23</v>
      </c>
      <c r="F41" t="s">
        <v>125</v>
      </c>
      <c r="G41" t="s">
        <v>12</v>
      </c>
      <c r="H41" t="s">
        <v>117</v>
      </c>
      <c r="I41" t="s">
        <v>14</v>
      </c>
      <c r="J41" t="s">
        <v>126</v>
      </c>
      <c r="L41">
        <f t="shared" si="1"/>
        <v>202011</v>
      </c>
      <c r="M41">
        <f t="shared" si="2"/>
        <v>11</v>
      </c>
      <c r="N41">
        <f t="shared" si="3"/>
        <v>2020</v>
      </c>
      <c r="O41" t="str">
        <f>VLOOKUP(M41,month_lookup!A:B,2,FALSE)</f>
        <v>Nov</v>
      </c>
      <c r="P41">
        <f t="shared" si="4"/>
        <v>174919.64</v>
      </c>
    </row>
    <row r="42" spans="1:16" x14ac:dyDescent="0.25">
      <c r="A42" t="s">
        <v>52</v>
      </c>
      <c r="B42" s="1">
        <v>55804.05</v>
      </c>
      <c r="C42">
        <v>46401.07</v>
      </c>
      <c r="D42" s="2">
        <v>43529</v>
      </c>
      <c r="E42" t="s">
        <v>79</v>
      </c>
      <c r="F42" t="s">
        <v>70</v>
      </c>
      <c r="G42" t="s">
        <v>54</v>
      </c>
      <c r="H42" t="s">
        <v>127</v>
      </c>
      <c r="I42" t="s">
        <v>27</v>
      </c>
      <c r="J42" t="s">
        <v>128</v>
      </c>
      <c r="L42">
        <f t="shared" si="1"/>
        <v>201903</v>
      </c>
      <c r="M42">
        <f t="shared" si="2"/>
        <v>3</v>
      </c>
      <c r="N42">
        <f t="shared" si="3"/>
        <v>2019</v>
      </c>
      <c r="O42" t="str">
        <f>VLOOKUP(M42,month_lookup!A:B,2,FALSE)</f>
        <v>Mar</v>
      </c>
      <c r="P42">
        <f t="shared" si="4"/>
        <v>-55804.05</v>
      </c>
    </row>
    <row r="43" spans="1:16" x14ac:dyDescent="0.25">
      <c r="A43" t="s">
        <v>52</v>
      </c>
      <c r="B43" s="1">
        <v>89160.66</v>
      </c>
      <c r="C43">
        <v>75367.509999999995</v>
      </c>
      <c r="D43" s="2">
        <v>43787</v>
      </c>
      <c r="E43" t="s">
        <v>29</v>
      </c>
      <c r="F43" t="s">
        <v>125</v>
      </c>
      <c r="G43" t="s">
        <v>54</v>
      </c>
      <c r="H43" t="s">
        <v>127</v>
      </c>
      <c r="I43" t="s">
        <v>27</v>
      </c>
      <c r="J43" t="s">
        <v>129</v>
      </c>
      <c r="L43">
        <f t="shared" si="1"/>
        <v>201911</v>
      </c>
      <c r="M43">
        <f t="shared" si="2"/>
        <v>11</v>
      </c>
      <c r="N43">
        <f t="shared" si="3"/>
        <v>2019</v>
      </c>
      <c r="O43" t="str">
        <f>VLOOKUP(M43,month_lookup!A:B,2,FALSE)</f>
        <v>Nov</v>
      </c>
      <c r="P43">
        <f t="shared" si="4"/>
        <v>-89160.66</v>
      </c>
    </row>
    <row r="44" spans="1:16" x14ac:dyDescent="0.25">
      <c r="A44" t="s">
        <v>44</v>
      </c>
      <c r="B44" s="1">
        <v>27987.13</v>
      </c>
      <c r="C44">
        <v>24001.759999999998</v>
      </c>
      <c r="D44" s="2">
        <v>43550</v>
      </c>
      <c r="E44" t="s">
        <v>17</v>
      </c>
      <c r="F44" t="s">
        <v>122</v>
      </c>
      <c r="G44" t="s">
        <v>47</v>
      </c>
      <c r="H44" t="s">
        <v>65</v>
      </c>
      <c r="I44" t="s">
        <v>27</v>
      </c>
      <c r="J44" t="s">
        <v>130</v>
      </c>
      <c r="L44">
        <f t="shared" si="1"/>
        <v>201903</v>
      </c>
      <c r="M44">
        <f t="shared" si="2"/>
        <v>3</v>
      </c>
      <c r="N44">
        <f t="shared" si="3"/>
        <v>2019</v>
      </c>
      <c r="O44" t="str">
        <f>VLOOKUP(M44,month_lookup!A:B,2,FALSE)</f>
        <v>Mar</v>
      </c>
      <c r="P44">
        <f t="shared" si="4"/>
        <v>-27987.13</v>
      </c>
    </row>
    <row r="45" spans="1:16" x14ac:dyDescent="0.25">
      <c r="A45" t="s">
        <v>52</v>
      </c>
      <c r="B45" s="1">
        <v>18326.41</v>
      </c>
      <c r="C45">
        <v>15067.97</v>
      </c>
      <c r="D45" s="2">
        <v>43499</v>
      </c>
      <c r="E45" t="s">
        <v>17</v>
      </c>
      <c r="F45" t="s">
        <v>131</v>
      </c>
      <c r="G45" t="s">
        <v>54</v>
      </c>
      <c r="H45" t="s">
        <v>132</v>
      </c>
      <c r="I45" t="s">
        <v>27</v>
      </c>
      <c r="J45" t="s">
        <v>133</v>
      </c>
      <c r="L45">
        <f t="shared" si="1"/>
        <v>201902</v>
      </c>
      <c r="M45">
        <f t="shared" si="2"/>
        <v>2</v>
      </c>
      <c r="N45">
        <f t="shared" si="3"/>
        <v>2019</v>
      </c>
      <c r="O45" t="str">
        <f>VLOOKUP(M45,month_lookup!A:B,2,FALSE)</f>
        <v>Feb</v>
      </c>
      <c r="P45">
        <f t="shared" si="4"/>
        <v>-18326.41</v>
      </c>
    </row>
    <row r="46" spans="1:16" x14ac:dyDescent="0.25">
      <c r="A46" t="s">
        <v>83</v>
      </c>
      <c r="B46" s="1">
        <v>62708.6</v>
      </c>
      <c r="C46">
        <v>51414.78</v>
      </c>
      <c r="D46" s="2">
        <v>43706</v>
      </c>
      <c r="E46" t="s">
        <v>59</v>
      </c>
      <c r="F46" t="s">
        <v>134</v>
      </c>
      <c r="G46" t="s">
        <v>84</v>
      </c>
      <c r="H46" t="s">
        <v>85</v>
      </c>
      <c r="I46" t="s">
        <v>27</v>
      </c>
      <c r="J46" t="s">
        <v>135</v>
      </c>
      <c r="L46">
        <f t="shared" si="1"/>
        <v>201908</v>
      </c>
      <c r="M46">
        <f t="shared" si="2"/>
        <v>8</v>
      </c>
      <c r="N46">
        <f t="shared" si="3"/>
        <v>2019</v>
      </c>
      <c r="O46" t="str">
        <f>VLOOKUP(M46,month_lookup!A:B,2,FALSE)</f>
        <v>Aug</v>
      </c>
      <c r="P46">
        <f t="shared" si="4"/>
        <v>-62708.6</v>
      </c>
    </row>
    <row r="47" spans="1:16" x14ac:dyDescent="0.25">
      <c r="A47" t="s">
        <v>44</v>
      </c>
      <c r="B47" s="1">
        <v>124668.36</v>
      </c>
      <c r="C47">
        <v>103998.35</v>
      </c>
      <c r="D47" s="2">
        <v>44140</v>
      </c>
      <c r="E47" t="s">
        <v>17</v>
      </c>
      <c r="F47" t="s">
        <v>30</v>
      </c>
      <c r="G47" t="s">
        <v>47</v>
      </c>
      <c r="H47" t="s">
        <v>48</v>
      </c>
      <c r="I47" t="s">
        <v>27</v>
      </c>
      <c r="J47" t="s">
        <v>136</v>
      </c>
      <c r="L47">
        <f t="shared" si="1"/>
        <v>202011</v>
      </c>
      <c r="M47">
        <f t="shared" si="2"/>
        <v>11</v>
      </c>
      <c r="N47">
        <f t="shared" si="3"/>
        <v>2020</v>
      </c>
      <c r="O47" t="str">
        <f>VLOOKUP(M47,month_lookup!A:B,2,FALSE)</f>
        <v>Nov</v>
      </c>
      <c r="P47">
        <f t="shared" si="4"/>
        <v>124668.36</v>
      </c>
    </row>
    <row r="48" spans="1:16" x14ac:dyDescent="0.25">
      <c r="A48" t="s">
        <v>137</v>
      </c>
      <c r="B48" s="1">
        <v>109390.57</v>
      </c>
      <c r="C48">
        <v>87414</v>
      </c>
      <c r="D48" s="2">
        <v>44147</v>
      </c>
      <c r="E48" t="s">
        <v>138</v>
      </c>
      <c r="F48" t="s">
        <v>42</v>
      </c>
      <c r="G48" t="s">
        <v>139</v>
      </c>
      <c r="H48" t="s">
        <v>140</v>
      </c>
      <c r="I48" t="s">
        <v>14</v>
      </c>
      <c r="J48" t="s">
        <v>141</v>
      </c>
      <c r="L48">
        <f t="shared" si="1"/>
        <v>202011</v>
      </c>
      <c r="M48">
        <f t="shared" si="2"/>
        <v>11</v>
      </c>
      <c r="N48">
        <f t="shared" si="3"/>
        <v>2020</v>
      </c>
      <c r="O48" t="str">
        <f>VLOOKUP(M48,month_lookup!A:B,2,FALSE)</f>
        <v>Nov</v>
      </c>
      <c r="P48">
        <f t="shared" si="4"/>
        <v>109390.57</v>
      </c>
    </row>
    <row r="49" spans="1:16" x14ac:dyDescent="0.25">
      <c r="A49" t="s">
        <v>22</v>
      </c>
      <c r="B49" s="1">
        <v>103279.79</v>
      </c>
      <c r="C49">
        <v>82334.649999999994</v>
      </c>
      <c r="D49" s="2">
        <v>43902</v>
      </c>
      <c r="E49" t="s">
        <v>50</v>
      </c>
      <c r="F49" t="s">
        <v>34</v>
      </c>
      <c r="G49" t="s">
        <v>25</v>
      </c>
      <c r="H49" t="s">
        <v>31</v>
      </c>
      <c r="I49" t="s">
        <v>27</v>
      </c>
      <c r="J49" t="s">
        <v>142</v>
      </c>
      <c r="L49">
        <f t="shared" si="1"/>
        <v>202003</v>
      </c>
      <c r="M49">
        <f t="shared" si="2"/>
        <v>3</v>
      </c>
      <c r="N49">
        <f t="shared" si="3"/>
        <v>2020</v>
      </c>
      <c r="O49" t="str">
        <f>VLOOKUP(M49,month_lookup!A:B,2,FALSE)</f>
        <v>Mar</v>
      </c>
      <c r="P49">
        <f t="shared" si="4"/>
        <v>103279.79</v>
      </c>
    </row>
    <row r="50" spans="1:16" x14ac:dyDescent="0.25">
      <c r="A50" t="s">
        <v>52</v>
      </c>
      <c r="B50" s="1">
        <v>173478.65</v>
      </c>
      <c r="C50">
        <v>139650.31</v>
      </c>
      <c r="D50" s="2">
        <v>43494</v>
      </c>
      <c r="E50" t="s">
        <v>10</v>
      </c>
      <c r="F50" t="s">
        <v>34</v>
      </c>
      <c r="G50" t="s">
        <v>54</v>
      </c>
      <c r="H50" t="s">
        <v>143</v>
      </c>
      <c r="I50" t="s">
        <v>27</v>
      </c>
      <c r="J50" t="s">
        <v>144</v>
      </c>
      <c r="L50">
        <f t="shared" si="1"/>
        <v>201901</v>
      </c>
      <c r="M50">
        <f t="shared" si="2"/>
        <v>1</v>
      </c>
      <c r="N50">
        <f t="shared" si="3"/>
        <v>2019</v>
      </c>
      <c r="O50" t="str">
        <f>VLOOKUP(M50,month_lookup!A:B,2,FALSE)</f>
        <v>Jan</v>
      </c>
      <c r="P50">
        <f t="shared" si="4"/>
        <v>-173478.65</v>
      </c>
    </row>
    <row r="51" spans="1:16" x14ac:dyDescent="0.25">
      <c r="A51" t="s">
        <v>9</v>
      </c>
      <c r="B51" s="1">
        <v>57927.54</v>
      </c>
      <c r="C51">
        <v>48914.01</v>
      </c>
      <c r="D51" s="2">
        <v>43483</v>
      </c>
      <c r="E51" t="s">
        <v>17</v>
      </c>
      <c r="F51" t="s">
        <v>145</v>
      </c>
      <c r="G51" t="s">
        <v>12</v>
      </c>
      <c r="H51" t="s">
        <v>81</v>
      </c>
      <c r="I51" t="s">
        <v>14</v>
      </c>
      <c r="J51" t="s">
        <v>146</v>
      </c>
      <c r="L51">
        <f t="shared" si="1"/>
        <v>201901</v>
      </c>
      <c r="M51">
        <f t="shared" si="2"/>
        <v>1</v>
      </c>
      <c r="N51">
        <f t="shared" si="3"/>
        <v>2019</v>
      </c>
      <c r="O51" t="str">
        <f>VLOOKUP(M51,month_lookup!A:B,2,FALSE)</f>
        <v>Jan</v>
      </c>
      <c r="P51">
        <f t="shared" si="4"/>
        <v>-57927.54</v>
      </c>
    </row>
    <row r="52" spans="1:16" x14ac:dyDescent="0.25">
      <c r="A52" t="s">
        <v>22</v>
      </c>
      <c r="B52" s="1">
        <v>84767.77</v>
      </c>
      <c r="C52">
        <v>68950.100000000006</v>
      </c>
      <c r="D52" s="2">
        <v>43848</v>
      </c>
      <c r="E52" t="s">
        <v>79</v>
      </c>
      <c r="F52" t="s">
        <v>147</v>
      </c>
      <c r="G52" t="s">
        <v>25</v>
      </c>
      <c r="H52" t="s">
        <v>26</v>
      </c>
      <c r="I52" t="s">
        <v>14</v>
      </c>
      <c r="J52" t="s">
        <v>148</v>
      </c>
      <c r="L52">
        <f t="shared" si="1"/>
        <v>202001</v>
      </c>
      <c r="M52">
        <f t="shared" si="2"/>
        <v>1</v>
      </c>
      <c r="N52">
        <f t="shared" si="3"/>
        <v>2020</v>
      </c>
      <c r="O52" t="str">
        <f>VLOOKUP(M52,month_lookup!A:B,2,FALSE)</f>
        <v>Jan</v>
      </c>
      <c r="P52">
        <f t="shared" si="4"/>
        <v>84767.77</v>
      </c>
    </row>
    <row r="53" spans="1:16" x14ac:dyDescent="0.25">
      <c r="A53" t="s">
        <v>52</v>
      </c>
      <c r="B53" s="1">
        <v>138175.53</v>
      </c>
      <c r="C53">
        <v>116744.51</v>
      </c>
      <c r="D53" s="2">
        <v>44138</v>
      </c>
      <c r="E53" t="s">
        <v>138</v>
      </c>
      <c r="F53" t="s">
        <v>149</v>
      </c>
      <c r="G53" t="s">
        <v>54</v>
      </c>
      <c r="H53" t="s">
        <v>132</v>
      </c>
      <c r="I53" t="s">
        <v>27</v>
      </c>
      <c r="J53" t="s">
        <v>150</v>
      </c>
      <c r="L53">
        <f t="shared" si="1"/>
        <v>202011</v>
      </c>
      <c r="M53">
        <f t="shared" si="2"/>
        <v>11</v>
      </c>
      <c r="N53">
        <f t="shared" si="3"/>
        <v>2020</v>
      </c>
      <c r="O53" t="str">
        <f>VLOOKUP(M53,month_lookup!A:B,2,FALSE)</f>
        <v>Nov</v>
      </c>
      <c r="P53">
        <f t="shared" si="4"/>
        <v>138175.53</v>
      </c>
    </row>
    <row r="54" spans="1:16" x14ac:dyDescent="0.25">
      <c r="A54" t="s">
        <v>22</v>
      </c>
      <c r="B54" s="1">
        <v>143107.89000000001</v>
      </c>
      <c r="C54">
        <v>121241</v>
      </c>
      <c r="D54" s="2">
        <v>44137</v>
      </c>
      <c r="E54" t="s">
        <v>79</v>
      </c>
      <c r="F54" t="s">
        <v>111</v>
      </c>
      <c r="G54" t="s">
        <v>25</v>
      </c>
      <c r="H54" t="s">
        <v>89</v>
      </c>
      <c r="I54" t="s">
        <v>14</v>
      </c>
      <c r="J54" t="s">
        <v>151</v>
      </c>
      <c r="L54">
        <f t="shared" si="1"/>
        <v>202011</v>
      </c>
      <c r="M54">
        <f t="shared" si="2"/>
        <v>11</v>
      </c>
      <c r="N54">
        <f t="shared" si="3"/>
        <v>2020</v>
      </c>
      <c r="O54" t="str">
        <f>VLOOKUP(M54,month_lookup!A:B,2,FALSE)</f>
        <v>Nov</v>
      </c>
      <c r="P54">
        <f t="shared" si="4"/>
        <v>143107.89000000001</v>
      </c>
    </row>
    <row r="55" spans="1:16" x14ac:dyDescent="0.25">
      <c r="A55" t="s">
        <v>9</v>
      </c>
      <c r="B55" s="1">
        <v>54446.5</v>
      </c>
      <c r="C55">
        <v>44989.14</v>
      </c>
      <c r="D55" s="2">
        <v>43899</v>
      </c>
      <c r="E55" t="s">
        <v>50</v>
      </c>
      <c r="F55" t="s">
        <v>152</v>
      </c>
      <c r="G55" t="s">
        <v>12</v>
      </c>
      <c r="H55" t="s">
        <v>81</v>
      </c>
      <c r="I55" t="s">
        <v>37</v>
      </c>
      <c r="J55" t="s">
        <v>153</v>
      </c>
      <c r="L55">
        <f t="shared" si="1"/>
        <v>202003</v>
      </c>
      <c r="M55">
        <f t="shared" si="2"/>
        <v>3</v>
      </c>
      <c r="N55">
        <f t="shared" si="3"/>
        <v>2020</v>
      </c>
      <c r="O55" t="str">
        <f>VLOOKUP(M55,month_lookup!A:B,2,FALSE)</f>
        <v>Mar</v>
      </c>
      <c r="P55">
        <f t="shared" si="4"/>
        <v>54446.5</v>
      </c>
    </row>
    <row r="56" spans="1:16" x14ac:dyDescent="0.25">
      <c r="A56" t="s">
        <v>22</v>
      </c>
      <c r="B56" s="1">
        <v>136324.9</v>
      </c>
      <c r="C56">
        <v>110436.8</v>
      </c>
      <c r="D56" s="2">
        <v>43767</v>
      </c>
      <c r="E56" t="s">
        <v>79</v>
      </c>
      <c r="F56" t="s">
        <v>154</v>
      </c>
      <c r="G56" t="s">
        <v>25</v>
      </c>
      <c r="H56" t="s">
        <v>89</v>
      </c>
      <c r="I56" t="s">
        <v>37</v>
      </c>
      <c r="J56" t="s">
        <v>155</v>
      </c>
      <c r="L56">
        <f t="shared" si="1"/>
        <v>201910</v>
      </c>
      <c r="M56">
        <f t="shared" si="2"/>
        <v>10</v>
      </c>
      <c r="N56">
        <f t="shared" si="3"/>
        <v>2019</v>
      </c>
      <c r="O56" t="str">
        <f>VLOOKUP(M56,month_lookup!A:B,2,FALSE)</f>
        <v>Oct</v>
      </c>
      <c r="P56">
        <f t="shared" si="4"/>
        <v>-136324.9</v>
      </c>
    </row>
    <row r="57" spans="1:16" x14ac:dyDescent="0.25">
      <c r="A57" t="s">
        <v>22</v>
      </c>
      <c r="B57" s="1">
        <v>43066.58</v>
      </c>
      <c r="C57">
        <v>36154.39</v>
      </c>
      <c r="D57" s="2">
        <v>43504</v>
      </c>
      <c r="E57" t="s">
        <v>17</v>
      </c>
      <c r="F57" t="s">
        <v>134</v>
      </c>
      <c r="G57" t="s">
        <v>25</v>
      </c>
      <c r="H57" t="s">
        <v>89</v>
      </c>
      <c r="I57" t="s">
        <v>14</v>
      </c>
      <c r="J57" t="s">
        <v>156</v>
      </c>
      <c r="L57">
        <f t="shared" si="1"/>
        <v>201902</v>
      </c>
      <c r="M57">
        <f t="shared" si="2"/>
        <v>2</v>
      </c>
      <c r="N57">
        <f t="shared" si="3"/>
        <v>2019</v>
      </c>
      <c r="O57" t="str">
        <f>VLOOKUP(M57,month_lookup!A:B,2,FALSE)</f>
        <v>Feb</v>
      </c>
      <c r="P57">
        <f t="shared" si="4"/>
        <v>-43066.58</v>
      </c>
    </row>
    <row r="58" spans="1:16" x14ac:dyDescent="0.25">
      <c r="A58" t="s">
        <v>52</v>
      </c>
      <c r="B58" s="1">
        <v>224626.25</v>
      </c>
      <c r="C58">
        <v>189988.88</v>
      </c>
      <c r="D58" s="2">
        <v>44033</v>
      </c>
      <c r="E58" t="s">
        <v>79</v>
      </c>
      <c r="F58" t="s">
        <v>157</v>
      </c>
      <c r="G58" t="s">
        <v>54</v>
      </c>
      <c r="H58" t="s">
        <v>132</v>
      </c>
      <c r="I58" t="s">
        <v>27</v>
      </c>
      <c r="J58" t="s">
        <v>158</v>
      </c>
      <c r="L58">
        <f t="shared" si="1"/>
        <v>202007</v>
      </c>
      <c r="M58">
        <f t="shared" si="2"/>
        <v>7</v>
      </c>
      <c r="N58">
        <f t="shared" si="3"/>
        <v>2020</v>
      </c>
      <c r="O58" t="str">
        <f>VLOOKUP(M58,month_lookup!A:B,2,FALSE)</f>
        <v>Jul</v>
      </c>
      <c r="P58">
        <f t="shared" si="4"/>
        <v>224626.25</v>
      </c>
    </row>
    <row r="59" spans="1:16" x14ac:dyDescent="0.25">
      <c r="A59" t="s">
        <v>52</v>
      </c>
      <c r="B59" s="1">
        <v>115689.22</v>
      </c>
      <c r="C59">
        <v>98127.6</v>
      </c>
      <c r="D59" s="2">
        <v>43661</v>
      </c>
      <c r="E59" t="s">
        <v>23</v>
      </c>
      <c r="F59" t="s">
        <v>159</v>
      </c>
      <c r="G59" t="s">
        <v>54</v>
      </c>
      <c r="H59" t="s">
        <v>143</v>
      </c>
      <c r="I59" t="s">
        <v>27</v>
      </c>
      <c r="J59" t="s">
        <v>160</v>
      </c>
      <c r="L59">
        <f t="shared" si="1"/>
        <v>201907</v>
      </c>
      <c r="M59">
        <f t="shared" si="2"/>
        <v>7</v>
      </c>
      <c r="N59">
        <f t="shared" si="3"/>
        <v>2019</v>
      </c>
      <c r="O59" t="str">
        <f>VLOOKUP(M59,month_lookup!A:B,2,FALSE)</f>
        <v>Jul</v>
      </c>
      <c r="P59">
        <f t="shared" si="4"/>
        <v>-115689.22</v>
      </c>
    </row>
    <row r="60" spans="1:16" x14ac:dyDescent="0.25">
      <c r="A60" t="s">
        <v>100</v>
      </c>
      <c r="B60" s="1">
        <v>78293.94</v>
      </c>
      <c r="C60">
        <v>66236.67</v>
      </c>
      <c r="D60" s="2">
        <v>43751</v>
      </c>
      <c r="E60" t="s">
        <v>50</v>
      </c>
      <c r="F60" t="s">
        <v>70</v>
      </c>
      <c r="G60" t="s">
        <v>102</v>
      </c>
      <c r="H60" t="s">
        <v>161</v>
      </c>
      <c r="I60" t="s">
        <v>14</v>
      </c>
      <c r="J60" t="s">
        <v>162</v>
      </c>
      <c r="L60">
        <f t="shared" si="1"/>
        <v>201910</v>
      </c>
      <c r="M60">
        <f t="shared" si="2"/>
        <v>10</v>
      </c>
      <c r="N60">
        <f t="shared" si="3"/>
        <v>2019</v>
      </c>
      <c r="O60" t="str">
        <f>VLOOKUP(M60,month_lookup!A:B,2,FALSE)</f>
        <v>Oct</v>
      </c>
      <c r="P60">
        <f t="shared" si="4"/>
        <v>-78293.94</v>
      </c>
    </row>
    <row r="61" spans="1:16" x14ac:dyDescent="0.25">
      <c r="A61" t="s">
        <v>22</v>
      </c>
      <c r="B61" s="1">
        <v>92698.45</v>
      </c>
      <c r="C61">
        <v>73454.25</v>
      </c>
      <c r="D61" s="2">
        <v>43843</v>
      </c>
      <c r="E61" t="s">
        <v>23</v>
      </c>
      <c r="F61" t="s">
        <v>30</v>
      </c>
      <c r="G61" t="s">
        <v>25</v>
      </c>
      <c r="H61" t="s">
        <v>75</v>
      </c>
      <c r="I61" t="s">
        <v>27</v>
      </c>
      <c r="J61" t="s">
        <v>163</v>
      </c>
      <c r="L61">
        <f t="shared" si="1"/>
        <v>202001</v>
      </c>
      <c r="M61">
        <f t="shared" si="2"/>
        <v>1</v>
      </c>
      <c r="N61">
        <f t="shared" si="3"/>
        <v>2020</v>
      </c>
      <c r="O61" t="str">
        <f>VLOOKUP(M61,month_lookup!A:B,2,FALSE)</f>
        <v>Jan</v>
      </c>
      <c r="P61">
        <f t="shared" si="4"/>
        <v>92698.45</v>
      </c>
    </row>
    <row r="62" spans="1:16" x14ac:dyDescent="0.25">
      <c r="A62" t="s">
        <v>100</v>
      </c>
      <c r="B62" s="1">
        <v>83141.47</v>
      </c>
      <c r="C62">
        <v>72000.509999999995</v>
      </c>
      <c r="D62" s="2">
        <v>43539</v>
      </c>
      <c r="E62" t="s">
        <v>61</v>
      </c>
      <c r="F62" t="s">
        <v>63</v>
      </c>
      <c r="G62" t="s">
        <v>102</v>
      </c>
      <c r="H62" t="s">
        <v>103</v>
      </c>
      <c r="I62" t="s">
        <v>14</v>
      </c>
      <c r="J62" t="s">
        <v>164</v>
      </c>
      <c r="L62">
        <f t="shared" si="1"/>
        <v>201903</v>
      </c>
      <c r="M62">
        <f t="shared" si="2"/>
        <v>3</v>
      </c>
      <c r="N62">
        <f t="shared" si="3"/>
        <v>2019</v>
      </c>
      <c r="O62" t="str">
        <f>VLOOKUP(M62,month_lookup!A:B,2,FALSE)</f>
        <v>Mar</v>
      </c>
      <c r="P62">
        <f t="shared" si="4"/>
        <v>-83141.47</v>
      </c>
    </row>
    <row r="63" spans="1:16" x14ac:dyDescent="0.25">
      <c r="A63" t="s">
        <v>22</v>
      </c>
      <c r="B63" s="1">
        <v>38982.26</v>
      </c>
      <c r="C63">
        <v>32854.25</v>
      </c>
      <c r="D63" s="2">
        <v>43750</v>
      </c>
      <c r="E63" t="s">
        <v>23</v>
      </c>
      <c r="F63" t="s">
        <v>165</v>
      </c>
      <c r="G63" t="s">
        <v>25</v>
      </c>
      <c r="H63" t="s">
        <v>26</v>
      </c>
      <c r="I63" t="s">
        <v>14</v>
      </c>
      <c r="J63" t="s">
        <v>166</v>
      </c>
      <c r="L63">
        <f t="shared" si="1"/>
        <v>201910</v>
      </c>
      <c r="M63">
        <f t="shared" si="2"/>
        <v>10</v>
      </c>
      <c r="N63">
        <f t="shared" si="3"/>
        <v>2019</v>
      </c>
      <c r="O63" t="str">
        <f>VLOOKUP(M63,month_lookup!A:B,2,FALSE)</f>
        <v>Oct</v>
      </c>
      <c r="P63">
        <f t="shared" si="4"/>
        <v>-38982.26</v>
      </c>
    </row>
    <row r="64" spans="1:16" x14ac:dyDescent="0.25">
      <c r="A64" t="s">
        <v>22</v>
      </c>
      <c r="B64" s="1">
        <v>57120.58</v>
      </c>
      <c r="C64">
        <v>49654.92</v>
      </c>
      <c r="D64" s="2">
        <v>43794</v>
      </c>
      <c r="E64" t="s">
        <v>17</v>
      </c>
      <c r="F64" t="s">
        <v>167</v>
      </c>
      <c r="G64" t="s">
        <v>25</v>
      </c>
      <c r="H64" t="s">
        <v>31</v>
      </c>
      <c r="I64" t="s">
        <v>27</v>
      </c>
      <c r="J64" t="s">
        <v>168</v>
      </c>
      <c r="L64">
        <f t="shared" si="1"/>
        <v>201911</v>
      </c>
      <c r="M64">
        <f t="shared" si="2"/>
        <v>11</v>
      </c>
      <c r="N64">
        <f t="shared" si="3"/>
        <v>2019</v>
      </c>
      <c r="O64" t="str">
        <f>VLOOKUP(M64,month_lookup!A:B,2,FALSE)</f>
        <v>Nov</v>
      </c>
      <c r="P64">
        <f t="shared" si="4"/>
        <v>-57120.58</v>
      </c>
    </row>
    <row r="65" spans="1:16" x14ac:dyDescent="0.25">
      <c r="A65" t="s">
        <v>9</v>
      </c>
      <c r="B65" s="1">
        <v>240759.07</v>
      </c>
      <c r="C65">
        <v>205415.64</v>
      </c>
      <c r="D65" s="2">
        <v>43996</v>
      </c>
      <c r="E65" t="s">
        <v>50</v>
      </c>
      <c r="F65" t="s">
        <v>131</v>
      </c>
      <c r="G65" t="s">
        <v>12</v>
      </c>
      <c r="H65" t="s">
        <v>169</v>
      </c>
      <c r="I65" t="s">
        <v>27</v>
      </c>
      <c r="J65" t="s">
        <v>170</v>
      </c>
      <c r="L65">
        <f t="shared" si="1"/>
        <v>202006</v>
      </c>
      <c r="M65">
        <f t="shared" si="2"/>
        <v>6</v>
      </c>
      <c r="N65">
        <f t="shared" si="3"/>
        <v>2020</v>
      </c>
      <c r="O65" t="str">
        <f>VLOOKUP(M65,month_lookup!A:B,2,FALSE)</f>
        <v>Jun</v>
      </c>
      <c r="P65">
        <f t="shared" si="4"/>
        <v>240759.07</v>
      </c>
    </row>
    <row r="66" spans="1:16" x14ac:dyDescent="0.25">
      <c r="A66" t="s">
        <v>9</v>
      </c>
      <c r="B66" s="1">
        <v>53849.120000000003</v>
      </c>
      <c r="C66">
        <v>47354.92</v>
      </c>
      <c r="D66" s="2">
        <v>43936</v>
      </c>
      <c r="E66" t="s">
        <v>17</v>
      </c>
      <c r="F66" t="s">
        <v>70</v>
      </c>
      <c r="G66" t="s">
        <v>12</v>
      </c>
      <c r="H66" t="s">
        <v>81</v>
      </c>
      <c r="I66" t="s">
        <v>27</v>
      </c>
      <c r="J66" t="s">
        <v>171</v>
      </c>
      <c r="L66">
        <f t="shared" si="1"/>
        <v>202004</v>
      </c>
      <c r="M66">
        <f t="shared" si="2"/>
        <v>4</v>
      </c>
      <c r="N66">
        <f t="shared" si="3"/>
        <v>2020</v>
      </c>
      <c r="O66" t="str">
        <f>VLOOKUP(M66,month_lookup!A:B,2,FALSE)</f>
        <v>Apr</v>
      </c>
      <c r="P66">
        <f t="shared" si="4"/>
        <v>53849.120000000003</v>
      </c>
    </row>
    <row r="67" spans="1:16" x14ac:dyDescent="0.25">
      <c r="A67" t="s">
        <v>172</v>
      </c>
      <c r="B67" s="1">
        <v>361182.87</v>
      </c>
      <c r="C67">
        <v>288368.40000000002</v>
      </c>
      <c r="D67" s="2">
        <v>43801</v>
      </c>
      <c r="E67" t="s">
        <v>10</v>
      </c>
      <c r="F67" t="s">
        <v>173</v>
      </c>
      <c r="G67" t="s">
        <v>174</v>
      </c>
      <c r="H67" t="s">
        <v>175</v>
      </c>
      <c r="I67" t="s">
        <v>27</v>
      </c>
      <c r="J67" t="s">
        <v>176</v>
      </c>
      <c r="L67">
        <f t="shared" ref="L67:L130" si="5">YEAR(D67)*100+MONTH(D67)</f>
        <v>201912</v>
      </c>
      <c r="M67">
        <f t="shared" ref="M67:M130" si="6">MONTH(D67)</f>
        <v>12</v>
      </c>
      <c r="N67">
        <f t="shared" ref="N67:N130" si="7">YEAR(D67)</f>
        <v>2019</v>
      </c>
      <c r="O67" t="str">
        <f>VLOOKUP(M67,month_lookup!A:B,2,FALSE)</f>
        <v>Dec</v>
      </c>
      <c r="P67">
        <f t="shared" si="4"/>
        <v>-361182.87</v>
      </c>
    </row>
    <row r="68" spans="1:16" x14ac:dyDescent="0.25">
      <c r="A68" t="s">
        <v>9</v>
      </c>
      <c r="B68" s="1">
        <v>97063.22</v>
      </c>
      <c r="C68">
        <v>78067.95</v>
      </c>
      <c r="D68" s="2">
        <v>43757</v>
      </c>
      <c r="E68" t="s">
        <v>50</v>
      </c>
      <c r="F68" t="s">
        <v>177</v>
      </c>
      <c r="G68" t="s">
        <v>12</v>
      </c>
      <c r="H68" t="s">
        <v>13</v>
      </c>
      <c r="I68" t="s">
        <v>37</v>
      </c>
      <c r="J68" t="s">
        <v>178</v>
      </c>
      <c r="L68">
        <f t="shared" si="5"/>
        <v>201910</v>
      </c>
      <c r="M68">
        <f t="shared" si="6"/>
        <v>10</v>
      </c>
      <c r="N68">
        <f t="shared" si="7"/>
        <v>2019</v>
      </c>
      <c r="O68" t="str">
        <f>VLOOKUP(M68,month_lookup!A:B,2,FALSE)</f>
        <v>Oct</v>
      </c>
      <c r="P68">
        <f t="shared" si="4"/>
        <v>-97063.22</v>
      </c>
    </row>
    <row r="69" spans="1:16" x14ac:dyDescent="0.25">
      <c r="A69" t="s">
        <v>33</v>
      </c>
      <c r="B69" s="1">
        <v>39110.97</v>
      </c>
      <c r="C69">
        <v>34315.97</v>
      </c>
      <c r="D69" s="2">
        <v>43765</v>
      </c>
      <c r="E69" t="s">
        <v>23</v>
      </c>
      <c r="F69" t="s">
        <v>179</v>
      </c>
      <c r="G69" t="s">
        <v>35</v>
      </c>
      <c r="H69" t="s">
        <v>40</v>
      </c>
      <c r="I69" t="s">
        <v>27</v>
      </c>
      <c r="J69" t="s">
        <v>180</v>
      </c>
      <c r="L69">
        <f t="shared" si="5"/>
        <v>201910</v>
      </c>
      <c r="M69">
        <f t="shared" si="6"/>
        <v>10</v>
      </c>
      <c r="N69">
        <f t="shared" si="7"/>
        <v>2019</v>
      </c>
      <c r="O69" t="str">
        <f>VLOOKUP(M69,month_lookup!A:B,2,FALSE)</f>
        <v>Oct</v>
      </c>
      <c r="P69">
        <f t="shared" si="4"/>
        <v>-39110.97</v>
      </c>
    </row>
    <row r="70" spans="1:16" x14ac:dyDescent="0.25">
      <c r="A70" t="s">
        <v>52</v>
      </c>
      <c r="B70" s="1">
        <v>123672.7</v>
      </c>
      <c r="C70">
        <v>106036.97</v>
      </c>
      <c r="D70" s="2">
        <v>44148</v>
      </c>
      <c r="E70" t="s">
        <v>59</v>
      </c>
      <c r="F70" t="s">
        <v>181</v>
      </c>
      <c r="G70" t="s">
        <v>54</v>
      </c>
      <c r="H70" t="s">
        <v>127</v>
      </c>
      <c r="I70" t="s">
        <v>27</v>
      </c>
      <c r="J70" t="s">
        <v>182</v>
      </c>
      <c r="L70">
        <f t="shared" si="5"/>
        <v>202011</v>
      </c>
      <c r="M70">
        <f t="shared" si="6"/>
        <v>11</v>
      </c>
      <c r="N70">
        <f t="shared" si="7"/>
        <v>2020</v>
      </c>
      <c r="O70" t="str">
        <f>VLOOKUP(M70,month_lookup!A:B,2,FALSE)</f>
        <v>Nov</v>
      </c>
      <c r="P70">
        <f t="shared" si="4"/>
        <v>123672.7</v>
      </c>
    </row>
    <row r="71" spans="1:16" x14ac:dyDescent="0.25">
      <c r="A71" t="s">
        <v>52</v>
      </c>
      <c r="B71" s="1">
        <v>144640.79999999999</v>
      </c>
      <c r="C71">
        <v>118345.1</v>
      </c>
      <c r="D71" s="2">
        <v>43566</v>
      </c>
      <c r="E71" t="s">
        <v>79</v>
      </c>
      <c r="F71" t="s">
        <v>101</v>
      </c>
      <c r="G71" t="s">
        <v>54</v>
      </c>
      <c r="H71" t="s">
        <v>143</v>
      </c>
      <c r="I71" t="s">
        <v>27</v>
      </c>
      <c r="J71" t="s">
        <v>183</v>
      </c>
      <c r="L71">
        <f t="shared" si="5"/>
        <v>201904</v>
      </c>
      <c r="M71">
        <f t="shared" si="6"/>
        <v>4</v>
      </c>
      <c r="N71">
        <f t="shared" si="7"/>
        <v>2019</v>
      </c>
      <c r="O71" t="str">
        <f>VLOOKUP(M71,month_lookup!A:B,2,FALSE)</f>
        <v>Apr</v>
      </c>
      <c r="P71">
        <f t="shared" ref="P71:P134" si="8">IF(N71=2020,B71,-B71)</f>
        <v>-144640.79999999999</v>
      </c>
    </row>
    <row r="72" spans="1:16" x14ac:dyDescent="0.25">
      <c r="A72" t="s">
        <v>52</v>
      </c>
      <c r="B72" s="1">
        <v>268779.03000000003</v>
      </c>
      <c r="C72">
        <v>233676.49</v>
      </c>
      <c r="D72" s="2">
        <v>43826</v>
      </c>
      <c r="E72" t="s">
        <v>59</v>
      </c>
      <c r="F72" t="s">
        <v>184</v>
      </c>
      <c r="G72" t="s">
        <v>54</v>
      </c>
      <c r="H72" t="s">
        <v>132</v>
      </c>
      <c r="I72" t="s">
        <v>14</v>
      </c>
      <c r="J72" t="s">
        <v>185</v>
      </c>
      <c r="L72">
        <f t="shared" si="5"/>
        <v>201912</v>
      </c>
      <c r="M72">
        <f t="shared" si="6"/>
        <v>12</v>
      </c>
      <c r="N72">
        <f t="shared" si="7"/>
        <v>2019</v>
      </c>
      <c r="O72" t="str">
        <f>VLOOKUP(M72,month_lookup!A:B,2,FALSE)</f>
        <v>Dec</v>
      </c>
      <c r="P72">
        <f t="shared" si="8"/>
        <v>-268779.03000000003</v>
      </c>
    </row>
    <row r="73" spans="1:16" x14ac:dyDescent="0.25">
      <c r="A73" t="s">
        <v>9</v>
      </c>
      <c r="B73" s="1">
        <v>53593.86</v>
      </c>
      <c r="C73">
        <v>45629.81</v>
      </c>
      <c r="D73" s="2">
        <v>44024</v>
      </c>
      <c r="E73" t="s">
        <v>79</v>
      </c>
      <c r="F73" t="s">
        <v>113</v>
      </c>
      <c r="G73" t="s">
        <v>12</v>
      </c>
      <c r="H73" t="s">
        <v>117</v>
      </c>
      <c r="I73" t="s">
        <v>27</v>
      </c>
      <c r="J73" t="s">
        <v>186</v>
      </c>
      <c r="L73">
        <f t="shared" si="5"/>
        <v>202007</v>
      </c>
      <c r="M73">
        <f t="shared" si="6"/>
        <v>7</v>
      </c>
      <c r="N73">
        <f t="shared" si="7"/>
        <v>2020</v>
      </c>
      <c r="O73" t="str">
        <f>VLOOKUP(M73,month_lookup!A:B,2,FALSE)</f>
        <v>Jul</v>
      </c>
      <c r="P73">
        <f t="shared" si="8"/>
        <v>53593.86</v>
      </c>
    </row>
    <row r="74" spans="1:16" x14ac:dyDescent="0.25">
      <c r="A74" t="s">
        <v>52</v>
      </c>
      <c r="B74" s="1">
        <v>155044.01999999999</v>
      </c>
      <c r="C74">
        <v>134268.12</v>
      </c>
      <c r="D74" s="2">
        <v>43763</v>
      </c>
      <c r="E74" t="s">
        <v>29</v>
      </c>
      <c r="F74" t="s">
        <v>187</v>
      </c>
      <c r="G74" t="s">
        <v>54</v>
      </c>
      <c r="H74" t="s">
        <v>71</v>
      </c>
      <c r="I74" t="s">
        <v>27</v>
      </c>
      <c r="J74" t="s">
        <v>188</v>
      </c>
      <c r="L74">
        <f t="shared" si="5"/>
        <v>201910</v>
      </c>
      <c r="M74">
        <f t="shared" si="6"/>
        <v>10</v>
      </c>
      <c r="N74">
        <f t="shared" si="7"/>
        <v>2019</v>
      </c>
      <c r="O74" t="str">
        <f>VLOOKUP(M74,month_lookup!A:B,2,FALSE)</f>
        <v>Oct</v>
      </c>
      <c r="P74">
        <f t="shared" si="8"/>
        <v>-155044.01999999999</v>
      </c>
    </row>
    <row r="75" spans="1:16" x14ac:dyDescent="0.25">
      <c r="A75" t="s">
        <v>22</v>
      </c>
      <c r="B75" s="1">
        <v>102495.13</v>
      </c>
      <c r="C75">
        <v>85009.46</v>
      </c>
      <c r="D75" s="2">
        <v>44051</v>
      </c>
      <c r="E75" t="s">
        <v>59</v>
      </c>
      <c r="F75" t="s">
        <v>46</v>
      </c>
      <c r="G75" t="s">
        <v>25</v>
      </c>
      <c r="H75" t="s">
        <v>89</v>
      </c>
      <c r="I75" t="s">
        <v>37</v>
      </c>
      <c r="J75" t="s">
        <v>189</v>
      </c>
      <c r="L75">
        <f t="shared" si="5"/>
        <v>202008</v>
      </c>
      <c r="M75">
        <f t="shared" si="6"/>
        <v>8</v>
      </c>
      <c r="N75">
        <f t="shared" si="7"/>
        <v>2020</v>
      </c>
      <c r="O75" t="str">
        <f>VLOOKUP(M75,month_lookup!A:B,2,FALSE)</f>
        <v>Aug</v>
      </c>
      <c r="P75">
        <f t="shared" si="8"/>
        <v>102495.13</v>
      </c>
    </row>
    <row r="76" spans="1:16" x14ac:dyDescent="0.25">
      <c r="A76" t="s">
        <v>22</v>
      </c>
      <c r="B76" s="1">
        <v>294472.77</v>
      </c>
      <c r="C76">
        <v>255572.92</v>
      </c>
      <c r="D76" s="2">
        <v>43627</v>
      </c>
      <c r="E76" t="s">
        <v>59</v>
      </c>
      <c r="F76" t="s">
        <v>53</v>
      </c>
      <c r="G76" t="s">
        <v>25</v>
      </c>
      <c r="H76" t="s">
        <v>26</v>
      </c>
      <c r="I76" t="s">
        <v>37</v>
      </c>
      <c r="J76" t="s">
        <v>190</v>
      </c>
      <c r="L76">
        <f t="shared" si="5"/>
        <v>201906</v>
      </c>
      <c r="M76">
        <f t="shared" si="6"/>
        <v>6</v>
      </c>
      <c r="N76">
        <f t="shared" si="7"/>
        <v>2019</v>
      </c>
      <c r="O76" t="str">
        <f>VLOOKUP(M76,month_lookup!A:B,2,FALSE)</f>
        <v>Jun</v>
      </c>
      <c r="P76">
        <f t="shared" si="8"/>
        <v>-294472.77</v>
      </c>
    </row>
    <row r="77" spans="1:16" x14ac:dyDescent="0.25">
      <c r="A77" t="s">
        <v>9</v>
      </c>
      <c r="B77" s="1">
        <v>64053.77</v>
      </c>
      <c r="C77">
        <v>54733.95</v>
      </c>
      <c r="D77" s="2">
        <v>44075</v>
      </c>
      <c r="E77" t="s">
        <v>29</v>
      </c>
      <c r="F77" t="s">
        <v>96</v>
      </c>
      <c r="G77" t="s">
        <v>12</v>
      </c>
      <c r="H77" t="s">
        <v>68</v>
      </c>
      <c r="I77" t="s">
        <v>27</v>
      </c>
      <c r="J77" t="s">
        <v>191</v>
      </c>
      <c r="L77">
        <f t="shared" si="5"/>
        <v>202009</v>
      </c>
      <c r="M77">
        <f t="shared" si="6"/>
        <v>9</v>
      </c>
      <c r="N77">
        <f t="shared" si="7"/>
        <v>2020</v>
      </c>
      <c r="O77" t="str">
        <f>VLOOKUP(M77,month_lookup!A:B,2,FALSE)</f>
        <v>Sep</v>
      </c>
      <c r="P77">
        <f t="shared" si="8"/>
        <v>64053.77</v>
      </c>
    </row>
    <row r="78" spans="1:16" x14ac:dyDescent="0.25">
      <c r="A78" t="s">
        <v>44</v>
      </c>
      <c r="B78" s="1">
        <v>24543.72</v>
      </c>
      <c r="C78">
        <v>19492.62</v>
      </c>
      <c r="D78" s="2">
        <v>43546</v>
      </c>
      <c r="E78" t="s">
        <v>23</v>
      </c>
      <c r="F78" t="s">
        <v>30</v>
      </c>
      <c r="G78" t="s">
        <v>47</v>
      </c>
      <c r="H78" t="s">
        <v>73</v>
      </c>
      <c r="I78" t="s">
        <v>27</v>
      </c>
      <c r="J78" t="s">
        <v>192</v>
      </c>
      <c r="L78">
        <f t="shared" si="5"/>
        <v>201903</v>
      </c>
      <c r="M78">
        <f t="shared" si="6"/>
        <v>3</v>
      </c>
      <c r="N78">
        <f t="shared" si="7"/>
        <v>2019</v>
      </c>
      <c r="O78" t="str">
        <f>VLOOKUP(M78,month_lookup!A:B,2,FALSE)</f>
        <v>Mar</v>
      </c>
      <c r="P78">
        <f t="shared" si="8"/>
        <v>-24543.72</v>
      </c>
    </row>
    <row r="79" spans="1:16" x14ac:dyDescent="0.25">
      <c r="A79" t="s">
        <v>22</v>
      </c>
      <c r="B79" s="1">
        <v>161544.06</v>
      </c>
      <c r="C79">
        <v>132579.21</v>
      </c>
      <c r="D79" s="2">
        <v>43720</v>
      </c>
      <c r="E79" t="s">
        <v>23</v>
      </c>
      <c r="F79" t="s">
        <v>34</v>
      </c>
      <c r="G79" t="s">
        <v>25</v>
      </c>
      <c r="H79" t="s">
        <v>26</v>
      </c>
      <c r="I79" t="s">
        <v>27</v>
      </c>
      <c r="J79" t="s">
        <v>193</v>
      </c>
      <c r="L79">
        <f t="shared" si="5"/>
        <v>201909</v>
      </c>
      <c r="M79">
        <f t="shared" si="6"/>
        <v>9</v>
      </c>
      <c r="N79">
        <f t="shared" si="7"/>
        <v>2019</v>
      </c>
      <c r="O79" t="str">
        <f>VLOOKUP(M79,month_lookup!A:B,2,FALSE)</f>
        <v>Sep</v>
      </c>
      <c r="P79">
        <f t="shared" si="8"/>
        <v>-161544.06</v>
      </c>
    </row>
    <row r="80" spans="1:16" x14ac:dyDescent="0.25">
      <c r="A80" t="s">
        <v>22</v>
      </c>
      <c r="B80" s="1">
        <v>50303.66</v>
      </c>
      <c r="C80">
        <v>41103.120000000003</v>
      </c>
      <c r="D80" s="2">
        <v>43836</v>
      </c>
      <c r="E80" t="s">
        <v>50</v>
      </c>
      <c r="F80" t="s">
        <v>157</v>
      </c>
      <c r="G80" t="s">
        <v>25</v>
      </c>
      <c r="H80" t="s">
        <v>26</v>
      </c>
      <c r="I80" t="s">
        <v>27</v>
      </c>
      <c r="J80" t="s">
        <v>194</v>
      </c>
      <c r="L80">
        <f t="shared" si="5"/>
        <v>202001</v>
      </c>
      <c r="M80">
        <f t="shared" si="6"/>
        <v>1</v>
      </c>
      <c r="N80">
        <f t="shared" si="7"/>
        <v>2020</v>
      </c>
      <c r="O80" t="str">
        <f>VLOOKUP(M80,month_lookup!A:B,2,FALSE)</f>
        <v>Jan</v>
      </c>
      <c r="P80">
        <f t="shared" si="8"/>
        <v>50303.66</v>
      </c>
    </row>
    <row r="81" spans="1:16" x14ac:dyDescent="0.25">
      <c r="A81" t="s">
        <v>9</v>
      </c>
      <c r="B81" s="1">
        <v>124593.04</v>
      </c>
      <c r="C81">
        <v>109106.13</v>
      </c>
      <c r="D81" s="2">
        <v>43841</v>
      </c>
      <c r="E81" t="s">
        <v>50</v>
      </c>
      <c r="F81" t="s">
        <v>34</v>
      </c>
      <c r="G81" t="s">
        <v>12</v>
      </c>
      <c r="H81" t="s">
        <v>13</v>
      </c>
      <c r="I81" t="s">
        <v>14</v>
      </c>
      <c r="J81" t="s">
        <v>195</v>
      </c>
      <c r="L81">
        <f t="shared" si="5"/>
        <v>202001</v>
      </c>
      <c r="M81">
        <f t="shared" si="6"/>
        <v>1</v>
      </c>
      <c r="N81">
        <f t="shared" si="7"/>
        <v>2020</v>
      </c>
      <c r="O81" t="str">
        <f>VLOOKUP(M81,month_lookup!A:B,2,FALSE)</f>
        <v>Jan</v>
      </c>
      <c r="P81">
        <f t="shared" si="8"/>
        <v>124593.04</v>
      </c>
    </row>
    <row r="82" spans="1:16" x14ac:dyDescent="0.25">
      <c r="A82" t="s">
        <v>9</v>
      </c>
      <c r="B82" s="1">
        <v>44147.92</v>
      </c>
      <c r="C82">
        <v>37163.72</v>
      </c>
      <c r="D82" s="2">
        <v>43969</v>
      </c>
      <c r="E82" t="s">
        <v>29</v>
      </c>
      <c r="F82" t="s">
        <v>101</v>
      </c>
      <c r="G82" t="s">
        <v>12</v>
      </c>
      <c r="H82" t="s">
        <v>13</v>
      </c>
      <c r="I82" t="s">
        <v>27</v>
      </c>
      <c r="J82" t="s">
        <v>196</v>
      </c>
      <c r="L82">
        <f t="shared" si="5"/>
        <v>202005</v>
      </c>
      <c r="M82">
        <f t="shared" si="6"/>
        <v>5</v>
      </c>
      <c r="N82">
        <f t="shared" si="7"/>
        <v>2020</v>
      </c>
      <c r="O82" t="str">
        <f>VLOOKUP(M82,month_lookup!A:B,2,FALSE)</f>
        <v>May</v>
      </c>
      <c r="P82">
        <f t="shared" si="8"/>
        <v>44147.92</v>
      </c>
    </row>
    <row r="83" spans="1:16" x14ac:dyDescent="0.25">
      <c r="A83" t="s">
        <v>100</v>
      </c>
      <c r="B83" s="1">
        <v>42239.66</v>
      </c>
      <c r="C83">
        <v>37039.96</v>
      </c>
      <c r="D83" s="2">
        <v>43602</v>
      </c>
      <c r="E83" t="s">
        <v>59</v>
      </c>
      <c r="F83" t="s">
        <v>34</v>
      </c>
      <c r="G83" t="s">
        <v>102</v>
      </c>
      <c r="H83" t="s">
        <v>103</v>
      </c>
      <c r="I83" t="s">
        <v>27</v>
      </c>
      <c r="J83" t="s">
        <v>197</v>
      </c>
      <c r="L83">
        <f t="shared" si="5"/>
        <v>201905</v>
      </c>
      <c r="M83">
        <f t="shared" si="6"/>
        <v>5</v>
      </c>
      <c r="N83">
        <f t="shared" si="7"/>
        <v>2019</v>
      </c>
      <c r="O83" t="str">
        <f>VLOOKUP(M83,month_lookup!A:B,2,FALSE)</f>
        <v>May</v>
      </c>
      <c r="P83">
        <f t="shared" si="8"/>
        <v>-42239.66</v>
      </c>
    </row>
    <row r="84" spans="1:16" x14ac:dyDescent="0.25">
      <c r="A84" t="s">
        <v>9</v>
      </c>
      <c r="B84" s="1">
        <v>113763.38</v>
      </c>
      <c r="C84">
        <v>91158.6</v>
      </c>
      <c r="D84" s="2">
        <v>43922</v>
      </c>
      <c r="E84" t="s">
        <v>10</v>
      </c>
      <c r="F84" t="s">
        <v>157</v>
      </c>
      <c r="G84" t="s">
        <v>12</v>
      </c>
      <c r="H84" t="s">
        <v>13</v>
      </c>
      <c r="I84" t="s">
        <v>27</v>
      </c>
      <c r="J84" t="s">
        <v>198</v>
      </c>
      <c r="L84">
        <f t="shared" si="5"/>
        <v>202004</v>
      </c>
      <c r="M84">
        <f t="shared" si="6"/>
        <v>4</v>
      </c>
      <c r="N84">
        <f t="shared" si="7"/>
        <v>2020</v>
      </c>
      <c r="O84" t="str">
        <f>VLOOKUP(M84,month_lookup!A:B,2,FALSE)</f>
        <v>Apr</v>
      </c>
      <c r="P84">
        <f t="shared" si="8"/>
        <v>113763.38</v>
      </c>
    </row>
    <row r="85" spans="1:16" x14ac:dyDescent="0.25">
      <c r="A85" t="s">
        <v>22</v>
      </c>
      <c r="B85" s="1">
        <v>183363.6</v>
      </c>
      <c r="C85">
        <v>155033.92000000001</v>
      </c>
      <c r="D85" s="2">
        <v>43640</v>
      </c>
      <c r="E85" t="s">
        <v>59</v>
      </c>
      <c r="F85" t="s">
        <v>34</v>
      </c>
      <c r="G85" t="s">
        <v>25</v>
      </c>
      <c r="H85" t="s">
        <v>89</v>
      </c>
      <c r="I85" t="s">
        <v>27</v>
      </c>
      <c r="J85" t="s">
        <v>199</v>
      </c>
      <c r="L85">
        <f t="shared" si="5"/>
        <v>201906</v>
      </c>
      <c r="M85">
        <f t="shared" si="6"/>
        <v>6</v>
      </c>
      <c r="N85">
        <f t="shared" si="7"/>
        <v>2019</v>
      </c>
      <c r="O85" t="str">
        <f>VLOOKUP(M85,month_lookup!A:B,2,FALSE)</f>
        <v>Jun</v>
      </c>
      <c r="P85">
        <f t="shared" si="8"/>
        <v>-183363.6</v>
      </c>
    </row>
    <row r="86" spans="1:16" x14ac:dyDescent="0.25">
      <c r="A86" t="s">
        <v>52</v>
      </c>
      <c r="B86" s="1">
        <v>85220.83</v>
      </c>
      <c r="C86">
        <v>73767.149999999994</v>
      </c>
      <c r="D86" s="2">
        <v>43723</v>
      </c>
      <c r="E86" t="s">
        <v>29</v>
      </c>
      <c r="F86" t="s">
        <v>200</v>
      </c>
      <c r="G86" t="s">
        <v>54</v>
      </c>
      <c r="H86" t="s">
        <v>127</v>
      </c>
      <c r="I86" t="s">
        <v>37</v>
      </c>
      <c r="J86" t="s">
        <v>201</v>
      </c>
      <c r="L86">
        <f t="shared" si="5"/>
        <v>201909</v>
      </c>
      <c r="M86">
        <f t="shared" si="6"/>
        <v>9</v>
      </c>
      <c r="N86">
        <f t="shared" si="7"/>
        <v>2019</v>
      </c>
      <c r="O86" t="str">
        <f>VLOOKUP(M86,month_lookup!A:B,2,FALSE)</f>
        <v>Sep</v>
      </c>
      <c r="P86">
        <f t="shared" si="8"/>
        <v>-85220.83</v>
      </c>
    </row>
    <row r="87" spans="1:16" x14ac:dyDescent="0.25">
      <c r="A87" t="s">
        <v>22</v>
      </c>
      <c r="B87" s="1">
        <v>87513.27</v>
      </c>
      <c r="C87">
        <v>72469.740000000005</v>
      </c>
      <c r="D87" s="2">
        <v>43895</v>
      </c>
      <c r="E87" t="s">
        <v>10</v>
      </c>
      <c r="F87" t="s">
        <v>202</v>
      </c>
      <c r="G87" t="s">
        <v>25</v>
      </c>
      <c r="H87" t="s">
        <v>75</v>
      </c>
      <c r="I87" t="s">
        <v>14</v>
      </c>
      <c r="J87" t="s">
        <v>203</v>
      </c>
      <c r="L87">
        <f t="shared" si="5"/>
        <v>202003</v>
      </c>
      <c r="M87">
        <f t="shared" si="6"/>
        <v>3</v>
      </c>
      <c r="N87">
        <f t="shared" si="7"/>
        <v>2020</v>
      </c>
      <c r="O87" t="str">
        <f>VLOOKUP(M87,month_lookup!A:B,2,FALSE)</f>
        <v>Mar</v>
      </c>
      <c r="P87">
        <f t="shared" si="8"/>
        <v>87513.27</v>
      </c>
    </row>
    <row r="88" spans="1:16" x14ac:dyDescent="0.25">
      <c r="A88" t="s">
        <v>100</v>
      </c>
      <c r="B88" s="1">
        <v>37073.910000000003</v>
      </c>
      <c r="C88">
        <v>30274.55</v>
      </c>
      <c r="D88" s="2">
        <v>43581</v>
      </c>
      <c r="E88" t="s">
        <v>10</v>
      </c>
      <c r="F88" t="s">
        <v>204</v>
      </c>
      <c r="G88" t="s">
        <v>102</v>
      </c>
      <c r="H88" t="s">
        <v>161</v>
      </c>
      <c r="I88" t="s">
        <v>37</v>
      </c>
      <c r="J88" t="s">
        <v>205</v>
      </c>
      <c r="L88">
        <f t="shared" si="5"/>
        <v>201904</v>
      </c>
      <c r="M88">
        <f t="shared" si="6"/>
        <v>4</v>
      </c>
      <c r="N88">
        <f t="shared" si="7"/>
        <v>2019</v>
      </c>
      <c r="O88" t="str">
        <f>VLOOKUP(M88,month_lookup!A:B,2,FALSE)</f>
        <v>Apr</v>
      </c>
      <c r="P88">
        <f t="shared" si="8"/>
        <v>-37073.910000000003</v>
      </c>
    </row>
    <row r="89" spans="1:16" x14ac:dyDescent="0.25">
      <c r="A89" t="s">
        <v>52</v>
      </c>
      <c r="B89" s="1">
        <v>122139.94</v>
      </c>
      <c r="C89">
        <v>103684.6</v>
      </c>
      <c r="D89" s="2">
        <v>43771</v>
      </c>
      <c r="E89" t="s">
        <v>59</v>
      </c>
      <c r="F89" t="s">
        <v>173</v>
      </c>
      <c r="G89" t="s">
        <v>54</v>
      </c>
      <c r="H89" t="s">
        <v>132</v>
      </c>
      <c r="I89" t="s">
        <v>27</v>
      </c>
      <c r="J89" t="s">
        <v>206</v>
      </c>
      <c r="L89">
        <f t="shared" si="5"/>
        <v>201911</v>
      </c>
      <c r="M89">
        <f t="shared" si="6"/>
        <v>11</v>
      </c>
      <c r="N89">
        <f t="shared" si="7"/>
        <v>2019</v>
      </c>
      <c r="O89" t="str">
        <f>VLOOKUP(M89,month_lookup!A:B,2,FALSE)</f>
        <v>Nov</v>
      </c>
      <c r="P89">
        <f t="shared" si="8"/>
        <v>-122139.94</v>
      </c>
    </row>
    <row r="90" spans="1:16" x14ac:dyDescent="0.25">
      <c r="A90" t="s">
        <v>52</v>
      </c>
      <c r="B90" s="1">
        <v>107586.21</v>
      </c>
      <c r="C90">
        <v>94525.24</v>
      </c>
      <c r="D90" s="2">
        <v>43989</v>
      </c>
      <c r="E90" t="s">
        <v>79</v>
      </c>
      <c r="F90" t="s">
        <v>149</v>
      </c>
      <c r="G90" t="s">
        <v>54</v>
      </c>
      <c r="H90" t="s">
        <v>71</v>
      </c>
      <c r="I90" t="s">
        <v>27</v>
      </c>
      <c r="J90" t="s">
        <v>207</v>
      </c>
      <c r="L90">
        <f t="shared" si="5"/>
        <v>202006</v>
      </c>
      <c r="M90">
        <f t="shared" si="6"/>
        <v>6</v>
      </c>
      <c r="N90">
        <f t="shared" si="7"/>
        <v>2020</v>
      </c>
      <c r="O90" t="str">
        <f>VLOOKUP(M90,month_lookup!A:B,2,FALSE)</f>
        <v>Jun</v>
      </c>
      <c r="P90">
        <f t="shared" si="8"/>
        <v>107586.21</v>
      </c>
    </row>
    <row r="91" spans="1:16" x14ac:dyDescent="0.25">
      <c r="A91" t="s">
        <v>44</v>
      </c>
      <c r="B91" s="1">
        <v>203958.16</v>
      </c>
      <c r="C91">
        <v>176444.2</v>
      </c>
      <c r="D91" s="2">
        <v>44167</v>
      </c>
      <c r="E91" t="s">
        <v>50</v>
      </c>
      <c r="F91" t="s">
        <v>24</v>
      </c>
      <c r="G91" t="s">
        <v>47</v>
      </c>
      <c r="H91" t="s">
        <v>65</v>
      </c>
      <c r="I91" t="s">
        <v>27</v>
      </c>
      <c r="J91" t="s">
        <v>208</v>
      </c>
      <c r="L91">
        <f t="shared" si="5"/>
        <v>202012</v>
      </c>
      <c r="M91">
        <f t="shared" si="6"/>
        <v>12</v>
      </c>
      <c r="N91">
        <f t="shared" si="7"/>
        <v>2020</v>
      </c>
      <c r="O91" t="str">
        <f>VLOOKUP(M91,month_lookup!A:B,2,FALSE)</f>
        <v>Dec</v>
      </c>
      <c r="P91">
        <f t="shared" si="8"/>
        <v>203958.16</v>
      </c>
    </row>
    <row r="92" spans="1:16" x14ac:dyDescent="0.25">
      <c r="A92" t="s">
        <v>22</v>
      </c>
      <c r="B92" s="1">
        <v>55132.39</v>
      </c>
      <c r="C92">
        <v>47121.65</v>
      </c>
      <c r="D92" s="2">
        <v>43627</v>
      </c>
      <c r="E92" t="s">
        <v>23</v>
      </c>
      <c r="F92" t="s">
        <v>209</v>
      </c>
      <c r="G92" t="s">
        <v>25</v>
      </c>
      <c r="H92" t="s">
        <v>89</v>
      </c>
      <c r="I92" t="s">
        <v>27</v>
      </c>
      <c r="J92" t="s">
        <v>210</v>
      </c>
      <c r="L92">
        <f t="shared" si="5"/>
        <v>201906</v>
      </c>
      <c r="M92">
        <f t="shared" si="6"/>
        <v>6</v>
      </c>
      <c r="N92">
        <f t="shared" si="7"/>
        <v>2019</v>
      </c>
      <c r="O92" t="str">
        <f>VLOOKUP(M92,month_lookup!A:B,2,FALSE)</f>
        <v>Jun</v>
      </c>
      <c r="P92">
        <f t="shared" si="8"/>
        <v>-55132.39</v>
      </c>
    </row>
    <row r="93" spans="1:16" x14ac:dyDescent="0.25">
      <c r="A93" t="s">
        <v>172</v>
      </c>
      <c r="B93" s="1">
        <v>135424.06</v>
      </c>
      <c r="C93">
        <v>116275.1</v>
      </c>
      <c r="D93" s="2">
        <v>43845</v>
      </c>
      <c r="E93" t="s">
        <v>79</v>
      </c>
      <c r="F93" t="s">
        <v>134</v>
      </c>
      <c r="G93" t="s">
        <v>174</v>
      </c>
      <c r="H93" t="s">
        <v>211</v>
      </c>
      <c r="I93" t="s">
        <v>27</v>
      </c>
      <c r="J93" t="s">
        <v>212</v>
      </c>
      <c r="L93">
        <f t="shared" si="5"/>
        <v>202001</v>
      </c>
      <c r="M93">
        <f t="shared" si="6"/>
        <v>1</v>
      </c>
      <c r="N93">
        <f t="shared" si="7"/>
        <v>2020</v>
      </c>
      <c r="O93" t="str">
        <f>VLOOKUP(M93,month_lookup!A:B,2,FALSE)</f>
        <v>Jan</v>
      </c>
      <c r="P93">
        <f t="shared" si="8"/>
        <v>135424.06</v>
      </c>
    </row>
    <row r="94" spans="1:16" x14ac:dyDescent="0.25">
      <c r="A94" t="s">
        <v>9</v>
      </c>
      <c r="B94" s="1">
        <v>167123.72</v>
      </c>
      <c r="C94">
        <v>132946.92000000001</v>
      </c>
      <c r="D94" s="2">
        <v>43678</v>
      </c>
      <c r="E94" t="s">
        <v>59</v>
      </c>
      <c r="F94" t="s">
        <v>165</v>
      </c>
      <c r="G94" t="s">
        <v>12</v>
      </c>
      <c r="H94" t="s">
        <v>81</v>
      </c>
      <c r="I94" t="s">
        <v>27</v>
      </c>
      <c r="J94" t="s">
        <v>213</v>
      </c>
      <c r="L94">
        <f t="shared" si="5"/>
        <v>201908</v>
      </c>
      <c r="M94">
        <f t="shared" si="6"/>
        <v>8</v>
      </c>
      <c r="N94">
        <f t="shared" si="7"/>
        <v>2019</v>
      </c>
      <c r="O94" t="str">
        <f>VLOOKUP(M94,month_lookup!A:B,2,FALSE)</f>
        <v>Aug</v>
      </c>
      <c r="P94">
        <f t="shared" si="8"/>
        <v>-167123.72</v>
      </c>
    </row>
    <row r="95" spans="1:16" x14ac:dyDescent="0.25">
      <c r="A95" t="s">
        <v>214</v>
      </c>
      <c r="B95" s="1">
        <v>92868.37</v>
      </c>
      <c r="C95">
        <v>79068.13</v>
      </c>
      <c r="D95" s="2">
        <v>43920</v>
      </c>
      <c r="E95" t="s">
        <v>79</v>
      </c>
      <c r="F95" t="s">
        <v>145</v>
      </c>
      <c r="G95" t="s">
        <v>215</v>
      </c>
      <c r="H95" t="s">
        <v>216</v>
      </c>
      <c r="I95" t="s">
        <v>27</v>
      </c>
      <c r="J95" t="s">
        <v>217</v>
      </c>
      <c r="L95">
        <f t="shared" si="5"/>
        <v>202003</v>
      </c>
      <c r="M95">
        <f t="shared" si="6"/>
        <v>3</v>
      </c>
      <c r="N95">
        <f t="shared" si="7"/>
        <v>2020</v>
      </c>
      <c r="O95" t="str">
        <f>VLOOKUP(M95,month_lookup!A:B,2,FALSE)</f>
        <v>Mar</v>
      </c>
      <c r="P95">
        <f t="shared" si="8"/>
        <v>92868.37</v>
      </c>
    </row>
    <row r="96" spans="1:16" x14ac:dyDescent="0.25">
      <c r="A96" t="s">
        <v>22</v>
      </c>
      <c r="B96" s="1">
        <v>108689.45</v>
      </c>
      <c r="C96">
        <v>91223.06</v>
      </c>
      <c r="D96" s="2">
        <v>43778</v>
      </c>
      <c r="E96" t="s">
        <v>50</v>
      </c>
      <c r="F96" t="s">
        <v>154</v>
      </c>
      <c r="G96" t="s">
        <v>25</v>
      </c>
      <c r="H96" t="s">
        <v>218</v>
      </c>
      <c r="I96" t="s">
        <v>14</v>
      </c>
      <c r="J96" t="s">
        <v>219</v>
      </c>
      <c r="L96">
        <f t="shared" si="5"/>
        <v>201911</v>
      </c>
      <c r="M96">
        <f t="shared" si="6"/>
        <v>11</v>
      </c>
      <c r="N96">
        <f t="shared" si="7"/>
        <v>2019</v>
      </c>
      <c r="O96" t="str">
        <f>VLOOKUP(M96,month_lookup!A:B,2,FALSE)</f>
        <v>Nov</v>
      </c>
      <c r="P96">
        <f t="shared" si="8"/>
        <v>-108689.45</v>
      </c>
    </row>
    <row r="97" spans="1:16" x14ac:dyDescent="0.25">
      <c r="A97" t="s">
        <v>22</v>
      </c>
      <c r="B97" s="1">
        <v>79874.42</v>
      </c>
      <c r="C97">
        <v>68132.88</v>
      </c>
      <c r="D97" s="2">
        <v>44149</v>
      </c>
      <c r="E97" t="s">
        <v>61</v>
      </c>
      <c r="F97" t="s">
        <v>39</v>
      </c>
      <c r="G97" t="s">
        <v>25</v>
      </c>
      <c r="H97" t="s">
        <v>26</v>
      </c>
      <c r="I97" t="s">
        <v>27</v>
      </c>
      <c r="J97" t="s">
        <v>220</v>
      </c>
      <c r="L97">
        <f t="shared" si="5"/>
        <v>202011</v>
      </c>
      <c r="M97">
        <f t="shared" si="6"/>
        <v>11</v>
      </c>
      <c r="N97">
        <f t="shared" si="7"/>
        <v>2020</v>
      </c>
      <c r="O97" t="str">
        <f>VLOOKUP(M97,month_lookup!A:B,2,FALSE)</f>
        <v>Nov</v>
      </c>
      <c r="P97">
        <f t="shared" si="8"/>
        <v>79874.42</v>
      </c>
    </row>
    <row r="98" spans="1:16" x14ac:dyDescent="0.25">
      <c r="A98" t="s">
        <v>214</v>
      </c>
      <c r="B98" s="1">
        <v>153011.39000000001</v>
      </c>
      <c r="C98">
        <v>131543.89000000001</v>
      </c>
      <c r="D98" s="2">
        <v>43721</v>
      </c>
      <c r="E98" t="s">
        <v>50</v>
      </c>
      <c r="F98" t="s">
        <v>34</v>
      </c>
      <c r="G98" t="s">
        <v>215</v>
      </c>
      <c r="H98" t="s">
        <v>216</v>
      </c>
      <c r="I98" t="s">
        <v>27</v>
      </c>
      <c r="J98" t="s">
        <v>221</v>
      </c>
      <c r="L98">
        <f t="shared" si="5"/>
        <v>201909</v>
      </c>
      <c r="M98">
        <f t="shared" si="6"/>
        <v>9</v>
      </c>
      <c r="N98">
        <f t="shared" si="7"/>
        <v>2019</v>
      </c>
      <c r="O98" t="str">
        <f>VLOOKUP(M98,month_lookup!A:B,2,FALSE)</f>
        <v>Sep</v>
      </c>
      <c r="P98">
        <f t="shared" si="8"/>
        <v>-153011.39000000001</v>
      </c>
    </row>
    <row r="99" spans="1:16" x14ac:dyDescent="0.25">
      <c r="A99" t="s">
        <v>22</v>
      </c>
      <c r="B99" s="1">
        <v>72857.41</v>
      </c>
      <c r="C99">
        <v>60442.51</v>
      </c>
      <c r="D99" s="2">
        <v>43961</v>
      </c>
      <c r="E99" t="s">
        <v>23</v>
      </c>
      <c r="F99" t="s">
        <v>96</v>
      </c>
      <c r="G99" t="s">
        <v>25</v>
      </c>
      <c r="H99" t="s">
        <v>218</v>
      </c>
      <c r="I99" t="s">
        <v>27</v>
      </c>
      <c r="J99" t="s">
        <v>222</v>
      </c>
      <c r="L99">
        <f t="shared" si="5"/>
        <v>202005</v>
      </c>
      <c r="M99">
        <f t="shared" si="6"/>
        <v>5</v>
      </c>
      <c r="N99">
        <f t="shared" si="7"/>
        <v>2020</v>
      </c>
      <c r="O99" t="str">
        <f>VLOOKUP(M99,month_lookup!A:B,2,FALSE)</f>
        <v>May</v>
      </c>
      <c r="P99">
        <f t="shared" si="8"/>
        <v>72857.41</v>
      </c>
    </row>
    <row r="100" spans="1:16" x14ac:dyDescent="0.25">
      <c r="A100" t="s">
        <v>52</v>
      </c>
      <c r="B100" s="1">
        <v>102771.44</v>
      </c>
      <c r="C100">
        <v>83584.009999999995</v>
      </c>
      <c r="D100" s="2">
        <v>43793</v>
      </c>
      <c r="E100" t="s">
        <v>45</v>
      </c>
      <c r="F100" t="s">
        <v>223</v>
      </c>
      <c r="G100" t="s">
        <v>54</v>
      </c>
      <c r="H100" t="s">
        <v>55</v>
      </c>
      <c r="I100" t="s">
        <v>27</v>
      </c>
      <c r="J100" t="s">
        <v>224</v>
      </c>
      <c r="L100">
        <f t="shared" si="5"/>
        <v>201911</v>
      </c>
      <c r="M100">
        <f t="shared" si="6"/>
        <v>11</v>
      </c>
      <c r="N100">
        <f t="shared" si="7"/>
        <v>2019</v>
      </c>
      <c r="O100" t="str">
        <f>VLOOKUP(M100,month_lookup!A:B,2,FALSE)</f>
        <v>Nov</v>
      </c>
      <c r="P100">
        <f t="shared" si="8"/>
        <v>-102771.44</v>
      </c>
    </row>
    <row r="101" spans="1:16" x14ac:dyDescent="0.25">
      <c r="A101" t="s">
        <v>44</v>
      </c>
      <c r="B101" s="1">
        <v>90559.16</v>
      </c>
      <c r="C101">
        <v>75318.05</v>
      </c>
      <c r="D101" s="2">
        <v>43703</v>
      </c>
      <c r="E101" t="s">
        <v>61</v>
      </c>
      <c r="F101" t="s">
        <v>209</v>
      </c>
      <c r="G101" t="s">
        <v>47</v>
      </c>
      <c r="H101" t="s">
        <v>65</v>
      </c>
      <c r="I101" t="s">
        <v>27</v>
      </c>
      <c r="J101" t="s">
        <v>225</v>
      </c>
      <c r="L101">
        <f t="shared" si="5"/>
        <v>201908</v>
      </c>
      <c r="M101">
        <f t="shared" si="6"/>
        <v>8</v>
      </c>
      <c r="N101">
        <f t="shared" si="7"/>
        <v>2019</v>
      </c>
      <c r="O101" t="str">
        <f>VLOOKUP(M101,month_lookup!A:B,2,FALSE)</f>
        <v>Aug</v>
      </c>
      <c r="P101">
        <f t="shared" si="8"/>
        <v>-90559.16</v>
      </c>
    </row>
    <row r="102" spans="1:16" x14ac:dyDescent="0.25">
      <c r="A102" t="s">
        <v>22</v>
      </c>
      <c r="B102" s="1">
        <v>141796.75</v>
      </c>
      <c r="C102">
        <v>112317.21</v>
      </c>
      <c r="D102" s="2">
        <v>44090</v>
      </c>
      <c r="E102" t="s">
        <v>17</v>
      </c>
      <c r="F102" t="s">
        <v>34</v>
      </c>
      <c r="G102" t="s">
        <v>25</v>
      </c>
      <c r="H102" t="s">
        <v>75</v>
      </c>
      <c r="I102" t="s">
        <v>27</v>
      </c>
      <c r="J102" t="s">
        <v>226</v>
      </c>
      <c r="L102">
        <f t="shared" si="5"/>
        <v>202009</v>
      </c>
      <c r="M102">
        <f t="shared" si="6"/>
        <v>9</v>
      </c>
      <c r="N102">
        <f t="shared" si="7"/>
        <v>2020</v>
      </c>
      <c r="O102" t="str">
        <f>VLOOKUP(M102,month_lookup!A:B,2,FALSE)</f>
        <v>Sep</v>
      </c>
      <c r="P102">
        <f t="shared" si="8"/>
        <v>141796.75</v>
      </c>
    </row>
    <row r="103" spans="1:16" x14ac:dyDescent="0.25">
      <c r="A103" t="s">
        <v>100</v>
      </c>
      <c r="B103" s="1">
        <v>103874.1</v>
      </c>
      <c r="C103">
        <v>82112.479999999996</v>
      </c>
      <c r="D103" s="2">
        <v>43479</v>
      </c>
      <c r="E103" t="s">
        <v>61</v>
      </c>
      <c r="F103" t="s">
        <v>34</v>
      </c>
      <c r="G103" t="s">
        <v>102</v>
      </c>
      <c r="H103" t="s">
        <v>103</v>
      </c>
      <c r="I103" t="s">
        <v>27</v>
      </c>
      <c r="J103" t="s">
        <v>227</v>
      </c>
      <c r="L103">
        <f t="shared" si="5"/>
        <v>201901</v>
      </c>
      <c r="M103">
        <f t="shared" si="6"/>
        <v>1</v>
      </c>
      <c r="N103">
        <f t="shared" si="7"/>
        <v>2019</v>
      </c>
      <c r="O103" t="str">
        <f>VLOOKUP(M103,month_lookup!A:B,2,FALSE)</f>
        <v>Jan</v>
      </c>
      <c r="P103">
        <f t="shared" si="8"/>
        <v>-103874.1</v>
      </c>
    </row>
    <row r="104" spans="1:16" x14ac:dyDescent="0.25">
      <c r="A104" t="s">
        <v>33</v>
      </c>
      <c r="B104" s="1">
        <v>134908.19</v>
      </c>
      <c r="C104">
        <v>114388.65</v>
      </c>
      <c r="D104" s="2">
        <v>44061</v>
      </c>
      <c r="E104" t="s">
        <v>23</v>
      </c>
      <c r="F104" t="s">
        <v>88</v>
      </c>
      <c r="G104" t="s">
        <v>35</v>
      </c>
      <c r="H104" t="s">
        <v>40</v>
      </c>
      <c r="I104" t="s">
        <v>27</v>
      </c>
      <c r="J104" t="s">
        <v>228</v>
      </c>
      <c r="L104">
        <f t="shared" si="5"/>
        <v>202008</v>
      </c>
      <c r="M104">
        <f t="shared" si="6"/>
        <v>8</v>
      </c>
      <c r="N104">
        <f t="shared" si="7"/>
        <v>2020</v>
      </c>
      <c r="O104" t="str">
        <f>VLOOKUP(M104,month_lookup!A:B,2,FALSE)</f>
        <v>Aug</v>
      </c>
      <c r="P104">
        <f t="shared" si="8"/>
        <v>134908.19</v>
      </c>
    </row>
    <row r="105" spans="1:16" x14ac:dyDescent="0.25">
      <c r="A105" t="s">
        <v>22</v>
      </c>
      <c r="B105" s="1">
        <v>45256.74</v>
      </c>
      <c r="C105">
        <v>38975.1</v>
      </c>
      <c r="D105" s="2">
        <v>43479</v>
      </c>
      <c r="E105" t="s">
        <v>138</v>
      </c>
      <c r="F105" t="s">
        <v>149</v>
      </c>
      <c r="G105" t="s">
        <v>25</v>
      </c>
      <c r="H105" t="s">
        <v>26</v>
      </c>
      <c r="I105" t="s">
        <v>27</v>
      </c>
      <c r="J105" t="s">
        <v>229</v>
      </c>
      <c r="L105">
        <f t="shared" si="5"/>
        <v>201901</v>
      </c>
      <c r="M105">
        <f t="shared" si="6"/>
        <v>1</v>
      </c>
      <c r="N105">
        <f t="shared" si="7"/>
        <v>2019</v>
      </c>
      <c r="O105" t="str">
        <f>VLOOKUP(M105,month_lookup!A:B,2,FALSE)</f>
        <v>Jan</v>
      </c>
      <c r="P105">
        <f t="shared" si="8"/>
        <v>-45256.74</v>
      </c>
    </row>
    <row r="106" spans="1:16" x14ac:dyDescent="0.25">
      <c r="A106" t="s">
        <v>22</v>
      </c>
      <c r="B106" s="1">
        <v>131018.65</v>
      </c>
      <c r="C106">
        <v>107920.06</v>
      </c>
      <c r="D106" s="2">
        <v>43923</v>
      </c>
      <c r="E106" t="s">
        <v>23</v>
      </c>
      <c r="F106" t="s">
        <v>230</v>
      </c>
      <c r="G106" t="s">
        <v>25</v>
      </c>
      <c r="H106" t="s">
        <v>218</v>
      </c>
      <c r="I106" t="s">
        <v>27</v>
      </c>
      <c r="J106" t="s">
        <v>231</v>
      </c>
      <c r="L106">
        <f t="shared" si="5"/>
        <v>202004</v>
      </c>
      <c r="M106">
        <f t="shared" si="6"/>
        <v>4</v>
      </c>
      <c r="N106">
        <f t="shared" si="7"/>
        <v>2020</v>
      </c>
      <c r="O106" t="str">
        <f>VLOOKUP(M106,month_lookup!A:B,2,FALSE)</f>
        <v>Apr</v>
      </c>
      <c r="P106">
        <f t="shared" si="8"/>
        <v>131018.65</v>
      </c>
    </row>
    <row r="107" spans="1:16" x14ac:dyDescent="0.25">
      <c r="A107" t="s">
        <v>172</v>
      </c>
      <c r="B107" s="1">
        <v>84877.87</v>
      </c>
      <c r="C107">
        <v>68454</v>
      </c>
      <c r="D107" s="2">
        <v>43800</v>
      </c>
      <c r="E107" t="s">
        <v>79</v>
      </c>
      <c r="F107" t="s">
        <v>177</v>
      </c>
      <c r="G107" t="s">
        <v>174</v>
      </c>
      <c r="H107" t="s">
        <v>175</v>
      </c>
      <c r="I107" t="s">
        <v>27</v>
      </c>
      <c r="J107" t="s">
        <v>232</v>
      </c>
      <c r="L107">
        <f t="shared" si="5"/>
        <v>201912</v>
      </c>
      <c r="M107">
        <f t="shared" si="6"/>
        <v>12</v>
      </c>
      <c r="N107">
        <f t="shared" si="7"/>
        <v>2019</v>
      </c>
      <c r="O107" t="str">
        <f>VLOOKUP(M107,month_lookup!A:B,2,FALSE)</f>
        <v>Dec</v>
      </c>
      <c r="P107">
        <f t="shared" si="8"/>
        <v>-84877.87</v>
      </c>
    </row>
    <row r="108" spans="1:16" x14ac:dyDescent="0.25">
      <c r="A108" t="s">
        <v>52</v>
      </c>
      <c r="B108" s="1">
        <v>168197.78</v>
      </c>
      <c r="C108">
        <v>144246.42000000001</v>
      </c>
      <c r="D108" s="2">
        <v>43478</v>
      </c>
      <c r="E108" t="s">
        <v>59</v>
      </c>
      <c r="F108" t="s">
        <v>233</v>
      </c>
      <c r="G108" t="s">
        <v>54</v>
      </c>
      <c r="H108" t="s">
        <v>127</v>
      </c>
      <c r="I108" t="s">
        <v>27</v>
      </c>
      <c r="J108" t="s">
        <v>234</v>
      </c>
      <c r="L108">
        <f t="shared" si="5"/>
        <v>201901</v>
      </c>
      <c r="M108">
        <f t="shared" si="6"/>
        <v>1</v>
      </c>
      <c r="N108">
        <f t="shared" si="7"/>
        <v>2019</v>
      </c>
      <c r="O108" t="str">
        <f>VLOOKUP(M108,month_lookup!A:B,2,FALSE)</f>
        <v>Jan</v>
      </c>
      <c r="P108">
        <f t="shared" si="8"/>
        <v>-168197.78</v>
      </c>
    </row>
    <row r="109" spans="1:16" x14ac:dyDescent="0.25">
      <c r="A109" t="s">
        <v>44</v>
      </c>
      <c r="B109" s="1">
        <v>383996.76</v>
      </c>
      <c r="C109">
        <v>304701.43</v>
      </c>
      <c r="D109" s="2">
        <v>43818</v>
      </c>
      <c r="E109" t="s">
        <v>138</v>
      </c>
      <c r="F109" t="s">
        <v>34</v>
      </c>
      <c r="G109" t="s">
        <v>47</v>
      </c>
      <c r="H109" t="s">
        <v>48</v>
      </c>
      <c r="I109" t="s">
        <v>27</v>
      </c>
      <c r="J109" t="s">
        <v>235</v>
      </c>
      <c r="L109">
        <f t="shared" si="5"/>
        <v>201912</v>
      </c>
      <c r="M109">
        <f t="shared" si="6"/>
        <v>12</v>
      </c>
      <c r="N109">
        <f t="shared" si="7"/>
        <v>2019</v>
      </c>
      <c r="O109" t="str">
        <f>VLOOKUP(M109,month_lookup!A:B,2,FALSE)</f>
        <v>Dec</v>
      </c>
      <c r="P109">
        <f t="shared" si="8"/>
        <v>-383996.76</v>
      </c>
    </row>
    <row r="110" spans="1:16" x14ac:dyDescent="0.25">
      <c r="A110" t="s">
        <v>52</v>
      </c>
      <c r="B110" s="1">
        <v>56811.14</v>
      </c>
      <c r="C110">
        <v>48221.3</v>
      </c>
      <c r="D110" s="2">
        <v>43745</v>
      </c>
      <c r="E110" t="s">
        <v>23</v>
      </c>
      <c r="F110" t="s">
        <v>236</v>
      </c>
      <c r="G110" t="s">
        <v>54</v>
      </c>
      <c r="H110" t="s">
        <v>132</v>
      </c>
      <c r="I110" t="s">
        <v>27</v>
      </c>
      <c r="J110" t="s">
        <v>237</v>
      </c>
      <c r="L110">
        <f t="shared" si="5"/>
        <v>201910</v>
      </c>
      <c r="M110">
        <f t="shared" si="6"/>
        <v>10</v>
      </c>
      <c r="N110">
        <f t="shared" si="7"/>
        <v>2019</v>
      </c>
      <c r="O110" t="str">
        <f>VLOOKUP(M110,month_lookup!A:B,2,FALSE)</f>
        <v>Oct</v>
      </c>
      <c r="P110">
        <f t="shared" si="8"/>
        <v>-56811.14</v>
      </c>
    </row>
    <row r="111" spans="1:16" x14ac:dyDescent="0.25">
      <c r="A111" t="s">
        <v>22</v>
      </c>
      <c r="B111" s="1">
        <v>74364.460000000006</v>
      </c>
      <c r="C111">
        <v>60145.98</v>
      </c>
      <c r="D111" s="2">
        <v>43851</v>
      </c>
      <c r="E111" t="s">
        <v>23</v>
      </c>
      <c r="F111" t="s">
        <v>159</v>
      </c>
      <c r="G111" t="s">
        <v>25</v>
      </c>
      <c r="H111" t="s">
        <v>31</v>
      </c>
      <c r="I111" t="s">
        <v>14</v>
      </c>
      <c r="J111" t="s">
        <v>238</v>
      </c>
      <c r="L111">
        <f t="shared" si="5"/>
        <v>202001</v>
      </c>
      <c r="M111">
        <f t="shared" si="6"/>
        <v>1</v>
      </c>
      <c r="N111">
        <f t="shared" si="7"/>
        <v>2020</v>
      </c>
      <c r="O111" t="str">
        <f>VLOOKUP(M111,month_lookup!A:B,2,FALSE)</f>
        <v>Jan</v>
      </c>
      <c r="P111">
        <f t="shared" si="8"/>
        <v>74364.460000000006</v>
      </c>
    </row>
    <row r="112" spans="1:16" x14ac:dyDescent="0.25">
      <c r="A112" t="s">
        <v>16</v>
      </c>
      <c r="B112" s="1">
        <v>235608.66</v>
      </c>
      <c r="C112">
        <v>201468.96</v>
      </c>
      <c r="D112" s="2">
        <v>44039</v>
      </c>
      <c r="E112" t="s">
        <v>17</v>
      </c>
      <c r="F112" t="s">
        <v>165</v>
      </c>
      <c r="G112" t="s">
        <v>19</v>
      </c>
      <c r="H112" t="s">
        <v>20</v>
      </c>
      <c r="I112" t="s">
        <v>37</v>
      </c>
      <c r="J112" t="s">
        <v>239</v>
      </c>
      <c r="L112">
        <f t="shared" si="5"/>
        <v>202007</v>
      </c>
      <c r="M112">
        <f t="shared" si="6"/>
        <v>7</v>
      </c>
      <c r="N112">
        <f t="shared" si="7"/>
        <v>2020</v>
      </c>
      <c r="O112" t="str">
        <f>VLOOKUP(M112,month_lookup!A:B,2,FALSE)</f>
        <v>Jul</v>
      </c>
      <c r="P112">
        <f t="shared" si="8"/>
        <v>235608.66</v>
      </c>
    </row>
    <row r="113" spans="1:16" x14ac:dyDescent="0.25">
      <c r="A113" t="s">
        <v>9</v>
      </c>
      <c r="B113" s="1">
        <v>31627.37</v>
      </c>
      <c r="C113">
        <v>25662.45</v>
      </c>
      <c r="D113" s="2">
        <v>44070</v>
      </c>
      <c r="E113" t="s">
        <v>29</v>
      </c>
      <c r="F113" t="s">
        <v>157</v>
      </c>
      <c r="G113" t="s">
        <v>12</v>
      </c>
      <c r="H113" t="s">
        <v>117</v>
      </c>
      <c r="I113" t="s">
        <v>14</v>
      </c>
      <c r="J113" t="s">
        <v>240</v>
      </c>
      <c r="L113">
        <f t="shared" si="5"/>
        <v>202008</v>
      </c>
      <c r="M113">
        <f t="shared" si="6"/>
        <v>8</v>
      </c>
      <c r="N113">
        <f t="shared" si="7"/>
        <v>2020</v>
      </c>
      <c r="O113" t="str">
        <f>VLOOKUP(M113,month_lookup!A:B,2,FALSE)</f>
        <v>Aug</v>
      </c>
      <c r="P113">
        <f t="shared" si="8"/>
        <v>31627.37</v>
      </c>
    </row>
    <row r="114" spans="1:16" x14ac:dyDescent="0.25">
      <c r="A114" t="s">
        <v>9</v>
      </c>
      <c r="B114" s="1">
        <v>57227.99</v>
      </c>
      <c r="C114">
        <v>46331.78</v>
      </c>
      <c r="D114" s="2">
        <v>43552</v>
      </c>
      <c r="E114" t="s">
        <v>50</v>
      </c>
      <c r="F114" t="s">
        <v>34</v>
      </c>
      <c r="G114" t="s">
        <v>12</v>
      </c>
      <c r="H114" t="s">
        <v>81</v>
      </c>
      <c r="I114" t="s">
        <v>27</v>
      </c>
      <c r="J114" t="s">
        <v>241</v>
      </c>
      <c r="L114">
        <f t="shared" si="5"/>
        <v>201903</v>
      </c>
      <c r="M114">
        <f t="shared" si="6"/>
        <v>3</v>
      </c>
      <c r="N114">
        <f t="shared" si="7"/>
        <v>2019</v>
      </c>
      <c r="O114" t="str">
        <f>VLOOKUP(M114,month_lookup!A:B,2,FALSE)</f>
        <v>Mar</v>
      </c>
      <c r="P114">
        <f t="shared" si="8"/>
        <v>-57227.99</v>
      </c>
    </row>
    <row r="115" spans="1:16" x14ac:dyDescent="0.25">
      <c r="A115" t="s">
        <v>22</v>
      </c>
      <c r="B115" s="1">
        <v>84598.68</v>
      </c>
      <c r="C115">
        <v>72391.09</v>
      </c>
      <c r="D115" s="2">
        <v>43949</v>
      </c>
      <c r="E115" t="s">
        <v>23</v>
      </c>
      <c r="F115" t="s">
        <v>134</v>
      </c>
      <c r="G115" t="s">
        <v>25</v>
      </c>
      <c r="H115" t="s">
        <v>218</v>
      </c>
      <c r="I115" t="s">
        <v>27</v>
      </c>
      <c r="J115" t="s">
        <v>242</v>
      </c>
      <c r="L115">
        <f t="shared" si="5"/>
        <v>202004</v>
      </c>
      <c r="M115">
        <f t="shared" si="6"/>
        <v>4</v>
      </c>
      <c r="N115">
        <f t="shared" si="7"/>
        <v>2020</v>
      </c>
      <c r="O115" t="str">
        <f>VLOOKUP(M115,month_lookup!A:B,2,FALSE)</f>
        <v>Apr</v>
      </c>
      <c r="P115">
        <f t="shared" si="8"/>
        <v>84598.68</v>
      </c>
    </row>
    <row r="116" spans="1:16" x14ac:dyDescent="0.25">
      <c r="A116" t="s">
        <v>9</v>
      </c>
      <c r="B116" s="1">
        <v>98322.98</v>
      </c>
      <c r="C116">
        <v>84872.4</v>
      </c>
      <c r="D116" s="2">
        <v>44113</v>
      </c>
      <c r="E116" t="s">
        <v>23</v>
      </c>
      <c r="F116" t="s">
        <v>30</v>
      </c>
      <c r="G116" t="s">
        <v>12</v>
      </c>
      <c r="H116" t="s">
        <v>169</v>
      </c>
      <c r="I116" t="s">
        <v>27</v>
      </c>
      <c r="J116" t="s">
        <v>243</v>
      </c>
      <c r="L116">
        <f t="shared" si="5"/>
        <v>202010</v>
      </c>
      <c r="M116">
        <f t="shared" si="6"/>
        <v>10</v>
      </c>
      <c r="N116">
        <f t="shared" si="7"/>
        <v>2020</v>
      </c>
      <c r="O116" t="str">
        <f>VLOOKUP(M116,month_lookup!A:B,2,FALSE)</f>
        <v>Oct</v>
      </c>
      <c r="P116">
        <f t="shared" si="8"/>
        <v>98322.98</v>
      </c>
    </row>
    <row r="117" spans="1:16" x14ac:dyDescent="0.25">
      <c r="A117" t="s">
        <v>83</v>
      </c>
      <c r="B117" s="1">
        <v>62567.58</v>
      </c>
      <c r="C117">
        <v>49916.42</v>
      </c>
      <c r="D117" s="2">
        <v>43576</v>
      </c>
      <c r="E117" t="s">
        <v>23</v>
      </c>
      <c r="F117" t="s">
        <v>30</v>
      </c>
      <c r="G117" t="s">
        <v>84</v>
      </c>
      <c r="H117" t="s">
        <v>85</v>
      </c>
      <c r="I117" t="s">
        <v>27</v>
      </c>
      <c r="J117" t="s">
        <v>244</v>
      </c>
      <c r="L117">
        <f t="shared" si="5"/>
        <v>201904</v>
      </c>
      <c r="M117">
        <f t="shared" si="6"/>
        <v>4</v>
      </c>
      <c r="N117">
        <f t="shared" si="7"/>
        <v>2019</v>
      </c>
      <c r="O117" t="str">
        <f>VLOOKUP(M117,month_lookup!A:B,2,FALSE)</f>
        <v>Apr</v>
      </c>
      <c r="P117">
        <f t="shared" si="8"/>
        <v>-62567.58</v>
      </c>
    </row>
    <row r="118" spans="1:16" x14ac:dyDescent="0.25">
      <c r="A118" t="s">
        <v>9</v>
      </c>
      <c r="B118" s="1">
        <v>239423.57</v>
      </c>
      <c r="C118">
        <v>199152.52</v>
      </c>
      <c r="D118" s="2">
        <v>43807</v>
      </c>
      <c r="E118" t="s">
        <v>79</v>
      </c>
      <c r="F118" t="s">
        <v>134</v>
      </c>
      <c r="G118" t="s">
        <v>12</v>
      </c>
      <c r="H118" t="s">
        <v>13</v>
      </c>
      <c r="I118" t="s">
        <v>14</v>
      </c>
      <c r="J118" t="s">
        <v>245</v>
      </c>
      <c r="L118">
        <f t="shared" si="5"/>
        <v>201912</v>
      </c>
      <c r="M118">
        <f t="shared" si="6"/>
        <v>12</v>
      </c>
      <c r="N118">
        <f t="shared" si="7"/>
        <v>2019</v>
      </c>
      <c r="O118" t="str">
        <f>VLOOKUP(M118,month_lookup!A:B,2,FALSE)</f>
        <v>Dec</v>
      </c>
      <c r="P118">
        <f t="shared" si="8"/>
        <v>-239423.57</v>
      </c>
    </row>
    <row r="119" spans="1:16" x14ac:dyDescent="0.25">
      <c r="A119" t="s">
        <v>52</v>
      </c>
      <c r="B119" s="1">
        <v>68773.03</v>
      </c>
      <c r="C119">
        <v>59082.91</v>
      </c>
      <c r="D119" s="2">
        <v>43738</v>
      </c>
      <c r="E119" t="s">
        <v>17</v>
      </c>
      <c r="F119" t="s">
        <v>30</v>
      </c>
      <c r="G119" t="s">
        <v>54</v>
      </c>
      <c r="H119" t="s">
        <v>71</v>
      </c>
      <c r="I119" t="s">
        <v>27</v>
      </c>
      <c r="J119" t="s">
        <v>246</v>
      </c>
      <c r="L119">
        <f t="shared" si="5"/>
        <v>201909</v>
      </c>
      <c r="M119">
        <f t="shared" si="6"/>
        <v>9</v>
      </c>
      <c r="N119">
        <f t="shared" si="7"/>
        <v>2019</v>
      </c>
      <c r="O119" t="str">
        <f>VLOOKUP(M119,month_lookup!A:B,2,FALSE)</f>
        <v>Sep</v>
      </c>
      <c r="P119">
        <f t="shared" si="8"/>
        <v>-68773.03</v>
      </c>
    </row>
    <row r="120" spans="1:16" x14ac:dyDescent="0.25">
      <c r="A120" t="s">
        <v>214</v>
      </c>
      <c r="B120" s="1">
        <v>102918.09</v>
      </c>
      <c r="C120">
        <v>87480.38</v>
      </c>
      <c r="D120" s="2">
        <v>43766</v>
      </c>
      <c r="E120" t="s">
        <v>59</v>
      </c>
      <c r="F120" t="s">
        <v>57</v>
      </c>
      <c r="G120" t="s">
        <v>215</v>
      </c>
      <c r="H120" t="s">
        <v>216</v>
      </c>
      <c r="I120" t="s">
        <v>27</v>
      </c>
      <c r="J120" t="s">
        <v>247</v>
      </c>
      <c r="L120">
        <f t="shared" si="5"/>
        <v>201910</v>
      </c>
      <c r="M120">
        <f t="shared" si="6"/>
        <v>10</v>
      </c>
      <c r="N120">
        <f t="shared" si="7"/>
        <v>2019</v>
      </c>
      <c r="O120" t="str">
        <f>VLOOKUP(M120,month_lookup!A:B,2,FALSE)</f>
        <v>Oct</v>
      </c>
      <c r="P120">
        <f t="shared" si="8"/>
        <v>-102918.09</v>
      </c>
    </row>
    <row r="121" spans="1:16" x14ac:dyDescent="0.25">
      <c r="A121" t="s">
        <v>44</v>
      </c>
      <c r="B121" s="1">
        <v>150313.19</v>
      </c>
      <c r="C121">
        <v>118927.8</v>
      </c>
      <c r="D121" s="2">
        <v>43853</v>
      </c>
      <c r="E121" t="s">
        <v>29</v>
      </c>
      <c r="F121" t="s">
        <v>34</v>
      </c>
      <c r="G121" t="s">
        <v>47</v>
      </c>
      <c r="H121" t="s">
        <v>73</v>
      </c>
      <c r="I121" t="s">
        <v>27</v>
      </c>
      <c r="J121" t="s">
        <v>248</v>
      </c>
      <c r="L121">
        <f t="shared" si="5"/>
        <v>202001</v>
      </c>
      <c r="M121">
        <f t="shared" si="6"/>
        <v>1</v>
      </c>
      <c r="N121">
        <f t="shared" si="7"/>
        <v>2020</v>
      </c>
      <c r="O121" t="str">
        <f>VLOOKUP(M121,month_lookup!A:B,2,FALSE)</f>
        <v>Jan</v>
      </c>
      <c r="P121">
        <f t="shared" si="8"/>
        <v>150313.19</v>
      </c>
    </row>
    <row r="122" spans="1:16" x14ac:dyDescent="0.25">
      <c r="A122" t="s">
        <v>9</v>
      </c>
      <c r="B122" s="1">
        <v>144072.9</v>
      </c>
      <c r="C122">
        <v>123729.81</v>
      </c>
      <c r="D122" s="2">
        <v>43659</v>
      </c>
      <c r="E122" t="s">
        <v>29</v>
      </c>
      <c r="F122" t="s">
        <v>145</v>
      </c>
      <c r="G122" t="s">
        <v>12</v>
      </c>
      <c r="H122" t="s">
        <v>68</v>
      </c>
      <c r="I122" t="s">
        <v>27</v>
      </c>
      <c r="J122" t="s">
        <v>249</v>
      </c>
      <c r="L122">
        <f t="shared" si="5"/>
        <v>201907</v>
      </c>
      <c r="M122">
        <f t="shared" si="6"/>
        <v>7</v>
      </c>
      <c r="N122">
        <f t="shared" si="7"/>
        <v>2019</v>
      </c>
      <c r="O122" t="str">
        <f>VLOOKUP(M122,month_lookup!A:B,2,FALSE)</f>
        <v>Jul</v>
      </c>
      <c r="P122">
        <f t="shared" si="8"/>
        <v>-144072.9</v>
      </c>
    </row>
    <row r="123" spans="1:16" x14ac:dyDescent="0.25">
      <c r="A123" t="s">
        <v>9</v>
      </c>
      <c r="B123" s="1">
        <v>69681.429999999993</v>
      </c>
      <c r="C123">
        <v>55529.13</v>
      </c>
      <c r="D123" s="2">
        <v>43855</v>
      </c>
      <c r="E123" t="s">
        <v>23</v>
      </c>
      <c r="F123" t="s">
        <v>88</v>
      </c>
      <c r="G123" t="s">
        <v>12</v>
      </c>
      <c r="H123" t="s">
        <v>81</v>
      </c>
      <c r="I123" t="s">
        <v>27</v>
      </c>
      <c r="J123" t="s">
        <v>250</v>
      </c>
      <c r="L123">
        <f t="shared" si="5"/>
        <v>202001</v>
      </c>
      <c r="M123">
        <f t="shared" si="6"/>
        <v>1</v>
      </c>
      <c r="N123">
        <f t="shared" si="7"/>
        <v>2020</v>
      </c>
      <c r="O123" t="str">
        <f>VLOOKUP(M123,month_lookup!A:B,2,FALSE)</f>
        <v>Jan</v>
      </c>
      <c r="P123">
        <f t="shared" si="8"/>
        <v>69681.429999999993</v>
      </c>
    </row>
    <row r="124" spans="1:16" x14ac:dyDescent="0.25">
      <c r="A124" t="s">
        <v>9</v>
      </c>
      <c r="B124" s="1">
        <v>78542.59</v>
      </c>
      <c r="C124">
        <v>68010.03</v>
      </c>
      <c r="D124" s="2">
        <v>43611</v>
      </c>
      <c r="E124" t="s">
        <v>17</v>
      </c>
      <c r="F124" t="s">
        <v>233</v>
      </c>
      <c r="G124" t="s">
        <v>12</v>
      </c>
      <c r="H124" t="s">
        <v>117</v>
      </c>
      <c r="I124" t="s">
        <v>27</v>
      </c>
      <c r="J124" t="s">
        <v>251</v>
      </c>
      <c r="L124">
        <f t="shared" si="5"/>
        <v>201905</v>
      </c>
      <c r="M124">
        <f t="shared" si="6"/>
        <v>5</v>
      </c>
      <c r="N124">
        <f t="shared" si="7"/>
        <v>2019</v>
      </c>
      <c r="O124" t="str">
        <f>VLOOKUP(M124,month_lookup!A:B,2,FALSE)</f>
        <v>May</v>
      </c>
      <c r="P124">
        <f t="shared" si="8"/>
        <v>-78542.59</v>
      </c>
    </row>
    <row r="125" spans="1:16" x14ac:dyDescent="0.25">
      <c r="A125" t="s">
        <v>22</v>
      </c>
      <c r="B125" s="1">
        <v>37582.129999999997</v>
      </c>
      <c r="C125">
        <v>31967.360000000001</v>
      </c>
      <c r="D125" s="2">
        <v>43958</v>
      </c>
      <c r="E125" t="s">
        <v>50</v>
      </c>
      <c r="F125" t="s">
        <v>18</v>
      </c>
      <c r="G125" t="s">
        <v>25</v>
      </c>
      <c r="H125" t="s">
        <v>26</v>
      </c>
      <c r="I125" t="s">
        <v>14</v>
      </c>
      <c r="J125" t="s">
        <v>252</v>
      </c>
      <c r="L125">
        <f t="shared" si="5"/>
        <v>202005</v>
      </c>
      <c r="M125">
        <f t="shared" si="6"/>
        <v>5</v>
      </c>
      <c r="N125">
        <f t="shared" si="7"/>
        <v>2020</v>
      </c>
      <c r="O125" t="str">
        <f>VLOOKUP(M125,month_lookup!A:B,2,FALSE)</f>
        <v>May</v>
      </c>
      <c r="P125">
        <f t="shared" si="8"/>
        <v>37582.129999999997</v>
      </c>
    </row>
    <row r="126" spans="1:16" x14ac:dyDescent="0.25">
      <c r="A126" t="s">
        <v>9</v>
      </c>
      <c r="B126" s="1">
        <v>88329.48</v>
      </c>
      <c r="C126">
        <v>73755.12</v>
      </c>
      <c r="D126" s="2">
        <v>44059</v>
      </c>
      <c r="E126" t="s">
        <v>23</v>
      </c>
      <c r="F126" t="s">
        <v>253</v>
      </c>
      <c r="G126" t="s">
        <v>12</v>
      </c>
      <c r="H126" t="s">
        <v>117</v>
      </c>
      <c r="I126" t="s">
        <v>14</v>
      </c>
      <c r="J126" t="s">
        <v>254</v>
      </c>
      <c r="L126">
        <f t="shared" si="5"/>
        <v>202008</v>
      </c>
      <c r="M126">
        <f t="shared" si="6"/>
        <v>8</v>
      </c>
      <c r="N126">
        <f t="shared" si="7"/>
        <v>2020</v>
      </c>
      <c r="O126" t="str">
        <f>VLOOKUP(M126,month_lookup!A:B,2,FALSE)</f>
        <v>Aug</v>
      </c>
      <c r="P126">
        <f t="shared" si="8"/>
        <v>88329.48</v>
      </c>
    </row>
    <row r="127" spans="1:16" x14ac:dyDescent="0.25">
      <c r="A127" t="s">
        <v>22</v>
      </c>
      <c r="B127" s="1">
        <v>249099.44</v>
      </c>
      <c r="C127">
        <v>215695.2</v>
      </c>
      <c r="D127" s="2">
        <v>43997</v>
      </c>
      <c r="E127" t="s">
        <v>138</v>
      </c>
      <c r="F127" t="s">
        <v>34</v>
      </c>
      <c r="G127" t="s">
        <v>25</v>
      </c>
      <c r="H127" t="s">
        <v>75</v>
      </c>
      <c r="I127" t="s">
        <v>27</v>
      </c>
      <c r="J127" t="s">
        <v>255</v>
      </c>
      <c r="L127">
        <f t="shared" si="5"/>
        <v>202006</v>
      </c>
      <c r="M127">
        <f t="shared" si="6"/>
        <v>6</v>
      </c>
      <c r="N127">
        <f t="shared" si="7"/>
        <v>2020</v>
      </c>
      <c r="O127" t="str">
        <f>VLOOKUP(M127,month_lookup!A:B,2,FALSE)</f>
        <v>Jun</v>
      </c>
      <c r="P127">
        <f t="shared" si="8"/>
        <v>249099.44</v>
      </c>
    </row>
    <row r="128" spans="1:16" x14ac:dyDescent="0.25">
      <c r="A128" t="s">
        <v>44</v>
      </c>
      <c r="B128" s="1">
        <v>28328.78</v>
      </c>
      <c r="C128">
        <v>24408.080000000002</v>
      </c>
      <c r="D128" s="2">
        <v>43515</v>
      </c>
      <c r="E128" t="s">
        <v>23</v>
      </c>
      <c r="F128" t="s">
        <v>209</v>
      </c>
      <c r="G128" t="s">
        <v>47</v>
      </c>
      <c r="H128" t="s">
        <v>73</v>
      </c>
      <c r="I128" t="s">
        <v>27</v>
      </c>
      <c r="J128" t="s">
        <v>256</v>
      </c>
      <c r="L128">
        <f t="shared" si="5"/>
        <v>201902</v>
      </c>
      <c r="M128">
        <f t="shared" si="6"/>
        <v>2</v>
      </c>
      <c r="N128">
        <f t="shared" si="7"/>
        <v>2019</v>
      </c>
      <c r="O128" t="str">
        <f>VLOOKUP(M128,month_lookup!A:B,2,FALSE)</f>
        <v>Feb</v>
      </c>
      <c r="P128">
        <f t="shared" si="8"/>
        <v>-28328.78</v>
      </c>
    </row>
    <row r="129" spans="1:16" x14ac:dyDescent="0.25">
      <c r="A129" t="s">
        <v>22</v>
      </c>
      <c r="B129" s="1">
        <v>162246.76</v>
      </c>
      <c r="C129">
        <v>142663.57999999999</v>
      </c>
      <c r="D129" s="2">
        <v>43705</v>
      </c>
      <c r="E129" t="s">
        <v>17</v>
      </c>
      <c r="F129" t="s">
        <v>30</v>
      </c>
      <c r="G129" t="s">
        <v>25</v>
      </c>
      <c r="H129" t="s">
        <v>75</v>
      </c>
      <c r="I129" t="s">
        <v>27</v>
      </c>
      <c r="J129" t="s">
        <v>257</v>
      </c>
      <c r="L129">
        <f t="shared" si="5"/>
        <v>201908</v>
      </c>
      <c r="M129">
        <f t="shared" si="6"/>
        <v>8</v>
      </c>
      <c r="N129">
        <f t="shared" si="7"/>
        <v>2019</v>
      </c>
      <c r="O129" t="str">
        <f>VLOOKUP(M129,month_lookup!A:B,2,FALSE)</f>
        <v>Aug</v>
      </c>
      <c r="P129">
        <f t="shared" si="8"/>
        <v>-162246.76</v>
      </c>
    </row>
    <row r="130" spans="1:16" x14ac:dyDescent="0.25">
      <c r="A130" t="s">
        <v>214</v>
      </c>
      <c r="B130" s="1">
        <v>161217.16</v>
      </c>
      <c r="C130">
        <v>135696.48000000001</v>
      </c>
      <c r="D130" s="2">
        <v>43758</v>
      </c>
      <c r="E130" t="s">
        <v>17</v>
      </c>
      <c r="F130" t="s">
        <v>122</v>
      </c>
      <c r="G130" t="s">
        <v>215</v>
      </c>
      <c r="H130" t="s">
        <v>216</v>
      </c>
      <c r="I130" t="s">
        <v>27</v>
      </c>
      <c r="J130" t="s">
        <v>258</v>
      </c>
      <c r="L130">
        <f t="shared" si="5"/>
        <v>201910</v>
      </c>
      <c r="M130">
        <f t="shared" si="6"/>
        <v>10</v>
      </c>
      <c r="N130">
        <f t="shared" si="7"/>
        <v>2019</v>
      </c>
      <c r="O130" t="str">
        <f>VLOOKUP(M130,month_lookup!A:B,2,FALSE)</f>
        <v>Oct</v>
      </c>
      <c r="P130">
        <f t="shared" si="8"/>
        <v>-161217.16</v>
      </c>
    </row>
    <row r="131" spans="1:16" x14ac:dyDescent="0.25">
      <c r="A131" t="s">
        <v>52</v>
      </c>
      <c r="B131" s="1">
        <v>37397.43</v>
      </c>
      <c r="C131">
        <v>30837.919999999998</v>
      </c>
      <c r="D131" s="2">
        <v>43968</v>
      </c>
      <c r="E131" t="s">
        <v>17</v>
      </c>
      <c r="F131" t="s">
        <v>165</v>
      </c>
      <c r="G131" t="s">
        <v>54</v>
      </c>
      <c r="H131" t="s">
        <v>143</v>
      </c>
      <c r="I131" t="s">
        <v>27</v>
      </c>
      <c r="J131" t="s">
        <v>259</v>
      </c>
      <c r="L131">
        <f t="shared" ref="L131:L194" si="9">YEAR(D131)*100+MONTH(D131)</f>
        <v>202005</v>
      </c>
      <c r="M131">
        <f t="shared" ref="M131:M194" si="10">MONTH(D131)</f>
        <v>5</v>
      </c>
      <c r="N131">
        <f t="shared" ref="N131:N194" si="11">YEAR(D131)</f>
        <v>2020</v>
      </c>
      <c r="O131" t="str">
        <f>VLOOKUP(M131,month_lookup!A:B,2,FALSE)</f>
        <v>May</v>
      </c>
      <c r="P131">
        <f t="shared" si="8"/>
        <v>37397.43</v>
      </c>
    </row>
    <row r="132" spans="1:16" x14ac:dyDescent="0.25">
      <c r="A132" t="s">
        <v>44</v>
      </c>
      <c r="B132" s="1">
        <v>99064.31</v>
      </c>
      <c r="C132">
        <v>85393.44</v>
      </c>
      <c r="D132" s="2">
        <v>44022</v>
      </c>
      <c r="E132" t="s">
        <v>10</v>
      </c>
      <c r="F132" t="s">
        <v>34</v>
      </c>
      <c r="G132" t="s">
        <v>47</v>
      </c>
      <c r="H132" t="s">
        <v>48</v>
      </c>
      <c r="I132" t="s">
        <v>27</v>
      </c>
      <c r="J132" t="s">
        <v>260</v>
      </c>
      <c r="L132">
        <f t="shared" si="9"/>
        <v>202007</v>
      </c>
      <c r="M132">
        <f t="shared" si="10"/>
        <v>7</v>
      </c>
      <c r="N132">
        <f t="shared" si="11"/>
        <v>2020</v>
      </c>
      <c r="O132" t="str">
        <f>VLOOKUP(M132,month_lookup!A:B,2,FALSE)</f>
        <v>Jul</v>
      </c>
      <c r="P132">
        <f t="shared" si="8"/>
        <v>99064.31</v>
      </c>
    </row>
    <row r="133" spans="1:16" x14ac:dyDescent="0.25">
      <c r="A133" t="s">
        <v>9</v>
      </c>
      <c r="B133" s="1">
        <v>15817.05</v>
      </c>
      <c r="C133">
        <v>13743.44</v>
      </c>
      <c r="D133" s="2">
        <v>43534</v>
      </c>
      <c r="E133" t="s">
        <v>23</v>
      </c>
      <c r="F133" t="s">
        <v>233</v>
      </c>
      <c r="G133" t="s">
        <v>12</v>
      </c>
      <c r="H133" t="s">
        <v>68</v>
      </c>
      <c r="I133" t="s">
        <v>27</v>
      </c>
      <c r="J133" t="s">
        <v>261</v>
      </c>
      <c r="L133">
        <f t="shared" si="9"/>
        <v>201903</v>
      </c>
      <c r="M133">
        <f t="shared" si="10"/>
        <v>3</v>
      </c>
      <c r="N133">
        <f t="shared" si="11"/>
        <v>2019</v>
      </c>
      <c r="O133" t="str">
        <f>VLOOKUP(M133,month_lookup!A:B,2,FALSE)</f>
        <v>Mar</v>
      </c>
      <c r="P133">
        <f t="shared" si="8"/>
        <v>-15817.05</v>
      </c>
    </row>
    <row r="134" spans="1:16" x14ac:dyDescent="0.25">
      <c r="A134" t="s">
        <v>22</v>
      </c>
      <c r="B134" s="1">
        <v>38930.160000000003</v>
      </c>
      <c r="C134">
        <v>32837.589999999997</v>
      </c>
      <c r="D134" s="2">
        <v>44153</v>
      </c>
      <c r="E134" t="s">
        <v>61</v>
      </c>
      <c r="F134" t="s">
        <v>149</v>
      </c>
      <c r="G134" t="s">
        <v>25</v>
      </c>
      <c r="H134" t="s">
        <v>218</v>
      </c>
      <c r="I134" t="s">
        <v>27</v>
      </c>
      <c r="J134" t="s">
        <v>262</v>
      </c>
      <c r="L134">
        <f t="shared" si="9"/>
        <v>202011</v>
      </c>
      <c r="M134">
        <f t="shared" si="10"/>
        <v>11</v>
      </c>
      <c r="N134">
        <f t="shared" si="11"/>
        <v>2020</v>
      </c>
      <c r="O134" t="str">
        <f>VLOOKUP(M134,month_lookup!A:B,2,FALSE)</f>
        <v>Nov</v>
      </c>
      <c r="P134">
        <f t="shared" si="8"/>
        <v>38930.160000000003</v>
      </c>
    </row>
    <row r="135" spans="1:16" x14ac:dyDescent="0.25">
      <c r="A135" t="s">
        <v>22</v>
      </c>
      <c r="B135" s="1">
        <v>28859.73</v>
      </c>
      <c r="C135">
        <v>23656.32</v>
      </c>
      <c r="D135" s="2">
        <v>43474</v>
      </c>
      <c r="E135" t="s">
        <v>79</v>
      </c>
      <c r="F135" t="s">
        <v>24</v>
      </c>
      <c r="G135" t="s">
        <v>25</v>
      </c>
      <c r="H135" t="s">
        <v>75</v>
      </c>
      <c r="I135" t="s">
        <v>14</v>
      </c>
      <c r="J135" t="s">
        <v>263</v>
      </c>
      <c r="L135">
        <f t="shared" si="9"/>
        <v>201901</v>
      </c>
      <c r="M135">
        <f t="shared" si="10"/>
        <v>1</v>
      </c>
      <c r="N135">
        <f t="shared" si="11"/>
        <v>2019</v>
      </c>
      <c r="O135" t="str">
        <f>VLOOKUP(M135,month_lookup!A:B,2,FALSE)</f>
        <v>Jan</v>
      </c>
      <c r="P135">
        <f t="shared" ref="P135:P198" si="12">IF(N135=2020,B135,-B135)</f>
        <v>-28859.73</v>
      </c>
    </row>
    <row r="136" spans="1:16" x14ac:dyDescent="0.25">
      <c r="A136" t="s">
        <v>52</v>
      </c>
      <c r="B136" s="1">
        <v>54079.040000000001</v>
      </c>
      <c r="C136">
        <v>45031.62</v>
      </c>
      <c r="D136" s="2">
        <v>43980</v>
      </c>
      <c r="E136" t="s">
        <v>17</v>
      </c>
      <c r="F136" t="s">
        <v>264</v>
      </c>
      <c r="G136" t="s">
        <v>54</v>
      </c>
      <c r="H136" t="s">
        <v>143</v>
      </c>
      <c r="I136" t="s">
        <v>27</v>
      </c>
      <c r="J136" t="s">
        <v>265</v>
      </c>
      <c r="L136">
        <f t="shared" si="9"/>
        <v>202005</v>
      </c>
      <c r="M136">
        <f t="shared" si="10"/>
        <v>5</v>
      </c>
      <c r="N136">
        <f t="shared" si="11"/>
        <v>2020</v>
      </c>
      <c r="O136" t="str">
        <f>VLOOKUP(M136,month_lookup!A:B,2,FALSE)</f>
        <v>May</v>
      </c>
      <c r="P136">
        <f t="shared" si="12"/>
        <v>54079.040000000001</v>
      </c>
    </row>
    <row r="137" spans="1:16" x14ac:dyDescent="0.25">
      <c r="A137" t="s">
        <v>9</v>
      </c>
      <c r="B137" s="1">
        <v>70596.7</v>
      </c>
      <c r="C137">
        <v>60564.91</v>
      </c>
      <c r="D137" s="2">
        <v>43870</v>
      </c>
      <c r="E137" t="s">
        <v>79</v>
      </c>
      <c r="F137" t="s">
        <v>18</v>
      </c>
      <c r="G137" t="s">
        <v>12</v>
      </c>
      <c r="H137" t="s">
        <v>81</v>
      </c>
      <c r="I137" t="s">
        <v>27</v>
      </c>
      <c r="J137" t="s">
        <v>266</v>
      </c>
      <c r="L137">
        <f t="shared" si="9"/>
        <v>202002</v>
      </c>
      <c r="M137">
        <f t="shared" si="10"/>
        <v>2</v>
      </c>
      <c r="N137">
        <f t="shared" si="11"/>
        <v>2020</v>
      </c>
      <c r="O137" t="str">
        <f>VLOOKUP(M137,month_lookup!A:B,2,FALSE)</f>
        <v>Feb</v>
      </c>
      <c r="P137">
        <f t="shared" si="12"/>
        <v>70596.7</v>
      </c>
    </row>
    <row r="138" spans="1:16" x14ac:dyDescent="0.25">
      <c r="A138" t="s">
        <v>44</v>
      </c>
      <c r="B138" s="1">
        <v>169629.55</v>
      </c>
      <c r="C138">
        <v>135347.42000000001</v>
      </c>
      <c r="D138" s="2">
        <v>43761</v>
      </c>
      <c r="E138" t="s">
        <v>61</v>
      </c>
      <c r="F138" t="s">
        <v>34</v>
      </c>
      <c r="G138" t="s">
        <v>47</v>
      </c>
      <c r="H138" t="s">
        <v>73</v>
      </c>
      <c r="I138" t="s">
        <v>27</v>
      </c>
      <c r="J138" t="s">
        <v>267</v>
      </c>
      <c r="L138">
        <f t="shared" si="9"/>
        <v>201910</v>
      </c>
      <c r="M138">
        <f t="shared" si="10"/>
        <v>10</v>
      </c>
      <c r="N138">
        <f t="shared" si="11"/>
        <v>2019</v>
      </c>
      <c r="O138" t="str">
        <f>VLOOKUP(M138,month_lookup!A:B,2,FALSE)</f>
        <v>Oct</v>
      </c>
      <c r="P138">
        <f t="shared" si="12"/>
        <v>-169629.55</v>
      </c>
    </row>
    <row r="139" spans="1:16" x14ac:dyDescent="0.25">
      <c r="A139" t="s">
        <v>22</v>
      </c>
      <c r="B139" s="1">
        <v>95387.89</v>
      </c>
      <c r="C139">
        <v>76195.850000000006</v>
      </c>
      <c r="D139" s="2">
        <v>43959</v>
      </c>
      <c r="E139" t="s">
        <v>10</v>
      </c>
      <c r="F139" t="s">
        <v>53</v>
      </c>
      <c r="G139" t="s">
        <v>25</v>
      </c>
      <c r="H139" t="s">
        <v>31</v>
      </c>
      <c r="I139" t="s">
        <v>27</v>
      </c>
      <c r="J139" t="s">
        <v>268</v>
      </c>
      <c r="L139">
        <f t="shared" si="9"/>
        <v>202005</v>
      </c>
      <c r="M139">
        <f t="shared" si="10"/>
        <v>5</v>
      </c>
      <c r="N139">
        <f t="shared" si="11"/>
        <v>2020</v>
      </c>
      <c r="O139" t="str">
        <f>VLOOKUP(M139,month_lookup!A:B,2,FALSE)</f>
        <v>May</v>
      </c>
      <c r="P139">
        <f t="shared" si="12"/>
        <v>95387.89</v>
      </c>
    </row>
    <row r="140" spans="1:16" x14ac:dyDescent="0.25">
      <c r="A140" t="s">
        <v>52</v>
      </c>
      <c r="B140" s="1">
        <v>50585.98</v>
      </c>
      <c r="C140">
        <v>40999.94</v>
      </c>
      <c r="D140" s="2">
        <v>44072</v>
      </c>
      <c r="E140" t="s">
        <v>29</v>
      </c>
      <c r="F140" t="s">
        <v>179</v>
      </c>
      <c r="G140" t="s">
        <v>54</v>
      </c>
      <c r="H140" t="s">
        <v>55</v>
      </c>
      <c r="I140" t="s">
        <v>37</v>
      </c>
      <c r="J140" t="s">
        <v>269</v>
      </c>
      <c r="L140">
        <f t="shared" si="9"/>
        <v>202008</v>
      </c>
      <c r="M140">
        <f t="shared" si="10"/>
        <v>8</v>
      </c>
      <c r="N140">
        <f t="shared" si="11"/>
        <v>2020</v>
      </c>
      <c r="O140" t="str">
        <f>VLOOKUP(M140,month_lookup!A:B,2,FALSE)</f>
        <v>Aug</v>
      </c>
      <c r="P140">
        <f t="shared" si="12"/>
        <v>50585.98</v>
      </c>
    </row>
    <row r="141" spans="1:16" x14ac:dyDescent="0.25">
      <c r="A141" t="s">
        <v>9</v>
      </c>
      <c r="B141" s="1">
        <v>103726.57</v>
      </c>
      <c r="C141">
        <v>90231.74</v>
      </c>
      <c r="D141" s="2">
        <v>43972</v>
      </c>
      <c r="E141" t="s">
        <v>23</v>
      </c>
      <c r="F141" t="s">
        <v>120</v>
      </c>
      <c r="G141" t="s">
        <v>12</v>
      </c>
      <c r="H141" t="s">
        <v>117</v>
      </c>
      <c r="I141" t="s">
        <v>14</v>
      </c>
      <c r="J141" t="s">
        <v>270</v>
      </c>
      <c r="L141">
        <f t="shared" si="9"/>
        <v>202005</v>
      </c>
      <c r="M141">
        <f t="shared" si="10"/>
        <v>5</v>
      </c>
      <c r="N141">
        <f t="shared" si="11"/>
        <v>2020</v>
      </c>
      <c r="O141" t="str">
        <f>VLOOKUP(M141,month_lookup!A:B,2,FALSE)</f>
        <v>May</v>
      </c>
      <c r="P141">
        <f t="shared" si="12"/>
        <v>103726.57</v>
      </c>
    </row>
    <row r="142" spans="1:16" x14ac:dyDescent="0.25">
      <c r="A142" t="s">
        <v>44</v>
      </c>
      <c r="B142" s="1">
        <v>222700.23</v>
      </c>
      <c r="C142">
        <v>194951.78</v>
      </c>
      <c r="D142" s="2">
        <v>44177</v>
      </c>
      <c r="E142" t="s">
        <v>50</v>
      </c>
      <c r="F142" t="s">
        <v>34</v>
      </c>
      <c r="G142" t="s">
        <v>47</v>
      </c>
      <c r="H142" t="s">
        <v>65</v>
      </c>
      <c r="I142" t="s">
        <v>14</v>
      </c>
      <c r="J142" t="s">
        <v>271</v>
      </c>
      <c r="L142">
        <f t="shared" si="9"/>
        <v>202012</v>
      </c>
      <c r="M142">
        <f t="shared" si="10"/>
        <v>12</v>
      </c>
      <c r="N142">
        <f t="shared" si="11"/>
        <v>2020</v>
      </c>
      <c r="O142" t="str">
        <f>VLOOKUP(M142,month_lookup!A:B,2,FALSE)</f>
        <v>Dec</v>
      </c>
      <c r="P142">
        <f t="shared" si="12"/>
        <v>222700.23</v>
      </c>
    </row>
    <row r="143" spans="1:16" x14ac:dyDescent="0.25">
      <c r="A143" t="s">
        <v>22</v>
      </c>
      <c r="B143" s="1">
        <v>143322.47</v>
      </c>
      <c r="C143">
        <v>114213.68</v>
      </c>
      <c r="D143" s="2">
        <v>43970</v>
      </c>
      <c r="E143" t="s">
        <v>10</v>
      </c>
      <c r="F143" t="s">
        <v>34</v>
      </c>
      <c r="G143" t="s">
        <v>25</v>
      </c>
      <c r="H143" t="s">
        <v>75</v>
      </c>
      <c r="I143" t="s">
        <v>27</v>
      </c>
      <c r="J143" t="s">
        <v>272</v>
      </c>
      <c r="L143">
        <f t="shared" si="9"/>
        <v>202005</v>
      </c>
      <c r="M143">
        <f t="shared" si="10"/>
        <v>5</v>
      </c>
      <c r="N143">
        <f t="shared" si="11"/>
        <v>2020</v>
      </c>
      <c r="O143" t="str">
        <f>VLOOKUP(M143,month_lookup!A:B,2,FALSE)</f>
        <v>May</v>
      </c>
      <c r="P143">
        <f t="shared" si="12"/>
        <v>143322.47</v>
      </c>
    </row>
    <row r="144" spans="1:16" x14ac:dyDescent="0.25">
      <c r="A144" t="s">
        <v>44</v>
      </c>
      <c r="B144" s="1">
        <v>128227.36</v>
      </c>
      <c r="C144">
        <v>106710.81</v>
      </c>
      <c r="D144" s="2">
        <v>43617</v>
      </c>
      <c r="E144" t="s">
        <v>45</v>
      </c>
      <c r="F144" t="s">
        <v>101</v>
      </c>
      <c r="G144" t="s">
        <v>47</v>
      </c>
      <c r="H144" t="s">
        <v>73</v>
      </c>
      <c r="I144" t="s">
        <v>27</v>
      </c>
      <c r="J144" t="s">
        <v>273</v>
      </c>
      <c r="L144">
        <f t="shared" si="9"/>
        <v>201906</v>
      </c>
      <c r="M144">
        <f t="shared" si="10"/>
        <v>6</v>
      </c>
      <c r="N144">
        <f t="shared" si="11"/>
        <v>2019</v>
      </c>
      <c r="O144" t="str">
        <f>VLOOKUP(M144,month_lookup!A:B,2,FALSE)</f>
        <v>Jun</v>
      </c>
      <c r="P144">
        <f t="shared" si="12"/>
        <v>-128227.36</v>
      </c>
    </row>
    <row r="145" spans="1:16" x14ac:dyDescent="0.25">
      <c r="A145" t="s">
        <v>9</v>
      </c>
      <c r="B145" s="1">
        <v>127939.8</v>
      </c>
      <c r="C145">
        <v>112267.17</v>
      </c>
      <c r="D145" s="2">
        <v>43808</v>
      </c>
      <c r="E145" t="s">
        <v>23</v>
      </c>
      <c r="F145" t="s">
        <v>53</v>
      </c>
      <c r="G145" t="s">
        <v>12</v>
      </c>
      <c r="H145" t="s">
        <v>81</v>
      </c>
      <c r="I145" t="s">
        <v>27</v>
      </c>
      <c r="J145" t="s">
        <v>274</v>
      </c>
      <c r="L145">
        <f t="shared" si="9"/>
        <v>201912</v>
      </c>
      <c r="M145">
        <f t="shared" si="10"/>
        <v>12</v>
      </c>
      <c r="N145">
        <f t="shared" si="11"/>
        <v>2019</v>
      </c>
      <c r="O145" t="str">
        <f>VLOOKUP(M145,month_lookup!A:B,2,FALSE)</f>
        <v>Dec</v>
      </c>
      <c r="P145">
        <f t="shared" si="12"/>
        <v>-127939.8</v>
      </c>
    </row>
    <row r="146" spans="1:16" x14ac:dyDescent="0.25">
      <c r="A146" t="s">
        <v>9</v>
      </c>
      <c r="B146" s="1">
        <v>146540.75</v>
      </c>
      <c r="C146">
        <v>120822.85</v>
      </c>
      <c r="D146" s="2">
        <v>43585</v>
      </c>
      <c r="E146" t="s">
        <v>59</v>
      </c>
      <c r="F146" t="s">
        <v>57</v>
      </c>
      <c r="G146" t="s">
        <v>12</v>
      </c>
      <c r="H146" t="s">
        <v>68</v>
      </c>
      <c r="I146" t="s">
        <v>27</v>
      </c>
      <c r="J146" t="s">
        <v>275</v>
      </c>
      <c r="L146">
        <f t="shared" si="9"/>
        <v>201904</v>
      </c>
      <c r="M146">
        <f t="shared" si="10"/>
        <v>4</v>
      </c>
      <c r="N146">
        <f t="shared" si="11"/>
        <v>2019</v>
      </c>
      <c r="O146" t="str">
        <f>VLOOKUP(M146,month_lookup!A:B,2,FALSE)</f>
        <v>Apr</v>
      </c>
      <c r="P146">
        <f t="shared" si="12"/>
        <v>-146540.75</v>
      </c>
    </row>
    <row r="147" spans="1:16" x14ac:dyDescent="0.25">
      <c r="A147" t="s">
        <v>22</v>
      </c>
      <c r="B147" s="1">
        <v>36321.68</v>
      </c>
      <c r="C147">
        <v>31581.7</v>
      </c>
      <c r="D147" s="2">
        <v>44133</v>
      </c>
      <c r="E147" t="s">
        <v>10</v>
      </c>
      <c r="F147" t="s">
        <v>111</v>
      </c>
      <c r="G147" t="s">
        <v>25</v>
      </c>
      <c r="H147" t="s">
        <v>26</v>
      </c>
      <c r="I147" t="s">
        <v>27</v>
      </c>
      <c r="J147" t="s">
        <v>276</v>
      </c>
      <c r="L147">
        <f t="shared" si="9"/>
        <v>202010</v>
      </c>
      <c r="M147">
        <f t="shared" si="10"/>
        <v>10</v>
      </c>
      <c r="N147">
        <f t="shared" si="11"/>
        <v>2020</v>
      </c>
      <c r="O147" t="str">
        <f>VLOOKUP(M147,month_lookup!A:B,2,FALSE)</f>
        <v>Oct</v>
      </c>
      <c r="P147">
        <f t="shared" si="12"/>
        <v>36321.68</v>
      </c>
    </row>
    <row r="148" spans="1:16" x14ac:dyDescent="0.25">
      <c r="A148" t="s">
        <v>33</v>
      </c>
      <c r="B148" s="1">
        <v>42814.57</v>
      </c>
      <c r="C148">
        <v>35356.269999999997</v>
      </c>
      <c r="D148" s="2">
        <v>43497</v>
      </c>
      <c r="E148" t="s">
        <v>29</v>
      </c>
      <c r="F148" t="s">
        <v>125</v>
      </c>
      <c r="G148" t="s">
        <v>35</v>
      </c>
      <c r="H148" t="s">
        <v>40</v>
      </c>
      <c r="I148" t="s">
        <v>27</v>
      </c>
      <c r="J148" t="s">
        <v>277</v>
      </c>
      <c r="L148">
        <f t="shared" si="9"/>
        <v>201902</v>
      </c>
      <c r="M148">
        <f t="shared" si="10"/>
        <v>2</v>
      </c>
      <c r="N148">
        <f t="shared" si="11"/>
        <v>2019</v>
      </c>
      <c r="O148" t="str">
        <f>VLOOKUP(M148,month_lookup!A:B,2,FALSE)</f>
        <v>Feb</v>
      </c>
      <c r="P148">
        <f t="shared" si="12"/>
        <v>-42814.57</v>
      </c>
    </row>
    <row r="149" spans="1:16" x14ac:dyDescent="0.25">
      <c r="A149" t="s">
        <v>44</v>
      </c>
      <c r="B149" s="1">
        <v>169262.2</v>
      </c>
      <c r="C149">
        <v>141080.04</v>
      </c>
      <c r="D149" s="2">
        <v>43947</v>
      </c>
      <c r="E149" t="s">
        <v>29</v>
      </c>
      <c r="F149" t="s">
        <v>109</v>
      </c>
      <c r="G149" t="s">
        <v>47</v>
      </c>
      <c r="H149" t="s">
        <v>48</v>
      </c>
      <c r="I149" t="s">
        <v>27</v>
      </c>
      <c r="J149" t="s">
        <v>278</v>
      </c>
      <c r="L149">
        <f t="shared" si="9"/>
        <v>202004</v>
      </c>
      <c r="M149">
        <f t="shared" si="10"/>
        <v>4</v>
      </c>
      <c r="N149">
        <f t="shared" si="11"/>
        <v>2020</v>
      </c>
      <c r="O149" t="str">
        <f>VLOOKUP(M149,month_lookup!A:B,2,FALSE)</f>
        <v>Apr</v>
      </c>
      <c r="P149">
        <f t="shared" si="12"/>
        <v>169262.2</v>
      </c>
    </row>
    <row r="150" spans="1:16" x14ac:dyDescent="0.25">
      <c r="A150" t="s">
        <v>9</v>
      </c>
      <c r="B150" s="1">
        <v>114427.36</v>
      </c>
      <c r="C150">
        <v>93727.45</v>
      </c>
      <c r="D150" s="2">
        <v>43901</v>
      </c>
      <c r="E150" t="s">
        <v>138</v>
      </c>
      <c r="F150" t="s">
        <v>67</v>
      </c>
      <c r="G150" t="s">
        <v>12</v>
      </c>
      <c r="H150" t="s">
        <v>13</v>
      </c>
      <c r="I150" t="s">
        <v>27</v>
      </c>
      <c r="J150" t="s">
        <v>279</v>
      </c>
      <c r="L150">
        <f t="shared" si="9"/>
        <v>202003</v>
      </c>
      <c r="M150">
        <f t="shared" si="10"/>
        <v>3</v>
      </c>
      <c r="N150">
        <f t="shared" si="11"/>
        <v>2020</v>
      </c>
      <c r="O150" t="str">
        <f>VLOOKUP(M150,month_lookup!A:B,2,FALSE)</f>
        <v>Mar</v>
      </c>
      <c r="P150">
        <f t="shared" si="12"/>
        <v>114427.36</v>
      </c>
    </row>
    <row r="151" spans="1:16" x14ac:dyDescent="0.25">
      <c r="A151" t="s">
        <v>44</v>
      </c>
      <c r="B151" s="1">
        <v>126979.62</v>
      </c>
      <c r="C151">
        <v>105113.73</v>
      </c>
      <c r="D151" s="2">
        <v>43734</v>
      </c>
      <c r="E151" t="s">
        <v>79</v>
      </c>
      <c r="F151" t="s">
        <v>120</v>
      </c>
      <c r="G151" t="s">
        <v>47</v>
      </c>
      <c r="H151" t="s">
        <v>65</v>
      </c>
      <c r="I151" t="s">
        <v>27</v>
      </c>
      <c r="J151" t="s">
        <v>280</v>
      </c>
      <c r="L151">
        <f t="shared" si="9"/>
        <v>201909</v>
      </c>
      <c r="M151">
        <f t="shared" si="10"/>
        <v>9</v>
      </c>
      <c r="N151">
        <f t="shared" si="11"/>
        <v>2019</v>
      </c>
      <c r="O151" t="str">
        <f>VLOOKUP(M151,month_lookup!A:B,2,FALSE)</f>
        <v>Sep</v>
      </c>
      <c r="P151">
        <f t="shared" si="12"/>
        <v>-126979.62</v>
      </c>
    </row>
    <row r="152" spans="1:16" x14ac:dyDescent="0.25">
      <c r="A152" t="s">
        <v>105</v>
      </c>
      <c r="B152" s="1">
        <v>294874.74</v>
      </c>
      <c r="C152">
        <v>259106.43</v>
      </c>
      <c r="D152" s="2">
        <v>44180</v>
      </c>
      <c r="E152" t="s">
        <v>10</v>
      </c>
      <c r="F152" t="s">
        <v>281</v>
      </c>
      <c r="G152" t="s">
        <v>106</v>
      </c>
      <c r="H152" t="s">
        <v>107</v>
      </c>
      <c r="I152" t="s">
        <v>27</v>
      </c>
      <c r="J152" t="s">
        <v>282</v>
      </c>
      <c r="L152">
        <f t="shared" si="9"/>
        <v>202012</v>
      </c>
      <c r="M152">
        <f t="shared" si="10"/>
        <v>12</v>
      </c>
      <c r="N152">
        <f t="shared" si="11"/>
        <v>2020</v>
      </c>
      <c r="O152" t="str">
        <f>VLOOKUP(M152,month_lookup!A:B,2,FALSE)</f>
        <v>Dec</v>
      </c>
      <c r="P152">
        <f t="shared" si="12"/>
        <v>294874.74</v>
      </c>
    </row>
    <row r="153" spans="1:16" x14ac:dyDescent="0.25">
      <c r="A153" t="s">
        <v>44</v>
      </c>
      <c r="B153" s="1">
        <v>173258.94</v>
      </c>
      <c r="C153">
        <v>143198.51</v>
      </c>
      <c r="D153" s="2">
        <v>43609</v>
      </c>
      <c r="E153" t="s">
        <v>23</v>
      </c>
      <c r="F153" t="s">
        <v>34</v>
      </c>
      <c r="G153" t="s">
        <v>47</v>
      </c>
      <c r="H153" t="s">
        <v>73</v>
      </c>
      <c r="I153" t="s">
        <v>27</v>
      </c>
      <c r="J153" t="s">
        <v>283</v>
      </c>
      <c r="L153">
        <f t="shared" si="9"/>
        <v>201905</v>
      </c>
      <c r="M153">
        <f t="shared" si="10"/>
        <v>5</v>
      </c>
      <c r="N153">
        <f t="shared" si="11"/>
        <v>2019</v>
      </c>
      <c r="O153" t="str">
        <f>VLOOKUP(M153,month_lookup!A:B,2,FALSE)</f>
        <v>May</v>
      </c>
      <c r="P153">
        <f t="shared" si="12"/>
        <v>-173258.94</v>
      </c>
    </row>
    <row r="154" spans="1:16" x14ac:dyDescent="0.25">
      <c r="A154" t="s">
        <v>105</v>
      </c>
      <c r="B154" s="1">
        <v>158362.32999999999</v>
      </c>
      <c r="C154">
        <v>133990.37</v>
      </c>
      <c r="D154" s="2">
        <v>44057</v>
      </c>
      <c r="E154" t="s">
        <v>10</v>
      </c>
      <c r="F154" t="s">
        <v>30</v>
      </c>
      <c r="G154" t="s">
        <v>106</v>
      </c>
      <c r="H154" t="s">
        <v>107</v>
      </c>
      <c r="I154" t="s">
        <v>27</v>
      </c>
      <c r="J154" t="s">
        <v>284</v>
      </c>
      <c r="L154">
        <f t="shared" si="9"/>
        <v>202008</v>
      </c>
      <c r="M154">
        <f t="shared" si="10"/>
        <v>8</v>
      </c>
      <c r="N154">
        <f t="shared" si="11"/>
        <v>2020</v>
      </c>
      <c r="O154" t="str">
        <f>VLOOKUP(M154,month_lookup!A:B,2,FALSE)</f>
        <v>Aug</v>
      </c>
      <c r="P154">
        <f t="shared" si="12"/>
        <v>158362.32999999999</v>
      </c>
    </row>
    <row r="155" spans="1:16" x14ac:dyDescent="0.25">
      <c r="A155" t="s">
        <v>44</v>
      </c>
      <c r="B155" s="1">
        <v>50689.19</v>
      </c>
      <c r="C155">
        <v>43597.77</v>
      </c>
      <c r="D155" s="2">
        <v>44153</v>
      </c>
      <c r="E155" t="s">
        <v>23</v>
      </c>
      <c r="F155" t="s">
        <v>57</v>
      </c>
      <c r="G155" t="s">
        <v>47</v>
      </c>
      <c r="H155" t="s">
        <v>73</v>
      </c>
      <c r="I155" t="s">
        <v>27</v>
      </c>
      <c r="J155" t="s">
        <v>285</v>
      </c>
      <c r="L155">
        <f t="shared" si="9"/>
        <v>202011</v>
      </c>
      <c r="M155">
        <f t="shared" si="10"/>
        <v>11</v>
      </c>
      <c r="N155">
        <f t="shared" si="11"/>
        <v>2020</v>
      </c>
      <c r="O155" t="str">
        <f>VLOOKUP(M155,month_lookup!A:B,2,FALSE)</f>
        <v>Nov</v>
      </c>
      <c r="P155">
        <f t="shared" si="12"/>
        <v>50689.19</v>
      </c>
    </row>
    <row r="156" spans="1:16" x14ac:dyDescent="0.25">
      <c r="A156" t="s">
        <v>172</v>
      </c>
      <c r="B156" s="1">
        <v>117358.02</v>
      </c>
      <c r="C156">
        <v>102664.8</v>
      </c>
      <c r="D156" s="2">
        <v>44137</v>
      </c>
      <c r="E156" t="s">
        <v>23</v>
      </c>
      <c r="F156" t="s">
        <v>11</v>
      </c>
      <c r="G156" t="s">
        <v>174</v>
      </c>
      <c r="H156" t="s">
        <v>211</v>
      </c>
      <c r="I156" t="s">
        <v>27</v>
      </c>
      <c r="J156" t="s">
        <v>286</v>
      </c>
      <c r="L156">
        <f t="shared" si="9"/>
        <v>202011</v>
      </c>
      <c r="M156">
        <f t="shared" si="10"/>
        <v>11</v>
      </c>
      <c r="N156">
        <f t="shared" si="11"/>
        <v>2020</v>
      </c>
      <c r="O156" t="str">
        <f>VLOOKUP(M156,month_lookup!A:B,2,FALSE)</f>
        <v>Nov</v>
      </c>
      <c r="P156">
        <f t="shared" si="12"/>
        <v>117358.02</v>
      </c>
    </row>
    <row r="157" spans="1:16" x14ac:dyDescent="0.25">
      <c r="A157" t="s">
        <v>9</v>
      </c>
      <c r="B157" s="1">
        <v>93996.68</v>
      </c>
      <c r="C157">
        <v>77171.27</v>
      </c>
      <c r="D157" s="2">
        <v>44114</v>
      </c>
      <c r="E157" t="s">
        <v>17</v>
      </c>
      <c r="F157" t="s">
        <v>57</v>
      </c>
      <c r="G157" t="s">
        <v>12</v>
      </c>
      <c r="H157" t="s">
        <v>81</v>
      </c>
      <c r="I157" t="s">
        <v>14</v>
      </c>
      <c r="J157" t="s">
        <v>287</v>
      </c>
      <c r="L157">
        <f t="shared" si="9"/>
        <v>202010</v>
      </c>
      <c r="M157">
        <f t="shared" si="10"/>
        <v>10</v>
      </c>
      <c r="N157">
        <f t="shared" si="11"/>
        <v>2020</v>
      </c>
      <c r="O157" t="str">
        <f>VLOOKUP(M157,month_lookup!A:B,2,FALSE)</f>
        <v>Oct</v>
      </c>
      <c r="P157">
        <f t="shared" si="12"/>
        <v>93996.68</v>
      </c>
    </row>
    <row r="158" spans="1:16" x14ac:dyDescent="0.25">
      <c r="A158" t="s">
        <v>44</v>
      </c>
      <c r="B158" s="1">
        <v>119769.22</v>
      </c>
      <c r="C158">
        <v>98234.71</v>
      </c>
      <c r="D158" s="2">
        <v>43841</v>
      </c>
      <c r="E158" t="s">
        <v>10</v>
      </c>
      <c r="F158" t="s">
        <v>179</v>
      </c>
      <c r="G158" t="s">
        <v>47</v>
      </c>
      <c r="H158" t="s">
        <v>73</v>
      </c>
      <c r="I158" t="s">
        <v>27</v>
      </c>
      <c r="J158" t="s">
        <v>288</v>
      </c>
      <c r="L158">
        <f t="shared" si="9"/>
        <v>202001</v>
      </c>
      <c r="M158">
        <f t="shared" si="10"/>
        <v>1</v>
      </c>
      <c r="N158">
        <f t="shared" si="11"/>
        <v>2020</v>
      </c>
      <c r="O158" t="str">
        <f>VLOOKUP(M158,month_lookup!A:B,2,FALSE)</f>
        <v>Jan</v>
      </c>
      <c r="P158">
        <f t="shared" si="12"/>
        <v>119769.22</v>
      </c>
    </row>
    <row r="159" spans="1:16" x14ac:dyDescent="0.25">
      <c r="A159" t="s">
        <v>52</v>
      </c>
      <c r="B159" s="1">
        <v>84194.21</v>
      </c>
      <c r="C159">
        <v>71885.02</v>
      </c>
      <c r="D159" s="2">
        <v>44191</v>
      </c>
      <c r="E159" t="s">
        <v>10</v>
      </c>
      <c r="F159" t="s">
        <v>177</v>
      </c>
      <c r="G159" t="s">
        <v>54</v>
      </c>
      <c r="H159" t="s">
        <v>143</v>
      </c>
      <c r="I159" t="s">
        <v>14</v>
      </c>
      <c r="J159" t="s">
        <v>289</v>
      </c>
      <c r="L159">
        <f t="shared" si="9"/>
        <v>202012</v>
      </c>
      <c r="M159">
        <f t="shared" si="10"/>
        <v>12</v>
      </c>
      <c r="N159">
        <f t="shared" si="11"/>
        <v>2020</v>
      </c>
      <c r="O159" t="str">
        <f>VLOOKUP(M159,month_lookup!A:B,2,FALSE)</f>
        <v>Dec</v>
      </c>
      <c r="P159">
        <f t="shared" si="12"/>
        <v>84194.21</v>
      </c>
    </row>
    <row r="160" spans="1:16" x14ac:dyDescent="0.25">
      <c r="A160" t="s">
        <v>16</v>
      </c>
      <c r="B160" s="1">
        <v>205582.75</v>
      </c>
      <c r="C160">
        <v>166748.17000000001</v>
      </c>
      <c r="D160" s="2">
        <v>44187</v>
      </c>
      <c r="E160" t="s">
        <v>29</v>
      </c>
      <c r="F160" t="s">
        <v>290</v>
      </c>
      <c r="G160" t="s">
        <v>19</v>
      </c>
      <c r="H160" t="s">
        <v>20</v>
      </c>
      <c r="I160" t="s">
        <v>27</v>
      </c>
      <c r="J160" t="s">
        <v>291</v>
      </c>
      <c r="L160">
        <f t="shared" si="9"/>
        <v>202012</v>
      </c>
      <c r="M160">
        <f t="shared" si="10"/>
        <v>12</v>
      </c>
      <c r="N160">
        <f t="shared" si="11"/>
        <v>2020</v>
      </c>
      <c r="O160" t="str">
        <f>VLOOKUP(M160,month_lookup!A:B,2,FALSE)</f>
        <v>Dec</v>
      </c>
      <c r="P160">
        <f t="shared" si="12"/>
        <v>205582.75</v>
      </c>
    </row>
    <row r="161" spans="1:16" x14ac:dyDescent="0.25">
      <c r="A161" t="s">
        <v>9</v>
      </c>
      <c r="B161" s="1">
        <v>159793.46</v>
      </c>
      <c r="C161">
        <v>139180.1</v>
      </c>
      <c r="D161" s="2">
        <v>43631</v>
      </c>
      <c r="E161" t="s">
        <v>59</v>
      </c>
      <c r="F161" t="s">
        <v>57</v>
      </c>
      <c r="G161" t="s">
        <v>12</v>
      </c>
      <c r="H161" t="s">
        <v>81</v>
      </c>
      <c r="I161" t="s">
        <v>37</v>
      </c>
      <c r="J161" t="s">
        <v>292</v>
      </c>
      <c r="L161">
        <f t="shared" si="9"/>
        <v>201906</v>
      </c>
      <c r="M161">
        <f t="shared" si="10"/>
        <v>6</v>
      </c>
      <c r="N161">
        <f t="shared" si="11"/>
        <v>2019</v>
      </c>
      <c r="O161" t="str">
        <f>VLOOKUP(M161,month_lookup!A:B,2,FALSE)</f>
        <v>Jun</v>
      </c>
      <c r="P161">
        <f t="shared" si="12"/>
        <v>-159793.46</v>
      </c>
    </row>
    <row r="162" spans="1:16" x14ac:dyDescent="0.25">
      <c r="A162" t="s">
        <v>22</v>
      </c>
      <c r="B162" s="1">
        <v>104711.22</v>
      </c>
      <c r="C162">
        <v>90868.4</v>
      </c>
      <c r="D162" s="2">
        <v>44068</v>
      </c>
      <c r="E162" t="s">
        <v>23</v>
      </c>
      <c r="F162" t="s">
        <v>293</v>
      </c>
      <c r="G162" t="s">
        <v>25</v>
      </c>
      <c r="H162" t="s">
        <v>75</v>
      </c>
      <c r="I162" t="s">
        <v>27</v>
      </c>
      <c r="J162" t="s">
        <v>294</v>
      </c>
      <c r="L162">
        <f t="shared" si="9"/>
        <v>202008</v>
      </c>
      <c r="M162">
        <f t="shared" si="10"/>
        <v>8</v>
      </c>
      <c r="N162">
        <f t="shared" si="11"/>
        <v>2020</v>
      </c>
      <c r="O162" t="str">
        <f>VLOOKUP(M162,month_lookup!A:B,2,FALSE)</f>
        <v>Aug</v>
      </c>
      <c r="P162">
        <f t="shared" si="12"/>
        <v>104711.22</v>
      </c>
    </row>
    <row r="163" spans="1:16" x14ac:dyDescent="0.25">
      <c r="A163" t="s">
        <v>52</v>
      </c>
      <c r="B163" s="1">
        <v>69126.5</v>
      </c>
      <c r="C163">
        <v>55902.6</v>
      </c>
      <c r="D163" s="2">
        <v>43807</v>
      </c>
      <c r="E163" t="s">
        <v>79</v>
      </c>
      <c r="F163" t="s">
        <v>39</v>
      </c>
      <c r="G163" t="s">
        <v>54</v>
      </c>
      <c r="H163" t="s">
        <v>143</v>
      </c>
      <c r="I163" t="s">
        <v>27</v>
      </c>
      <c r="J163" t="s">
        <v>295</v>
      </c>
      <c r="L163">
        <f t="shared" si="9"/>
        <v>201912</v>
      </c>
      <c r="M163">
        <f t="shared" si="10"/>
        <v>12</v>
      </c>
      <c r="N163">
        <f t="shared" si="11"/>
        <v>2019</v>
      </c>
      <c r="O163" t="str">
        <f>VLOOKUP(M163,month_lookup!A:B,2,FALSE)</f>
        <v>Dec</v>
      </c>
      <c r="P163">
        <f t="shared" si="12"/>
        <v>-69126.5</v>
      </c>
    </row>
    <row r="164" spans="1:16" x14ac:dyDescent="0.25">
      <c r="A164" t="s">
        <v>9</v>
      </c>
      <c r="B164" s="1">
        <v>20226.11</v>
      </c>
      <c r="C164">
        <v>17408.61</v>
      </c>
      <c r="D164" s="2">
        <v>43519</v>
      </c>
      <c r="E164" t="s">
        <v>79</v>
      </c>
      <c r="F164" t="s">
        <v>24</v>
      </c>
      <c r="G164" t="s">
        <v>12</v>
      </c>
      <c r="H164" t="s">
        <v>117</v>
      </c>
      <c r="I164" t="s">
        <v>27</v>
      </c>
      <c r="J164" t="s">
        <v>296</v>
      </c>
      <c r="L164">
        <f t="shared" si="9"/>
        <v>201902</v>
      </c>
      <c r="M164">
        <f t="shared" si="10"/>
        <v>2</v>
      </c>
      <c r="N164">
        <f t="shared" si="11"/>
        <v>2019</v>
      </c>
      <c r="O164" t="str">
        <f>VLOOKUP(M164,month_lookup!A:B,2,FALSE)</f>
        <v>Feb</v>
      </c>
      <c r="P164">
        <f t="shared" si="12"/>
        <v>-20226.11</v>
      </c>
    </row>
    <row r="165" spans="1:16" x14ac:dyDescent="0.25">
      <c r="A165" t="s">
        <v>52</v>
      </c>
      <c r="B165" s="1">
        <v>65036.81</v>
      </c>
      <c r="C165">
        <v>52361.14</v>
      </c>
      <c r="D165" s="2">
        <v>43615</v>
      </c>
      <c r="E165" t="s">
        <v>138</v>
      </c>
      <c r="F165" t="s">
        <v>109</v>
      </c>
      <c r="G165" t="s">
        <v>54</v>
      </c>
      <c r="H165" t="s">
        <v>71</v>
      </c>
      <c r="I165" t="s">
        <v>27</v>
      </c>
      <c r="J165" t="s">
        <v>297</v>
      </c>
      <c r="L165">
        <f t="shared" si="9"/>
        <v>201905</v>
      </c>
      <c r="M165">
        <f t="shared" si="10"/>
        <v>5</v>
      </c>
      <c r="N165">
        <f t="shared" si="11"/>
        <v>2019</v>
      </c>
      <c r="O165" t="str">
        <f>VLOOKUP(M165,month_lookup!A:B,2,FALSE)</f>
        <v>May</v>
      </c>
      <c r="P165">
        <f t="shared" si="12"/>
        <v>-65036.81</v>
      </c>
    </row>
    <row r="166" spans="1:16" x14ac:dyDescent="0.25">
      <c r="A166" t="s">
        <v>52</v>
      </c>
      <c r="B166" s="1">
        <v>254021.98</v>
      </c>
      <c r="C166">
        <v>205605.39</v>
      </c>
      <c r="D166" s="2">
        <v>43649</v>
      </c>
      <c r="E166" t="s">
        <v>23</v>
      </c>
      <c r="F166" t="s">
        <v>181</v>
      </c>
      <c r="G166" t="s">
        <v>54</v>
      </c>
      <c r="H166" t="s">
        <v>55</v>
      </c>
      <c r="I166" t="s">
        <v>27</v>
      </c>
      <c r="J166" t="s">
        <v>298</v>
      </c>
      <c r="L166">
        <f t="shared" si="9"/>
        <v>201907</v>
      </c>
      <c r="M166">
        <f t="shared" si="10"/>
        <v>7</v>
      </c>
      <c r="N166">
        <f t="shared" si="11"/>
        <v>2019</v>
      </c>
      <c r="O166" t="str">
        <f>VLOOKUP(M166,month_lookup!A:B,2,FALSE)</f>
        <v>Jul</v>
      </c>
      <c r="P166">
        <f t="shared" si="12"/>
        <v>-254021.98</v>
      </c>
    </row>
    <row r="167" spans="1:16" x14ac:dyDescent="0.25">
      <c r="A167" t="s">
        <v>105</v>
      </c>
      <c r="B167" s="1">
        <v>160185.99</v>
      </c>
      <c r="C167">
        <v>130487.51</v>
      </c>
      <c r="D167" s="2">
        <v>44101</v>
      </c>
      <c r="E167" t="s">
        <v>45</v>
      </c>
      <c r="F167" t="s">
        <v>177</v>
      </c>
      <c r="G167" t="s">
        <v>106</v>
      </c>
      <c r="H167" t="s">
        <v>107</v>
      </c>
      <c r="I167" t="s">
        <v>27</v>
      </c>
      <c r="J167" t="s">
        <v>299</v>
      </c>
      <c r="L167">
        <f t="shared" si="9"/>
        <v>202009</v>
      </c>
      <c r="M167">
        <f t="shared" si="10"/>
        <v>9</v>
      </c>
      <c r="N167">
        <f t="shared" si="11"/>
        <v>2020</v>
      </c>
      <c r="O167" t="str">
        <f>VLOOKUP(M167,month_lookup!A:B,2,FALSE)</f>
        <v>Sep</v>
      </c>
      <c r="P167">
        <f t="shared" si="12"/>
        <v>160185.99</v>
      </c>
    </row>
    <row r="168" spans="1:16" x14ac:dyDescent="0.25">
      <c r="A168" t="s">
        <v>44</v>
      </c>
      <c r="B168" s="1">
        <v>81219.67</v>
      </c>
      <c r="C168">
        <v>70319.990000000005</v>
      </c>
      <c r="D168" s="2">
        <v>43971</v>
      </c>
      <c r="E168" t="s">
        <v>23</v>
      </c>
      <c r="F168" t="s">
        <v>30</v>
      </c>
      <c r="G168" t="s">
        <v>47</v>
      </c>
      <c r="H168" t="s">
        <v>65</v>
      </c>
      <c r="I168" t="s">
        <v>27</v>
      </c>
      <c r="J168" t="s">
        <v>300</v>
      </c>
      <c r="L168">
        <f t="shared" si="9"/>
        <v>202005</v>
      </c>
      <c r="M168">
        <f t="shared" si="10"/>
        <v>5</v>
      </c>
      <c r="N168">
        <f t="shared" si="11"/>
        <v>2020</v>
      </c>
      <c r="O168" t="str">
        <f>VLOOKUP(M168,month_lookup!A:B,2,FALSE)</f>
        <v>May</v>
      </c>
      <c r="P168">
        <f t="shared" si="12"/>
        <v>81219.67</v>
      </c>
    </row>
    <row r="169" spans="1:16" x14ac:dyDescent="0.25">
      <c r="A169" t="s">
        <v>22</v>
      </c>
      <c r="B169" s="1">
        <v>108412.76</v>
      </c>
      <c r="C169">
        <v>88594.91</v>
      </c>
      <c r="D169" s="2">
        <v>43680</v>
      </c>
      <c r="E169" t="s">
        <v>59</v>
      </c>
      <c r="F169" t="s">
        <v>301</v>
      </c>
      <c r="G169" t="s">
        <v>25</v>
      </c>
      <c r="H169" t="s">
        <v>75</v>
      </c>
      <c r="I169" t="s">
        <v>14</v>
      </c>
      <c r="J169" t="s">
        <v>302</v>
      </c>
      <c r="L169">
        <f t="shared" si="9"/>
        <v>201908</v>
      </c>
      <c r="M169">
        <f t="shared" si="10"/>
        <v>8</v>
      </c>
      <c r="N169">
        <f t="shared" si="11"/>
        <v>2019</v>
      </c>
      <c r="O169" t="str">
        <f>VLOOKUP(M169,month_lookup!A:B,2,FALSE)</f>
        <v>Aug</v>
      </c>
      <c r="P169">
        <f t="shared" si="12"/>
        <v>-108412.76</v>
      </c>
    </row>
    <row r="170" spans="1:16" x14ac:dyDescent="0.25">
      <c r="A170" t="s">
        <v>33</v>
      </c>
      <c r="B170" s="1">
        <v>42028.45</v>
      </c>
      <c r="C170">
        <v>36299.97</v>
      </c>
      <c r="D170" s="2">
        <v>43891</v>
      </c>
      <c r="E170" t="s">
        <v>138</v>
      </c>
      <c r="F170" t="s">
        <v>30</v>
      </c>
      <c r="G170" t="s">
        <v>35</v>
      </c>
      <c r="H170" t="s">
        <v>40</v>
      </c>
      <c r="I170" t="s">
        <v>27</v>
      </c>
      <c r="J170" t="s">
        <v>303</v>
      </c>
      <c r="L170">
        <f t="shared" si="9"/>
        <v>202003</v>
      </c>
      <c r="M170">
        <f t="shared" si="10"/>
        <v>3</v>
      </c>
      <c r="N170">
        <f t="shared" si="11"/>
        <v>2020</v>
      </c>
      <c r="O170" t="str">
        <f>VLOOKUP(M170,month_lookup!A:B,2,FALSE)</f>
        <v>Mar</v>
      </c>
      <c r="P170">
        <f t="shared" si="12"/>
        <v>42028.45</v>
      </c>
    </row>
    <row r="171" spans="1:16" x14ac:dyDescent="0.25">
      <c r="A171" t="s">
        <v>9</v>
      </c>
      <c r="B171" s="1">
        <v>62272.959999999999</v>
      </c>
      <c r="C171">
        <v>54600.93</v>
      </c>
      <c r="D171" s="2">
        <v>43516</v>
      </c>
      <c r="E171" t="s">
        <v>29</v>
      </c>
      <c r="F171" t="s">
        <v>301</v>
      </c>
      <c r="G171" t="s">
        <v>12</v>
      </c>
      <c r="H171" t="s">
        <v>117</v>
      </c>
      <c r="I171" t="s">
        <v>27</v>
      </c>
      <c r="J171" t="s">
        <v>304</v>
      </c>
      <c r="L171">
        <f t="shared" si="9"/>
        <v>201902</v>
      </c>
      <c r="M171">
        <f t="shared" si="10"/>
        <v>2</v>
      </c>
      <c r="N171">
        <f t="shared" si="11"/>
        <v>2019</v>
      </c>
      <c r="O171" t="str">
        <f>VLOOKUP(M171,month_lookup!A:B,2,FALSE)</f>
        <v>Feb</v>
      </c>
      <c r="P171">
        <f t="shared" si="12"/>
        <v>-62272.959999999999</v>
      </c>
    </row>
    <row r="172" spans="1:16" x14ac:dyDescent="0.25">
      <c r="A172" t="s">
        <v>9</v>
      </c>
      <c r="B172" s="1">
        <v>91350.76</v>
      </c>
      <c r="C172">
        <v>75839.399999999994</v>
      </c>
      <c r="D172" s="2">
        <v>43500</v>
      </c>
      <c r="E172" t="s">
        <v>17</v>
      </c>
      <c r="F172" t="s">
        <v>67</v>
      </c>
      <c r="G172" t="s">
        <v>12</v>
      </c>
      <c r="H172" t="s">
        <v>81</v>
      </c>
      <c r="I172" t="s">
        <v>27</v>
      </c>
      <c r="J172" t="s">
        <v>305</v>
      </c>
      <c r="L172">
        <f t="shared" si="9"/>
        <v>201902</v>
      </c>
      <c r="M172">
        <f t="shared" si="10"/>
        <v>2</v>
      </c>
      <c r="N172">
        <f t="shared" si="11"/>
        <v>2019</v>
      </c>
      <c r="O172" t="str">
        <f>VLOOKUP(M172,month_lookup!A:B,2,FALSE)</f>
        <v>Feb</v>
      </c>
      <c r="P172">
        <f t="shared" si="12"/>
        <v>-91350.76</v>
      </c>
    </row>
    <row r="173" spans="1:16" x14ac:dyDescent="0.25">
      <c r="A173" t="s">
        <v>44</v>
      </c>
      <c r="B173" s="1">
        <v>123272.44</v>
      </c>
      <c r="C173">
        <v>101576.49</v>
      </c>
      <c r="D173" s="2">
        <v>43485</v>
      </c>
      <c r="E173" t="s">
        <v>23</v>
      </c>
      <c r="F173" t="s">
        <v>157</v>
      </c>
      <c r="G173" t="s">
        <v>47</v>
      </c>
      <c r="H173" t="s">
        <v>65</v>
      </c>
      <c r="I173" t="s">
        <v>37</v>
      </c>
      <c r="J173" t="s">
        <v>306</v>
      </c>
      <c r="L173">
        <f t="shared" si="9"/>
        <v>201901</v>
      </c>
      <c r="M173">
        <f t="shared" si="10"/>
        <v>1</v>
      </c>
      <c r="N173">
        <f t="shared" si="11"/>
        <v>2019</v>
      </c>
      <c r="O173" t="str">
        <f>VLOOKUP(M173,month_lookup!A:B,2,FALSE)</f>
        <v>Jan</v>
      </c>
      <c r="P173">
        <f t="shared" si="12"/>
        <v>-123272.44</v>
      </c>
    </row>
    <row r="174" spans="1:16" x14ac:dyDescent="0.25">
      <c r="A174" t="s">
        <v>105</v>
      </c>
      <c r="B174" s="1">
        <v>182852.21</v>
      </c>
      <c r="C174">
        <v>145440.65</v>
      </c>
      <c r="D174" s="2">
        <v>43827</v>
      </c>
      <c r="E174" t="s">
        <v>61</v>
      </c>
      <c r="F174" t="s">
        <v>34</v>
      </c>
      <c r="G174" t="s">
        <v>106</v>
      </c>
      <c r="H174" t="s">
        <v>107</v>
      </c>
      <c r="I174" t="s">
        <v>27</v>
      </c>
      <c r="J174" t="s">
        <v>307</v>
      </c>
      <c r="L174">
        <f t="shared" si="9"/>
        <v>201912</v>
      </c>
      <c r="M174">
        <f t="shared" si="10"/>
        <v>12</v>
      </c>
      <c r="N174">
        <f t="shared" si="11"/>
        <v>2019</v>
      </c>
      <c r="O174" t="str">
        <f>VLOOKUP(M174,month_lookup!A:B,2,FALSE)</f>
        <v>Dec</v>
      </c>
      <c r="P174">
        <f t="shared" si="12"/>
        <v>-182852.21</v>
      </c>
    </row>
    <row r="175" spans="1:16" x14ac:dyDescent="0.25">
      <c r="A175" t="s">
        <v>22</v>
      </c>
      <c r="B175" s="1">
        <v>118321.11</v>
      </c>
      <c r="C175">
        <v>94822.54</v>
      </c>
      <c r="D175" s="2">
        <v>44158</v>
      </c>
      <c r="E175" t="s">
        <v>79</v>
      </c>
      <c r="F175" t="s">
        <v>67</v>
      </c>
      <c r="G175" t="s">
        <v>25</v>
      </c>
      <c r="H175" t="s">
        <v>31</v>
      </c>
      <c r="I175" t="s">
        <v>37</v>
      </c>
      <c r="J175" t="s">
        <v>308</v>
      </c>
      <c r="L175">
        <f t="shared" si="9"/>
        <v>202011</v>
      </c>
      <c r="M175">
        <f t="shared" si="10"/>
        <v>11</v>
      </c>
      <c r="N175">
        <f t="shared" si="11"/>
        <v>2020</v>
      </c>
      <c r="O175" t="str">
        <f>VLOOKUP(M175,month_lookup!A:B,2,FALSE)</f>
        <v>Nov</v>
      </c>
      <c r="P175">
        <f t="shared" si="12"/>
        <v>118321.11</v>
      </c>
    </row>
    <row r="176" spans="1:16" x14ac:dyDescent="0.25">
      <c r="A176" t="s">
        <v>44</v>
      </c>
      <c r="B176" s="1">
        <v>74295.81</v>
      </c>
      <c r="C176">
        <v>63716.09</v>
      </c>
      <c r="D176" s="2">
        <v>43566</v>
      </c>
      <c r="E176" t="s">
        <v>17</v>
      </c>
      <c r="F176" t="s">
        <v>115</v>
      </c>
      <c r="G176" t="s">
        <v>47</v>
      </c>
      <c r="H176" t="s">
        <v>65</v>
      </c>
      <c r="I176" t="s">
        <v>27</v>
      </c>
      <c r="J176" t="s">
        <v>309</v>
      </c>
      <c r="L176">
        <f t="shared" si="9"/>
        <v>201904</v>
      </c>
      <c r="M176">
        <f t="shared" si="10"/>
        <v>4</v>
      </c>
      <c r="N176">
        <f t="shared" si="11"/>
        <v>2019</v>
      </c>
      <c r="O176" t="str">
        <f>VLOOKUP(M176,month_lookup!A:B,2,FALSE)</f>
        <v>Apr</v>
      </c>
      <c r="P176">
        <f t="shared" si="12"/>
        <v>-74295.81</v>
      </c>
    </row>
    <row r="177" spans="1:16" x14ac:dyDescent="0.25">
      <c r="A177" t="s">
        <v>44</v>
      </c>
      <c r="B177" s="1">
        <v>152865.34</v>
      </c>
      <c r="C177">
        <v>121130.5</v>
      </c>
      <c r="D177" s="2">
        <v>44171</v>
      </c>
      <c r="E177" t="s">
        <v>23</v>
      </c>
      <c r="F177" t="s">
        <v>310</v>
      </c>
      <c r="G177" t="s">
        <v>47</v>
      </c>
      <c r="H177" t="s">
        <v>65</v>
      </c>
      <c r="I177" t="s">
        <v>27</v>
      </c>
      <c r="J177" t="s">
        <v>311</v>
      </c>
      <c r="L177">
        <f t="shared" si="9"/>
        <v>202012</v>
      </c>
      <c r="M177">
        <f t="shared" si="10"/>
        <v>12</v>
      </c>
      <c r="N177">
        <f t="shared" si="11"/>
        <v>2020</v>
      </c>
      <c r="O177" t="str">
        <f>VLOOKUP(M177,month_lookup!A:B,2,FALSE)</f>
        <v>Dec</v>
      </c>
      <c r="P177">
        <f t="shared" si="12"/>
        <v>152865.34</v>
      </c>
    </row>
    <row r="178" spans="1:16" x14ac:dyDescent="0.25">
      <c r="A178" t="s">
        <v>52</v>
      </c>
      <c r="B178" s="1">
        <v>171458.64</v>
      </c>
      <c r="C178">
        <v>148877.54</v>
      </c>
      <c r="D178" s="2">
        <v>43693</v>
      </c>
      <c r="E178" t="s">
        <v>10</v>
      </c>
      <c r="F178" t="s">
        <v>147</v>
      </c>
      <c r="G178" t="s">
        <v>54</v>
      </c>
      <c r="H178" t="s">
        <v>127</v>
      </c>
      <c r="I178" t="s">
        <v>27</v>
      </c>
      <c r="J178" t="s">
        <v>312</v>
      </c>
      <c r="L178">
        <f t="shared" si="9"/>
        <v>201908</v>
      </c>
      <c r="M178">
        <f t="shared" si="10"/>
        <v>8</v>
      </c>
      <c r="N178">
        <f t="shared" si="11"/>
        <v>2019</v>
      </c>
      <c r="O178" t="str">
        <f>VLOOKUP(M178,month_lookup!A:B,2,FALSE)</f>
        <v>Aug</v>
      </c>
      <c r="P178">
        <f t="shared" si="12"/>
        <v>-171458.64</v>
      </c>
    </row>
    <row r="179" spans="1:16" x14ac:dyDescent="0.25">
      <c r="A179" t="s">
        <v>44</v>
      </c>
      <c r="B179" s="1">
        <v>156177.76999999999</v>
      </c>
      <c r="C179">
        <v>130096.08</v>
      </c>
      <c r="D179" s="2">
        <v>43823</v>
      </c>
      <c r="E179" t="s">
        <v>23</v>
      </c>
      <c r="F179" t="s">
        <v>34</v>
      </c>
      <c r="G179" t="s">
        <v>47</v>
      </c>
      <c r="H179" t="s">
        <v>48</v>
      </c>
      <c r="I179" t="s">
        <v>27</v>
      </c>
      <c r="J179" t="s">
        <v>313</v>
      </c>
      <c r="L179">
        <f t="shared" si="9"/>
        <v>201912</v>
      </c>
      <c r="M179">
        <f t="shared" si="10"/>
        <v>12</v>
      </c>
      <c r="N179">
        <f t="shared" si="11"/>
        <v>2019</v>
      </c>
      <c r="O179" t="str">
        <f>VLOOKUP(M179,month_lookup!A:B,2,FALSE)</f>
        <v>Dec</v>
      </c>
      <c r="P179">
        <f t="shared" si="12"/>
        <v>-156177.76999999999</v>
      </c>
    </row>
    <row r="180" spans="1:16" x14ac:dyDescent="0.25">
      <c r="A180" t="s">
        <v>22</v>
      </c>
      <c r="B180" s="1">
        <v>116023.51</v>
      </c>
      <c r="C180">
        <v>96566.37</v>
      </c>
      <c r="D180" s="2">
        <v>43984</v>
      </c>
      <c r="E180" t="s">
        <v>59</v>
      </c>
      <c r="F180" t="s">
        <v>67</v>
      </c>
      <c r="G180" t="s">
        <v>25</v>
      </c>
      <c r="H180" t="s">
        <v>26</v>
      </c>
      <c r="I180" t="s">
        <v>27</v>
      </c>
      <c r="J180" t="s">
        <v>314</v>
      </c>
      <c r="L180">
        <f t="shared" si="9"/>
        <v>202006</v>
      </c>
      <c r="M180">
        <f t="shared" si="10"/>
        <v>6</v>
      </c>
      <c r="N180">
        <f t="shared" si="11"/>
        <v>2020</v>
      </c>
      <c r="O180" t="str">
        <f>VLOOKUP(M180,month_lookup!A:B,2,FALSE)</f>
        <v>Jun</v>
      </c>
      <c r="P180">
        <f t="shared" si="12"/>
        <v>116023.51</v>
      </c>
    </row>
    <row r="181" spans="1:16" x14ac:dyDescent="0.25">
      <c r="A181" t="s">
        <v>52</v>
      </c>
      <c r="B181" s="1">
        <v>70657.259999999995</v>
      </c>
      <c r="C181">
        <v>61330.5</v>
      </c>
      <c r="D181" s="2">
        <v>44079</v>
      </c>
      <c r="E181" t="s">
        <v>138</v>
      </c>
      <c r="F181" t="s">
        <v>70</v>
      </c>
      <c r="G181" t="s">
        <v>54</v>
      </c>
      <c r="H181" t="s">
        <v>55</v>
      </c>
      <c r="I181" t="s">
        <v>27</v>
      </c>
      <c r="J181" t="s">
        <v>315</v>
      </c>
      <c r="L181">
        <f t="shared" si="9"/>
        <v>202009</v>
      </c>
      <c r="M181">
        <f t="shared" si="10"/>
        <v>9</v>
      </c>
      <c r="N181">
        <f t="shared" si="11"/>
        <v>2020</v>
      </c>
      <c r="O181" t="str">
        <f>VLOOKUP(M181,month_lookup!A:B,2,FALSE)</f>
        <v>Sep</v>
      </c>
      <c r="P181">
        <f t="shared" si="12"/>
        <v>70657.259999999995</v>
      </c>
    </row>
    <row r="182" spans="1:16" x14ac:dyDescent="0.25">
      <c r="A182" t="s">
        <v>83</v>
      </c>
      <c r="B182" s="1">
        <v>104152.15</v>
      </c>
      <c r="C182">
        <v>85696.39</v>
      </c>
      <c r="D182" s="2">
        <v>43591</v>
      </c>
      <c r="E182" t="s">
        <v>59</v>
      </c>
      <c r="F182" t="s">
        <v>57</v>
      </c>
      <c r="G182" t="s">
        <v>84</v>
      </c>
      <c r="H182" t="s">
        <v>85</v>
      </c>
      <c r="I182" t="s">
        <v>14</v>
      </c>
      <c r="J182" t="s">
        <v>316</v>
      </c>
      <c r="L182">
        <f t="shared" si="9"/>
        <v>201905</v>
      </c>
      <c r="M182">
        <f t="shared" si="10"/>
        <v>5</v>
      </c>
      <c r="N182">
        <f t="shared" si="11"/>
        <v>2019</v>
      </c>
      <c r="O182" t="str">
        <f>VLOOKUP(M182,month_lookup!A:B,2,FALSE)</f>
        <v>May</v>
      </c>
      <c r="P182">
        <f t="shared" si="12"/>
        <v>-104152.15</v>
      </c>
    </row>
    <row r="183" spans="1:16" x14ac:dyDescent="0.25">
      <c r="A183" t="s">
        <v>22</v>
      </c>
      <c r="B183" s="1">
        <v>84224.98</v>
      </c>
      <c r="C183">
        <v>68239.08</v>
      </c>
      <c r="D183" s="2">
        <v>43486</v>
      </c>
      <c r="E183" t="s">
        <v>50</v>
      </c>
      <c r="F183" t="s">
        <v>30</v>
      </c>
      <c r="G183" t="s">
        <v>25</v>
      </c>
      <c r="H183" t="s">
        <v>31</v>
      </c>
      <c r="I183" t="s">
        <v>14</v>
      </c>
      <c r="J183" t="s">
        <v>317</v>
      </c>
      <c r="L183">
        <f t="shared" si="9"/>
        <v>201901</v>
      </c>
      <c r="M183">
        <f t="shared" si="10"/>
        <v>1</v>
      </c>
      <c r="N183">
        <f t="shared" si="11"/>
        <v>2019</v>
      </c>
      <c r="O183" t="str">
        <f>VLOOKUP(M183,month_lookup!A:B,2,FALSE)</f>
        <v>Jan</v>
      </c>
      <c r="P183">
        <f t="shared" si="12"/>
        <v>-84224.98</v>
      </c>
    </row>
    <row r="184" spans="1:16" x14ac:dyDescent="0.25">
      <c r="A184" t="s">
        <v>22</v>
      </c>
      <c r="B184" s="1">
        <v>172505.24</v>
      </c>
      <c r="C184">
        <v>139125.48000000001</v>
      </c>
      <c r="D184" s="2">
        <v>44106</v>
      </c>
      <c r="E184" t="s">
        <v>45</v>
      </c>
      <c r="F184" t="s">
        <v>301</v>
      </c>
      <c r="G184" t="s">
        <v>25</v>
      </c>
      <c r="H184" t="s">
        <v>218</v>
      </c>
      <c r="I184" t="s">
        <v>27</v>
      </c>
      <c r="J184" t="s">
        <v>318</v>
      </c>
      <c r="L184">
        <f t="shared" si="9"/>
        <v>202010</v>
      </c>
      <c r="M184">
        <f t="shared" si="10"/>
        <v>10</v>
      </c>
      <c r="N184">
        <f t="shared" si="11"/>
        <v>2020</v>
      </c>
      <c r="O184" t="str">
        <f>VLOOKUP(M184,month_lookup!A:B,2,FALSE)</f>
        <v>Oct</v>
      </c>
      <c r="P184">
        <f t="shared" si="12"/>
        <v>172505.24</v>
      </c>
    </row>
    <row r="185" spans="1:16" x14ac:dyDescent="0.25">
      <c r="A185" t="s">
        <v>22</v>
      </c>
      <c r="B185" s="1">
        <v>89830.34</v>
      </c>
      <c r="C185">
        <v>76795.960000000006</v>
      </c>
      <c r="D185" s="2">
        <v>43574</v>
      </c>
      <c r="E185" t="s">
        <v>17</v>
      </c>
      <c r="F185" t="s">
        <v>34</v>
      </c>
      <c r="G185" t="s">
        <v>25</v>
      </c>
      <c r="H185" t="s">
        <v>31</v>
      </c>
      <c r="I185" t="s">
        <v>37</v>
      </c>
      <c r="J185" t="s">
        <v>319</v>
      </c>
      <c r="L185">
        <f t="shared" si="9"/>
        <v>201904</v>
      </c>
      <c r="M185">
        <f t="shared" si="10"/>
        <v>4</v>
      </c>
      <c r="N185">
        <f t="shared" si="11"/>
        <v>2019</v>
      </c>
      <c r="O185" t="str">
        <f>VLOOKUP(M185,month_lookup!A:B,2,FALSE)</f>
        <v>Apr</v>
      </c>
      <c r="P185">
        <f t="shared" si="12"/>
        <v>-89830.34</v>
      </c>
    </row>
    <row r="186" spans="1:16" x14ac:dyDescent="0.25">
      <c r="A186" t="s">
        <v>83</v>
      </c>
      <c r="B186" s="1">
        <v>353925.06</v>
      </c>
      <c r="C186">
        <v>287528.71999999997</v>
      </c>
      <c r="D186" s="2">
        <v>44169</v>
      </c>
      <c r="E186" t="s">
        <v>23</v>
      </c>
      <c r="F186" t="s">
        <v>253</v>
      </c>
      <c r="G186" t="s">
        <v>84</v>
      </c>
      <c r="H186" t="s">
        <v>85</v>
      </c>
      <c r="I186" t="s">
        <v>27</v>
      </c>
      <c r="J186" t="s">
        <v>320</v>
      </c>
      <c r="L186">
        <f t="shared" si="9"/>
        <v>202012</v>
      </c>
      <c r="M186">
        <f t="shared" si="10"/>
        <v>12</v>
      </c>
      <c r="N186">
        <f t="shared" si="11"/>
        <v>2020</v>
      </c>
      <c r="O186" t="str">
        <f>VLOOKUP(M186,month_lookup!A:B,2,FALSE)</f>
        <v>Dec</v>
      </c>
      <c r="P186">
        <f t="shared" si="12"/>
        <v>353925.06</v>
      </c>
    </row>
    <row r="187" spans="1:16" x14ac:dyDescent="0.25">
      <c r="A187" t="s">
        <v>52</v>
      </c>
      <c r="B187" s="1">
        <v>141436.98000000001</v>
      </c>
      <c r="C187">
        <v>114691.25</v>
      </c>
      <c r="D187" s="2">
        <v>43611</v>
      </c>
      <c r="E187" t="s">
        <v>61</v>
      </c>
      <c r="F187" t="s">
        <v>154</v>
      </c>
      <c r="G187" t="s">
        <v>54</v>
      </c>
      <c r="H187" t="s">
        <v>55</v>
      </c>
      <c r="I187" t="s">
        <v>27</v>
      </c>
      <c r="J187" t="s">
        <v>321</v>
      </c>
      <c r="L187">
        <f t="shared" si="9"/>
        <v>201905</v>
      </c>
      <c r="M187">
        <f t="shared" si="10"/>
        <v>5</v>
      </c>
      <c r="N187">
        <f t="shared" si="11"/>
        <v>2019</v>
      </c>
      <c r="O187" t="str">
        <f>VLOOKUP(M187,month_lookup!A:B,2,FALSE)</f>
        <v>May</v>
      </c>
      <c r="P187">
        <f t="shared" si="12"/>
        <v>-141436.98000000001</v>
      </c>
    </row>
    <row r="188" spans="1:16" x14ac:dyDescent="0.25">
      <c r="A188" t="s">
        <v>44</v>
      </c>
      <c r="B188" s="1">
        <v>178465.4</v>
      </c>
      <c r="C188">
        <v>156282.15</v>
      </c>
      <c r="D188" s="2">
        <v>43948</v>
      </c>
      <c r="E188" t="s">
        <v>45</v>
      </c>
      <c r="F188" t="s">
        <v>301</v>
      </c>
      <c r="G188" t="s">
        <v>47</v>
      </c>
      <c r="H188" t="s">
        <v>48</v>
      </c>
      <c r="I188" t="s">
        <v>27</v>
      </c>
      <c r="J188" t="s">
        <v>322</v>
      </c>
      <c r="L188">
        <f t="shared" si="9"/>
        <v>202004</v>
      </c>
      <c r="M188">
        <f t="shared" si="10"/>
        <v>4</v>
      </c>
      <c r="N188">
        <f t="shared" si="11"/>
        <v>2020</v>
      </c>
      <c r="O188" t="str">
        <f>VLOOKUP(M188,month_lookup!A:B,2,FALSE)</f>
        <v>Apr</v>
      </c>
      <c r="P188">
        <f t="shared" si="12"/>
        <v>178465.4</v>
      </c>
    </row>
    <row r="189" spans="1:16" x14ac:dyDescent="0.25">
      <c r="A189" t="s">
        <v>9</v>
      </c>
      <c r="B189" s="1">
        <v>110092.84</v>
      </c>
      <c r="C189">
        <v>92797.25</v>
      </c>
      <c r="D189" s="2">
        <v>44011</v>
      </c>
      <c r="E189" t="s">
        <v>138</v>
      </c>
      <c r="F189" t="s">
        <v>70</v>
      </c>
      <c r="G189" t="s">
        <v>12</v>
      </c>
      <c r="H189" t="s">
        <v>68</v>
      </c>
      <c r="I189" t="s">
        <v>37</v>
      </c>
      <c r="J189" t="s">
        <v>323</v>
      </c>
      <c r="L189">
        <f t="shared" si="9"/>
        <v>202006</v>
      </c>
      <c r="M189">
        <f t="shared" si="10"/>
        <v>6</v>
      </c>
      <c r="N189">
        <f t="shared" si="11"/>
        <v>2020</v>
      </c>
      <c r="O189" t="str">
        <f>VLOOKUP(M189,month_lookup!A:B,2,FALSE)</f>
        <v>Jun</v>
      </c>
      <c r="P189">
        <f t="shared" si="12"/>
        <v>110092.84</v>
      </c>
    </row>
    <row r="190" spans="1:16" x14ac:dyDescent="0.25">
      <c r="A190" t="s">
        <v>44</v>
      </c>
      <c r="B190" s="1">
        <v>154715.49</v>
      </c>
      <c r="C190">
        <v>126572.74</v>
      </c>
      <c r="D190" s="2">
        <v>44127</v>
      </c>
      <c r="E190" t="s">
        <v>79</v>
      </c>
      <c r="F190" t="s">
        <v>173</v>
      </c>
      <c r="G190" t="s">
        <v>47</v>
      </c>
      <c r="H190" t="s">
        <v>65</v>
      </c>
      <c r="I190" t="s">
        <v>27</v>
      </c>
      <c r="J190" t="s">
        <v>324</v>
      </c>
      <c r="L190">
        <f t="shared" si="9"/>
        <v>202010</v>
      </c>
      <c r="M190">
        <f t="shared" si="10"/>
        <v>10</v>
      </c>
      <c r="N190">
        <f t="shared" si="11"/>
        <v>2020</v>
      </c>
      <c r="O190" t="str">
        <f>VLOOKUP(M190,month_lookup!A:B,2,FALSE)</f>
        <v>Oct</v>
      </c>
      <c r="P190">
        <f t="shared" si="12"/>
        <v>154715.49</v>
      </c>
    </row>
    <row r="191" spans="1:16" x14ac:dyDescent="0.25">
      <c r="A191" t="s">
        <v>9</v>
      </c>
      <c r="B191" s="1">
        <v>92877.57</v>
      </c>
      <c r="C191">
        <v>75936.7</v>
      </c>
      <c r="D191" s="2">
        <v>43926</v>
      </c>
      <c r="E191" t="s">
        <v>79</v>
      </c>
      <c r="F191" t="s">
        <v>63</v>
      </c>
      <c r="G191" t="s">
        <v>12</v>
      </c>
      <c r="H191" t="s">
        <v>13</v>
      </c>
      <c r="I191" t="s">
        <v>14</v>
      </c>
      <c r="J191" t="s">
        <v>325</v>
      </c>
      <c r="L191">
        <f t="shared" si="9"/>
        <v>202004</v>
      </c>
      <c r="M191">
        <f t="shared" si="10"/>
        <v>4</v>
      </c>
      <c r="N191">
        <f t="shared" si="11"/>
        <v>2020</v>
      </c>
      <c r="O191" t="str">
        <f>VLOOKUP(M191,month_lookup!A:B,2,FALSE)</f>
        <v>Apr</v>
      </c>
      <c r="P191">
        <f t="shared" si="12"/>
        <v>92877.57</v>
      </c>
    </row>
    <row r="192" spans="1:16" x14ac:dyDescent="0.25">
      <c r="A192" t="s">
        <v>52</v>
      </c>
      <c r="B192" s="1">
        <v>66141.13</v>
      </c>
      <c r="C192">
        <v>53435.42</v>
      </c>
      <c r="D192" s="2">
        <v>43611</v>
      </c>
      <c r="E192" t="s">
        <v>23</v>
      </c>
      <c r="F192" t="s">
        <v>326</v>
      </c>
      <c r="G192" t="s">
        <v>54</v>
      </c>
      <c r="H192" t="s">
        <v>132</v>
      </c>
      <c r="I192" t="s">
        <v>27</v>
      </c>
      <c r="J192" t="s">
        <v>327</v>
      </c>
      <c r="L192">
        <f t="shared" si="9"/>
        <v>201905</v>
      </c>
      <c r="M192">
        <f t="shared" si="10"/>
        <v>5</v>
      </c>
      <c r="N192">
        <f t="shared" si="11"/>
        <v>2019</v>
      </c>
      <c r="O192" t="str">
        <f>VLOOKUP(M192,month_lookup!A:B,2,FALSE)</f>
        <v>May</v>
      </c>
      <c r="P192">
        <f t="shared" si="12"/>
        <v>-66141.13</v>
      </c>
    </row>
    <row r="193" spans="1:16" x14ac:dyDescent="0.25">
      <c r="A193" t="s">
        <v>214</v>
      </c>
      <c r="B193" s="1">
        <v>241782.39</v>
      </c>
      <c r="C193">
        <v>196544.91</v>
      </c>
      <c r="D193" s="2">
        <v>43991</v>
      </c>
      <c r="E193" t="s">
        <v>50</v>
      </c>
      <c r="F193" t="s">
        <v>34</v>
      </c>
      <c r="G193" t="s">
        <v>215</v>
      </c>
      <c r="H193" t="s">
        <v>216</v>
      </c>
      <c r="I193" t="s">
        <v>27</v>
      </c>
      <c r="J193" t="s">
        <v>328</v>
      </c>
      <c r="L193">
        <f t="shared" si="9"/>
        <v>202006</v>
      </c>
      <c r="M193">
        <f t="shared" si="10"/>
        <v>6</v>
      </c>
      <c r="N193">
        <f t="shared" si="11"/>
        <v>2020</v>
      </c>
      <c r="O193" t="str">
        <f>VLOOKUP(M193,month_lookup!A:B,2,FALSE)</f>
        <v>Jun</v>
      </c>
      <c r="P193">
        <f t="shared" si="12"/>
        <v>241782.39</v>
      </c>
    </row>
    <row r="194" spans="1:16" x14ac:dyDescent="0.25">
      <c r="A194" t="s">
        <v>22</v>
      </c>
      <c r="B194" s="1">
        <v>211872.69</v>
      </c>
      <c r="C194">
        <v>177930.69</v>
      </c>
      <c r="D194" s="2">
        <v>43669</v>
      </c>
      <c r="E194" t="s">
        <v>17</v>
      </c>
      <c r="F194" t="s">
        <v>34</v>
      </c>
      <c r="G194" t="s">
        <v>25</v>
      </c>
      <c r="H194" t="s">
        <v>89</v>
      </c>
      <c r="I194" t="s">
        <v>14</v>
      </c>
      <c r="J194" t="s">
        <v>329</v>
      </c>
      <c r="L194">
        <f t="shared" si="9"/>
        <v>201907</v>
      </c>
      <c r="M194">
        <f t="shared" si="10"/>
        <v>7</v>
      </c>
      <c r="N194">
        <f t="shared" si="11"/>
        <v>2019</v>
      </c>
      <c r="O194" t="str">
        <f>VLOOKUP(M194,month_lookup!A:B,2,FALSE)</f>
        <v>Jul</v>
      </c>
      <c r="P194">
        <f t="shared" si="12"/>
        <v>-211872.69</v>
      </c>
    </row>
    <row r="195" spans="1:16" x14ac:dyDescent="0.25">
      <c r="A195" t="s">
        <v>22</v>
      </c>
      <c r="B195" s="1">
        <v>170408.23</v>
      </c>
      <c r="C195">
        <v>143432.60999999999</v>
      </c>
      <c r="D195" s="2">
        <v>44138</v>
      </c>
      <c r="E195" t="s">
        <v>23</v>
      </c>
      <c r="F195" t="s">
        <v>301</v>
      </c>
      <c r="G195" t="s">
        <v>25</v>
      </c>
      <c r="H195" t="s">
        <v>31</v>
      </c>
      <c r="I195" t="s">
        <v>14</v>
      </c>
      <c r="J195" t="s">
        <v>330</v>
      </c>
      <c r="L195">
        <f t="shared" ref="L195:L258" si="13">YEAR(D195)*100+MONTH(D195)</f>
        <v>202011</v>
      </c>
      <c r="M195">
        <f t="shared" ref="M195:M258" si="14">MONTH(D195)</f>
        <v>11</v>
      </c>
      <c r="N195">
        <f t="shared" ref="N195:N258" si="15">YEAR(D195)</f>
        <v>2020</v>
      </c>
      <c r="O195" t="str">
        <f>VLOOKUP(M195,month_lookup!A:B,2,FALSE)</f>
        <v>Nov</v>
      </c>
      <c r="P195">
        <f t="shared" si="12"/>
        <v>170408.23</v>
      </c>
    </row>
    <row r="196" spans="1:16" x14ac:dyDescent="0.25">
      <c r="A196" t="s">
        <v>9</v>
      </c>
      <c r="B196" s="1">
        <v>157683.41</v>
      </c>
      <c r="C196">
        <v>130624.94</v>
      </c>
      <c r="D196" s="2">
        <v>43624</v>
      </c>
      <c r="E196" t="s">
        <v>79</v>
      </c>
      <c r="F196" t="s">
        <v>165</v>
      </c>
      <c r="G196" t="s">
        <v>12</v>
      </c>
      <c r="H196" t="s">
        <v>81</v>
      </c>
      <c r="I196" t="s">
        <v>37</v>
      </c>
      <c r="J196" t="s">
        <v>331</v>
      </c>
      <c r="L196">
        <f t="shared" si="13"/>
        <v>201906</v>
      </c>
      <c r="M196">
        <f t="shared" si="14"/>
        <v>6</v>
      </c>
      <c r="N196">
        <f t="shared" si="15"/>
        <v>2019</v>
      </c>
      <c r="O196" t="str">
        <f>VLOOKUP(M196,month_lookup!A:B,2,FALSE)</f>
        <v>Jun</v>
      </c>
      <c r="P196">
        <f t="shared" si="12"/>
        <v>-157683.41</v>
      </c>
    </row>
    <row r="197" spans="1:16" x14ac:dyDescent="0.25">
      <c r="A197" t="s">
        <v>22</v>
      </c>
      <c r="B197" s="1">
        <v>116157.89</v>
      </c>
      <c r="C197">
        <v>97166.07</v>
      </c>
      <c r="D197" s="2">
        <v>43783</v>
      </c>
      <c r="E197" t="s">
        <v>17</v>
      </c>
      <c r="F197" t="s">
        <v>332</v>
      </c>
      <c r="G197" t="s">
        <v>25</v>
      </c>
      <c r="H197" t="s">
        <v>89</v>
      </c>
      <c r="I197" t="s">
        <v>27</v>
      </c>
      <c r="J197" t="s">
        <v>333</v>
      </c>
      <c r="L197">
        <f t="shared" si="13"/>
        <v>201911</v>
      </c>
      <c r="M197">
        <f t="shared" si="14"/>
        <v>11</v>
      </c>
      <c r="N197">
        <f t="shared" si="15"/>
        <v>2019</v>
      </c>
      <c r="O197" t="str">
        <f>VLOOKUP(M197,month_lookup!A:B,2,FALSE)</f>
        <v>Nov</v>
      </c>
      <c r="P197">
        <f t="shared" si="12"/>
        <v>-116157.89</v>
      </c>
    </row>
    <row r="198" spans="1:16" x14ac:dyDescent="0.25">
      <c r="A198" t="s">
        <v>52</v>
      </c>
      <c r="B198" s="1">
        <v>56106.13</v>
      </c>
      <c r="C198">
        <v>45081.27</v>
      </c>
      <c r="D198" s="2">
        <v>43902</v>
      </c>
      <c r="E198" t="s">
        <v>79</v>
      </c>
      <c r="F198" t="s">
        <v>70</v>
      </c>
      <c r="G198" t="s">
        <v>54</v>
      </c>
      <c r="H198" t="s">
        <v>71</v>
      </c>
      <c r="I198" t="s">
        <v>27</v>
      </c>
      <c r="J198" t="s">
        <v>334</v>
      </c>
      <c r="L198">
        <f t="shared" si="13"/>
        <v>202003</v>
      </c>
      <c r="M198">
        <f t="shared" si="14"/>
        <v>3</v>
      </c>
      <c r="N198">
        <f t="shared" si="15"/>
        <v>2020</v>
      </c>
      <c r="O198" t="str">
        <f>VLOOKUP(M198,month_lookup!A:B,2,FALSE)</f>
        <v>Mar</v>
      </c>
      <c r="P198">
        <f t="shared" si="12"/>
        <v>56106.13</v>
      </c>
    </row>
    <row r="199" spans="1:16" x14ac:dyDescent="0.25">
      <c r="A199" t="s">
        <v>9</v>
      </c>
      <c r="B199" s="1">
        <v>40385.449999999997</v>
      </c>
      <c r="C199">
        <v>32591.06</v>
      </c>
      <c r="D199" s="2">
        <v>44027</v>
      </c>
      <c r="E199" t="s">
        <v>59</v>
      </c>
      <c r="F199" t="s">
        <v>96</v>
      </c>
      <c r="G199" t="s">
        <v>12</v>
      </c>
      <c r="H199" t="s">
        <v>169</v>
      </c>
      <c r="I199" t="s">
        <v>27</v>
      </c>
      <c r="J199" t="s">
        <v>335</v>
      </c>
      <c r="L199">
        <f t="shared" si="13"/>
        <v>202007</v>
      </c>
      <c r="M199">
        <f t="shared" si="14"/>
        <v>7</v>
      </c>
      <c r="N199">
        <f t="shared" si="15"/>
        <v>2020</v>
      </c>
      <c r="O199" t="str">
        <f>VLOOKUP(M199,month_lookup!A:B,2,FALSE)</f>
        <v>Jul</v>
      </c>
      <c r="P199">
        <f t="shared" ref="P199:P262" si="16">IF(N199=2020,B199,-B199)</f>
        <v>40385.449999999997</v>
      </c>
    </row>
    <row r="200" spans="1:16" x14ac:dyDescent="0.25">
      <c r="A200" t="s">
        <v>44</v>
      </c>
      <c r="B200" s="1">
        <v>112491.58</v>
      </c>
      <c r="C200">
        <v>92254.34</v>
      </c>
      <c r="D200" s="2">
        <v>43762</v>
      </c>
      <c r="E200" t="s">
        <v>50</v>
      </c>
      <c r="F200" t="s">
        <v>30</v>
      </c>
      <c r="G200" t="s">
        <v>47</v>
      </c>
      <c r="H200" t="s">
        <v>65</v>
      </c>
      <c r="I200" t="s">
        <v>14</v>
      </c>
      <c r="J200" t="s">
        <v>336</v>
      </c>
      <c r="L200">
        <f t="shared" si="13"/>
        <v>201910</v>
      </c>
      <c r="M200">
        <f t="shared" si="14"/>
        <v>10</v>
      </c>
      <c r="N200">
        <f t="shared" si="15"/>
        <v>2019</v>
      </c>
      <c r="O200" t="str">
        <f>VLOOKUP(M200,month_lookup!A:B,2,FALSE)</f>
        <v>Oct</v>
      </c>
      <c r="P200">
        <f t="shared" si="16"/>
        <v>-112491.58</v>
      </c>
    </row>
    <row r="201" spans="1:16" x14ac:dyDescent="0.25">
      <c r="A201" t="s">
        <v>16</v>
      </c>
      <c r="B201" s="1">
        <v>200635.57</v>
      </c>
      <c r="C201">
        <v>172245.64</v>
      </c>
      <c r="D201" s="2">
        <v>43810</v>
      </c>
      <c r="E201" t="s">
        <v>23</v>
      </c>
      <c r="F201" t="s">
        <v>24</v>
      </c>
      <c r="G201" t="s">
        <v>19</v>
      </c>
      <c r="H201" t="s">
        <v>20</v>
      </c>
      <c r="I201" t="s">
        <v>27</v>
      </c>
      <c r="J201" t="s">
        <v>337</v>
      </c>
      <c r="L201">
        <f t="shared" si="13"/>
        <v>201912</v>
      </c>
      <c r="M201">
        <f t="shared" si="14"/>
        <v>12</v>
      </c>
      <c r="N201">
        <f t="shared" si="15"/>
        <v>2019</v>
      </c>
      <c r="O201" t="str">
        <f>VLOOKUP(M201,month_lookup!A:B,2,FALSE)</f>
        <v>Dec</v>
      </c>
      <c r="P201">
        <f t="shared" si="16"/>
        <v>-200635.57</v>
      </c>
    </row>
    <row r="202" spans="1:16" x14ac:dyDescent="0.25">
      <c r="A202" t="s">
        <v>22</v>
      </c>
      <c r="B202" s="1">
        <v>243176.92</v>
      </c>
      <c r="C202">
        <v>202250.23999999999</v>
      </c>
      <c r="D202" s="2">
        <v>44015</v>
      </c>
      <c r="E202" t="s">
        <v>50</v>
      </c>
      <c r="F202" t="s">
        <v>53</v>
      </c>
      <c r="G202" t="s">
        <v>25</v>
      </c>
      <c r="H202" t="s">
        <v>89</v>
      </c>
      <c r="I202" t="s">
        <v>27</v>
      </c>
      <c r="J202" t="s">
        <v>338</v>
      </c>
      <c r="L202">
        <f t="shared" si="13"/>
        <v>202007</v>
      </c>
      <c r="M202">
        <f t="shared" si="14"/>
        <v>7</v>
      </c>
      <c r="N202">
        <f t="shared" si="15"/>
        <v>2020</v>
      </c>
      <c r="O202" t="str">
        <f>VLOOKUP(M202,month_lookup!A:B,2,FALSE)</f>
        <v>Jul</v>
      </c>
      <c r="P202">
        <f t="shared" si="16"/>
        <v>243176.92</v>
      </c>
    </row>
    <row r="203" spans="1:16" x14ac:dyDescent="0.25">
      <c r="A203" t="s">
        <v>22</v>
      </c>
      <c r="B203" s="1">
        <v>52227.07</v>
      </c>
      <c r="C203">
        <v>45124.19</v>
      </c>
      <c r="D203" s="2">
        <v>43538</v>
      </c>
      <c r="E203" t="s">
        <v>10</v>
      </c>
      <c r="F203" t="s">
        <v>39</v>
      </c>
      <c r="G203" t="s">
        <v>25</v>
      </c>
      <c r="H203" t="s">
        <v>75</v>
      </c>
      <c r="I203" t="s">
        <v>27</v>
      </c>
      <c r="J203" t="s">
        <v>339</v>
      </c>
      <c r="L203">
        <f t="shared" si="13"/>
        <v>201903</v>
      </c>
      <c r="M203">
        <f t="shared" si="14"/>
        <v>3</v>
      </c>
      <c r="N203">
        <f t="shared" si="15"/>
        <v>2019</v>
      </c>
      <c r="O203" t="str">
        <f>VLOOKUP(M203,month_lookup!A:B,2,FALSE)</f>
        <v>Mar</v>
      </c>
      <c r="P203">
        <f t="shared" si="16"/>
        <v>-52227.07</v>
      </c>
    </row>
    <row r="204" spans="1:16" x14ac:dyDescent="0.25">
      <c r="A204" t="s">
        <v>100</v>
      </c>
      <c r="B204" s="1">
        <v>147672.87</v>
      </c>
      <c r="C204">
        <v>129110.39</v>
      </c>
      <c r="D204" s="2">
        <v>43753</v>
      </c>
      <c r="E204" t="s">
        <v>79</v>
      </c>
      <c r="F204" t="s">
        <v>340</v>
      </c>
      <c r="G204" t="s">
        <v>102</v>
      </c>
      <c r="H204" t="s">
        <v>161</v>
      </c>
      <c r="I204" t="s">
        <v>27</v>
      </c>
      <c r="J204" t="s">
        <v>341</v>
      </c>
      <c r="L204">
        <f t="shared" si="13"/>
        <v>201910</v>
      </c>
      <c r="M204">
        <f t="shared" si="14"/>
        <v>10</v>
      </c>
      <c r="N204">
        <f t="shared" si="15"/>
        <v>2019</v>
      </c>
      <c r="O204" t="str">
        <f>VLOOKUP(M204,month_lookup!A:B,2,FALSE)</f>
        <v>Oct</v>
      </c>
      <c r="P204">
        <f t="shared" si="16"/>
        <v>-147672.87</v>
      </c>
    </row>
    <row r="205" spans="1:16" x14ac:dyDescent="0.25">
      <c r="A205" t="s">
        <v>52</v>
      </c>
      <c r="B205" s="1">
        <v>149500.60999999999</v>
      </c>
      <c r="C205">
        <v>125401.11</v>
      </c>
      <c r="D205" s="2">
        <v>44036</v>
      </c>
      <c r="E205" t="s">
        <v>17</v>
      </c>
      <c r="F205" t="s">
        <v>147</v>
      </c>
      <c r="G205" t="s">
        <v>54</v>
      </c>
      <c r="H205" t="s">
        <v>127</v>
      </c>
      <c r="I205" t="s">
        <v>27</v>
      </c>
      <c r="J205" t="s">
        <v>342</v>
      </c>
      <c r="L205">
        <f t="shared" si="13"/>
        <v>202007</v>
      </c>
      <c r="M205">
        <f t="shared" si="14"/>
        <v>7</v>
      </c>
      <c r="N205">
        <f t="shared" si="15"/>
        <v>2020</v>
      </c>
      <c r="O205" t="str">
        <f>VLOOKUP(M205,month_lookup!A:B,2,FALSE)</f>
        <v>Jul</v>
      </c>
      <c r="P205">
        <f t="shared" si="16"/>
        <v>149500.60999999999</v>
      </c>
    </row>
    <row r="206" spans="1:16" x14ac:dyDescent="0.25">
      <c r="A206" t="s">
        <v>52</v>
      </c>
      <c r="B206" s="1">
        <v>53089.52</v>
      </c>
      <c r="C206">
        <v>44812.86</v>
      </c>
      <c r="D206" s="2">
        <v>43701</v>
      </c>
      <c r="E206" t="s">
        <v>29</v>
      </c>
      <c r="F206" t="s">
        <v>11</v>
      </c>
      <c r="G206" t="s">
        <v>54</v>
      </c>
      <c r="H206" t="s">
        <v>127</v>
      </c>
      <c r="I206" t="s">
        <v>27</v>
      </c>
      <c r="J206" t="s">
        <v>343</v>
      </c>
      <c r="L206">
        <f t="shared" si="13"/>
        <v>201908</v>
      </c>
      <c r="M206">
        <f t="shared" si="14"/>
        <v>8</v>
      </c>
      <c r="N206">
        <f t="shared" si="15"/>
        <v>2019</v>
      </c>
      <c r="O206" t="str">
        <f>VLOOKUP(M206,month_lookup!A:B,2,FALSE)</f>
        <v>Aug</v>
      </c>
      <c r="P206">
        <f t="shared" si="16"/>
        <v>-53089.52</v>
      </c>
    </row>
    <row r="207" spans="1:16" x14ac:dyDescent="0.25">
      <c r="A207" t="s">
        <v>52</v>
      </c>
      <c r="B207" s="1">
        <v>85223.07</v>
      </c>
      <c r="C207">
        <v>73002.080000000002</v>
      </c>
      <c r="D207" s="2">
        <v>43723</v>
      </c>
      <c r="E207" t="s">
        <v>29</v>
      </c>
      <c r="F207" t="s">
        <v>134</v>
      </c>
      <c r="G207" t="s">
        <v>54</v>
      </c>
      <c r="H207" t="s">
        <v>55</v>
      </c>
      <c r="I207" t="s">
        <v>27</v>
      </c>
      <c r="J207" t="s">
        <v>344</v>
      </c>
      <c r="L207">
        <f t="shared" si="13"/>
        <v>201909</v>
      </c>
      <c r="M207">
        <f t="shared" si="14"/>
        <v>9</v>
      </c>
      <c r="N207">
        <f t="shared" si="15"/>
        <v>2019</v>
      </c>
      <c r="O207" t="str">
        <f>VLOOKUP(M207,month_lookup!A:B,2,FALSE)</f>
        <v>Sep</v>
      </c>
      <c r="P207">
        <f t="shared" si="16"/>
        <v>-85223.07</v>
      </c>
    </row>
    <row r="208" spans="1:16" x14ac:dyDescent="0.25">
      <c r="A208" t="s">
        <v>345</v>
      </c>
      <c r="B208" s="1">
        <v>58948.52</v>
      </c>
      <c r="C208">
        <v>49416.54</v>
      </c>
      <c r="D208" s="2">
        <v>43971</v>
      </c>
      <c r="E208" t="s">
        <v>23</v>
      </c>
      <c r="F208" t="s">
        <v>63</v>
      </c>
      <c r="G208" t="s">
        <v>346</v>
      </c>
      <c r="H208" t="s">
        <v>347</v>
      </c>
      <c r="I208" t="s">
        <v>27</v>
      </c>
      <c r="J208" t="s">
        <v>348</v>
      </c>
      <c r="L208">
        <f t="shared" si="13"/>
        <v>202005</v>
      </c>
      <c r="M208">
        <f t="shared" si="14"/>
        <v>5</v>
      </c>
      <c r="N208">
        <f t="shared" si="15"/>
        <v>2020</v>
      </c>
      <c r="O208" t="str">
        <f>VLOOKUP(M208,month_lookup!A:B,2,FALSE)</f>
        <v>May</v>
      </c>
      <c r="P208">
        <f t="shared" si="16"/>
        <v>58948.52</v>
      </c>
    </row>
    <row r="209" spans="1:16" x14ac:dyDescent="0.25">
      <c r="A209" t="s">
        <v>22</v>
      </c>
      <c r="B209" s="1">
        <v>165696.9</v>
      </c>
      <c r="C209">
        <v>132275.84</v>
      </c>
      <c r="D209" s="2">
        <v>44126</v>
      </c>
      <c r="E209" t="s">
        <v>79</v>
      </c>
      <c r="F209" t="s">
        <v>91</v>
      </c>
      <c r="G209" t="s">
        <v>25</v>
      </c>
      <c r="H209" t="s">
        <v>31</v>
      </c>
      <c r="I209" t="s">
        <v>27</v>
      </c>
      <c r="J209" t="s">
        <v>349</v>
      </c>
      <c r="L209">
        <f t="shared" si="13"/>
        <v>202010</v>
      </c>
      <c r="M209">
        <f t="shared" si="14"/>
        <v>10</v>
      </c>
      <c r="N209">
        <f t="shared" si="15"/>
        <v>2020</v>
      </c>
      <c r="O209" t="str">
        <f>VLOOKUP(M209,month_lookup!A:B,2,FALSE)</f>
        <v>Oct</v>
      </c>
      <c r="P209">
        <f t="shared" si="16"/>
        <v>165696.9</v>
      </c>
    </row>
    <row r="210" spans="1:16" x14ac:dyDescent="0.25">
      <c r="A210" t="s">
        <v>9</v>
      </c>
      <c r="B210" s="1">
        <v>177993.88</v>
      </c>
      <c r="C210">
        <v>145029.41</v>
      </c>
      <c r="D210" s="2">
        <v>43801</v>
      </c>
      <c r="E210" t="s">
        <v>61</v>
      </c>
      <c r="F210" t="s">
        <v>34</v>
      </c>
      <c r="G210" t="s">
        <v>12</v>
      </c>
      <c r="H210" t="s">
        <v>81</v>
      </c>
      <c r="I210" t="s">
        <v>37</v>
      </c>
      <c r="J210" t="s">
        <v>350</v>
      </c>
      <c r="L210">
        <f t="shared" si="13"/>
        <v>201912</v>
      </c>
      <c r="M210">
        <f t="shared" si="14"/>
        <v>12</v>
      </c>
      <c r="N210">
        <f t="shared" si="15"/>
        <v>2019</v>
      </c>
      <c r="O210" t="str">
        <f>VLOOKUP(M210,month_lookup!A:B,2,FALSE)</f>
        <v>Dec</v>
      </c>
      <c r="P210">
        <f t="shared" si="16"/>
        <v>-177993.88</v>
      </c>
    </row>
    <row r="211" spans="1:16" x14ac:dyDescent="0.25">
      <c r="A211" t="s">
        <v>52</v>
      </c>
      <c r="B211" s="1">
        <v>108713.83</v>
      </c>
      <c r="C211">
        <v>90341.19</v>
      </c>
      <c r="D211" s="2">
        <v>43899</v>
      </c>
      <c r="E211" t="s">
        <v>23</v>
      </c>
      <c r="F211" t="s">
        <v>30</v>
      </c>
      <c r="G211" t="s">
        <v>54</v>
      </c>
      <c r="H211" t="s">
        <v>71</v>
      </c>
      <c r="I211" t="s">
        <v>27</v>
      </c>
      <c r="J211" t="s">
        <v>351</v>
      </c>
      <c r="L211">
        <f t="shared" si="13"/>
        <v>202003</v>
      </c>
      <c r="M211">
        <f t="shared" si="14"/>
        <v>3</v>
      </c>
      <c r="N211">
        <f t="shared" si="15"/>
        <v>2020</v>
      </c>
      <c r="O211" t="str">
        <f>VLOOKUP(M211,month_lookup!A:B,2,FALSE)</f>
        <v>Mar</v>
      </c>
      <c r="P211">
        <f t="shared" si="16"/>
        <v>108713.83</v>
      </c>
    </row>
    <row r="212" spans="1:16" x14ac:dyDescent="0.25">
      <c r="A212" t="s">
        <v>16</v>
      </c>
      <c r="B212" s="1">
        <v>25816.05</v>
      </c>
      <c r="C212">
        <v>21447.97</v>
      </c>
      <c r="D212" s="2">
        <v>43716</v>
      </c>
      <c r="E212" t="s">
        <v>23</v>
      </c>
      <c r="F212" t="s">
        <v>173</v>
      </c>
      <c r="G212" t="s">
        <v>19</v>
      </c>
      <c r="H212" t="s">
        <v>352</v>
      </c>
      <c r="I212" t="s">
        <v>14</v>
      </c>
      <c r="J212" t="s">
        <v>353</v>
      </c>
      <c r="L212">
        <f t="shared" si="13"/>
        <v>201909</v>
      </c>
      <c r="M212">
        <f t="shared" si="14"/>
        <v>9</v>
      </c>
      <c r="N212">
        <f t="shared" si="15"/>
        <v>2019</v>
      </c>
      <c r="O212" t="str">
        <f>VLOOKUP(M212,month_lookup!A:B,2,FALSE)</f>
        <v>Sep</v>
      </c>
      <c r="P212">
        <f t="shared" si="16"/>
        <v>-25816.05</v>
      </c>
    </row>
    <row r="213" spans="1:16" x14ac:dyDescent="0.25">
      <c r="A213" t="s">
        <v>22</v>
      </c>
      <c r="B213" s="1">
        <v>154072.89000000001</v>
      </c>
      <c r="C213">
        <v>121887.06</v>
      </c>
      <c r="D213" s="2">
        <v>44104</v>
      </c>
      <c r="E213" t="s">
        <v>29</v>
      </c>
      <c r="F213" t="s">
        <v>70</v>
      </c>
      <c r="G213" t="s">
        <v>25</v>
      </c>
      <c r="H213" t="s">
        <v>26</v>
      </c>
      <c r="I213" t="s">
        <v>27</v>
      </c>
      <c r="J213" t="s">
        <v>354</v>
      </c>
      <c r="L213">
        <f t="shared" si="13"/>
        <v>202009</v>
      </c>
      <c r="M213">
        <f t="shared" si="14"/>
        <v>9</v>
      </c>
      <c r="N213">
        <f t="shared" si="15"/>
        <v>2020</v>
      </c>
      <c r="O213" t="str">
        <f>VLOOKUP(M213,month_lookup!A:B,2,FALSE)</f>
        <v>Sep</v>
      </c>
      <c r="P213">
        <f t="shared" si="16"/>
        <v>154072.89000000001</v>
      </c>
    </row>
    <row r="214" spans="1:16" x14ac:dyDescent="0.25">
      <c r="A214" t="s">
        <v>16</v>
      </c>
      <c r="B214" s="1">
        <v>194962.05</v>
      </c>
      <c r="C214">
        <v>154975.32999999999</v>
      </c>
      <c r="D214" s="2">
        <v>44017</v>
      </c>
      <c r="E214" t="s">
        <v>50</v>
      </c>
      <c r="F214" t="s">
        <v>70</v>
      </c>
      <c r="G214" t="s">
        <v>19</v>
      </c>
      <c r="H214" t="s">
        <v>352</v>
      </c>
      <c r="I214" t="s">
        <v>27</v>
      </c>
      <c r="J214" t="s">
        <v>355</v>
      </c>
      <c r="L214">
        <f t="shared" si="13"/>
        <v>202007</v>
      </c>
      <c r="M214">
        <f t="shared" si="14"/>
        <v>7</v>
      </c>
      <c r="N214">
        <f t="shared" si="15"/>
        <v>2020</v>
      </c>
      <c r="O214" t="str">
        <f>VLOOKUP(M214,month_lookup!A:B,2,FALSE)</f>
        <v>Jul</v>
      </c>
      <c r="P214">
        <f t="shared" si="16"/>
        <v>194962.05</v>
      </c>
    </row>
    <row r="215" spans="1:16" x14ac:dyDescent="0.25">
      <c r="A215" t="s">
        <v>22</v>
      </c>
      <c r="B215" s="1">
        <v>60744.83</v>
      </c>
      <c r="C215">
        <v>52805.48</v>
      </c>
      <c r="D215" s="2">
        <v>43909</v>
      </c>
      <c r="E215" t="s">
        <v>59</v>
      </c>
      <c r="F215" t="s">
        <v>53</v>
      </c>
      <c r="G215" t="s">
        <v>25</v>
      </c>
      <c r="H215" t="s">
        <v>218</v>
      </c>
      <c r="I215" t="s">
        <v>27</v>
      </c>
      <c r="J215" t="s">
        <v>356</v>
      </c>
      <c r="L215">
        <f t="shared" si="13"/>
        <v>202003</v>
      </c>
      <c r="M215">
        <f t="shared" si="14"/>
        <v>3</v>
      </c>
      <c r="N215">
        <f t="shared" si="15"/>
        <v>2020</v>
      </c>
      <c r="O215" t="str">
        <f>VLOOKUP(M215,month_lookup!A:B,2,FALSE)</f>
        <v>Mar</v>
      </c>
      <c r="P215">
        <f t="shared" si="16"/>
        <v>60744.83</v>
      </c>
    </row>
    <row r="216" spans="1:16" x14ac:dyDescent="0.25">
      <c r="A216" t="s">
        <v>9</v>
      </c>
      <c r="B216" s="1">
        <v>39313.39</v>
      </c>
      <c r="C216">
        <v>34273.410000000003</v>
      </c>
      <c r="D216" s="2">
        <v>44114</v>
      </c>
      <c r="E216" t="s">
        <v>29</v>
      </c>
      <c r="F216" t="s">
        <v>253</v>
      </c>
      <c r="G216" t="s">
        <v>12</v>
      </c>
      <c r="H216" t="s">
        <v>68</v>
      </c>
      <c r="I216" t="s">
        <v>14</v>
      </c>
      <c r="J216" t="s">
        <v>357</v>
      </c>
      <c r="L216">
        <f t="shared" si="13"/>
        <v>202010</v>
      </c>
      <c r="M216">
        <f t="shared" si="14"/>
        <v>10</v>
      </c>
      <c r="N216">
        <f t="shared" si="15"/>
        <v>2020</v>
      </c>
      <c r="O216" t="str">
        <f>VLOOKUP(M216,month_lookup!A:B,2,FALSE)</f>
        <v>Oct</v>
      </c>
      <c r="P216">
        <f t="shared" si="16"/>
        <v>39313.39</v>
      </c>
    </row>
    <row r="217" spans="1:16" x14ac:dyDescent="0.25">
      <c r="A217" t="s">
        <v>52</v>
      </c>
      <c r="B217" s="1">
        <v>119820.82</v>
      </c>
      <c r="C217">
        <v>98289.02</v>
      </c>
      <c r="D217" s="2">
        <v>43632</v>
      </c>
      <c r="E217" t="s">
        <v>50</v>
      </c>
      <c r="F217" t="s">
        <v>109</v>
      </c>
      <c r="G217" t="s">
        <v>54</v>
      </c>
      <c r="H217" t="s">
        <v>71</v>
      </c>
      <c r="I217" t="s">
        <v>27</v>
      </c>
      <c r="J217" t="s">
        <v>358</v>
      </c>
      <c r="L217">
        <f t="shared" si="13"/>
        <v>201906</v>
      </c>
      <c r="M217">
        <f t="shared" si="14"/>
        <v>6</v>
      </c>
      <c r="N217">
        <f t="shared" si="15"/>
        <v>2019</v>
      </c>
      <c r="O217" t="str">
        <f>VLOOKUP(M217,month_lookup!A:B,2,FALSE)</f>
        <v>Jun</v>
      </c>
      <c r="P217">
        <f t="shared" si="16"/>
        <v>-119820.82</v>
      </c>
    </row>
    <row r="218" spans="1:16" x14ac:dyDescent="0.25">
      <c r="A218" t="s">
        <v>44</v>
      </c>
      <c r="B218" s="1">
        <v>129485.51</v>
      </c>
      <c r="C218">
        <v>112794.83</v>
      </c>
      <c r="D218" s="2">
        <v>43470</v>
      </c>
      <c r="E218" t="s">
        <v>50</v>
      </c>
      <c r="F218" t="s">
        <v>181</v>
      </c>
      <c r="G218" t="s">
        <v>47</v>
      </c>
      <c r="H218" t="s">
        <v>73</v>
      </c>
      <c r="I218" t="s">
        <v>27</v>
      </c>
      <c r="J218" t="s">
        <v>359</v>
      </c>
      <c r="L218">
        <f t="shared" si="13"/>
        <v>201901</v>
      </c>
      <c r="M218">
        <f t="shared" si="14"/>
        <v>1</v>
      </c>
      <c r="N218">
        <f t="shared" si="15"/>
        <v>2019</v>
      </c>
      <c r="O218" t="str">
        <f>VLOOKUP(M218,month_lookup!A:B,2,FALSE)</f>
        <v>Jan</v>
      </c>
      <c r="P218">
        <f t="shared" si="16"/>
        <v>-129485.51</v>
      </c>
    </row>
    <row r="219" spans="1:16" x14ac:dyDescent="0.25">
      <c r="A219" t="s">
        <v>137</v>
      </c>
      <c r="B219" s="1">
        <v>163203.64000000001</v>
      </c>
      <c r="C219">
        <v>140893.70000000001</v>
      </c>
      <c r="D219" s="2">
        <v>43637</v>
      </c>
      <c r="E219" t="s">
        <v>59</v>
      </c>
      <c r="F219" t="s">
        <v>57</v>
      </c>
      <c r="G219" t="s">
        <v>139</v>
      </c>
      <c r="H219" t="s">
        <v>140</v>
      </c>
      <c r="I219" t="s">
        <v>27</v>
      </c>
      <c r="J219" t="s">
        <v>360</v>
      </c>
      <c r="L219">
        <f t="shared" si="13"/>
        <v>201906</v>
      </c>
      <c r="M219">
        <f t="shared" si="14"/>
        <v>6</v>
      </c>
      <c r="N219">
        <f t="shared" si="15"/>
        <v>2019</v>
      </c>
      <c r="O219" t="str">
        <f>VLOOKUP(M219,month_lookup!A:B,2,FALSE)</f>
        <v>Jun</v>
      </c>
      <c r="P219">
        <f t="shared" si="16"/>
        <v>-163203.64000000001</v>
      </c>
    </row>
    <row r="220" spans="1:16" x14ac:dyDescent="0.25">
      <c r="A220" t="s">
        <v>52</v>
      </c>
      <c r="B220" s="1">
        <v>62788.04</v>
      </c>
      <c r="C220">
        <v>53049.61</v>
      </c>
      <c r="D220" s="2">
        <v>43874</v>
      </c>
      <c r="E220" t="s">
        <v>50</v>
      </c>
      <c r="F220" t="s">
        <v>159</v>
      </c>
      <c r="G220" t="s">
        <v>54</v>
      </c>
      <c r="H220" t="s">
        <v>143</v>
      </c>
      <c r="I220" t="s">
        <v>27</v>
      </c>
      <c r="J220" t="s">
        <v>361</v>
      </c>
      <c r="L220">
        <f t="shared" si="13"/>
        <v>202002</v>
      </c>
      <c r="M220">
        <f t="shared" si="14"/>
        <v>2</v>
      </c>
      <c r="N220">
        <f t="shared" si="15"/>
        <v>2020</v>
      </c>
      <c r="O220" t="str">
        <f>VLOOKUP(M220,month_lookup!A:B,2,FALSE)</f>
        <v>Feb</v>
      </c>
      <c r="P220">
        <f t="shared" si="16"/>
        <v>62788.04</v>
      </c>
    </row>
    <row r="221" spans="1:16" x14ac:dyDescent="0.25">
      <c r="A221" t="s">
        <v>22</v>
      </c>
      <c r="B221" s="1">
        <v>148037.71</v>
      </c>
      <c r="C221">
        <v>117867.62</v>
      </c>
      <c r="D221" s="2">
        <v>43935</v>
      </c>
      <c r="E221" t="s">
        <v>79</v>
      </c>
      <c r="F221" t="s">
        <v>88</v>
      </c>
      <c r="G221" t="s">
        <v>25</v>
      </c>
      <c r="H221" t="s">
        <v>75</v>
      </c>
      <c r="I221" t="s">
        <v>27</v>
      </c>
      <c r="J221" t="s">
        <v>362</v>
      </c>
      <c r="L221">
        <f t="shared" si="13"/>
        <v>202004</v>
      </c>
      <c r="M221">
        <f t="shared" si="14"/>
        <v>4</v>
      </c>
      <c r="N221">
        <f t="shared" si="15"/>
        <v>2020</v>
      </c>
      <c r="O221" t="str">
        <f>VLOOKUP(M221,month_lookup!A:B,2,FALSE)</f>
        <v>Apr</v>
      </c>
      <c r="P221">
        <f t="shared" si="16"/>
        <v>148037.71</v>
      </c>
    </row>
    <row r="222" spans="1:16" x14ac:dyDescent="0.25">
      <c r="A222" t="s">
        <v>172</v>
      </c>
      <c r="B222" s="1">
        <v>55539.67</v>
      </c>
      <c r="C222">
        <v>45620.29</v>
      </c>
      <c r="D222" s="2">
        <v>43911</v>
      </c>
      <c r="E222" t="s">
        <v>79</v>
      </c>
      <c r="F222" t="s">
        <v>159</v>
      </c>
      <c r="G222" t="s">
        <v>174</v>
      </c>
      <c r="H222" t="s">
        <v>211</v>
      </c>
      <c r="I222" t="s">
        <v>27</v>
      </c>
      <c r="J222" t="s">
        <v>363</v>
      </c>
      <c r="L222">
        <f t="shared" si="13"/>
        <v>202003</v>
      </c>
      <c r="M222">
        <f t="shared" si="14"/>
        <v>3</v>
      </c>
      <c r="N222">
        <f t="shared" si="15"/>
        <v>2020</v>
      </c>
      <c r="O222" t="str">
        <f>VLOOKUP(M222,month_lookup!A:B,2,FALSE)</f>
        <v>Mar</v>
      </c>
      <c r="P222">
        <f t="shared" si="16"/>
        <v>55539.67</v>
      </c>
    </row>
    <row r="223" spans="1:16" x14ac:dyDescent="0.25">
      <c r="A223" t="s">
        <v>52</v>
      </c>
      <c r="B223" s="1">
        <v>150135</v>
      </c>
      <c r="C223">
        <v>131067.85</v>
      </c>
      <c r="D223" s="2">
        <v>44083</v>
      </c>
      <c r="E223" t="s">
        <v>59</v>
      </c>
      <c r="F223" t="s">
        <v>24</v>
      </c>
      <c r="G223" t="s">
        <v>54</v>
      </c>
      <c r="H223" t="s">
        <v>143</v>
      </c>
      <c r="I223" t="s">
        <v>27</v>
      </c>
      <c r="J223" t="s">
        <v>364</v>
      </c>
      <c r="L223">
        <f t="shared" si="13"/>
        <v>202009</v>
      </c>
      <c r="M223">
        <f t="shared" si="14"/>
        <v>9</v>
      </c>
      <c r="N223">
        <f t="shared" si="15"/>
        <v>2020</v>
      </c>
      <c r="O223" t="str">
        <f>VLOOKUP(M223,month_lookup!A:B,2,FALSE)</f>
        <v>Sep</v>
      </c>
      <c r="P223">
        <f t="shared" si="16"/>
        <v>150135</v>
      </c>
    </row>
    <row r="224" spans="1:16" x14ac:dyDescent="0.25">
      <c r="A224" t="s">
        <v>172</v>
      </c>
      <c r="B224" s="1">
        <v>85294.3</v>
      </c>
      <c r="C224">
        <v>72662.210000000006</v>
      </c>
      <c r="D224" s="2">
        <v>43915</v>
      </c>
      <c r="E224" t="s">
        <v>29</v>
      </c>
      <c r="F224" t="s">
        <v>177</v>
      </c>
      <c r="G224" t="s">
        <v>174</v>
      </c>
      <c r="H224" t="s">
        <v>175</v>
      </c>
      <c r="I224" t="s">
        <v>27</v>
      </c>
      <c r="J224" t="s">
        <v>365</v>
      </c>
      <c r="L224">
        <f t="shared" si="13"/>
        <v>202003</v>
      </c>
      <c r="M224">
        <f t="shared" si="14"/>
        <v>3</v>
      </c>
      <c r="N224">
        <f t="shared" si="15"/>
        <v>2020</v>
      </c>
      <c r="O224" t="str">
        <f>VLOOKUP(M224,month_lookup!A:B,2,FALSE)</f>
        <v>Mar</v>
      </c>
      <c r="P224">
        <f t="shared" si="16"/>
        <v>85294.3</v>
      </c>
    </row>
    <row r="225" spans="1:16" x14ac:dyDescent="0.25">
      <c r="A225" t="s">
        <v>105</v>
      </c>
      <c r="B225" s="1">
        <v>136079.62</v>
      </c>
      <c r="C225">
        <v>119178.53</v>
      </c>
      <c r="D225" s="2">
        <v>43706</v>
      </c>
      <c r="E225" t="s">
        <v>17</v>
      </c>
      <c r="F225" t="s">
        <v>187</v>
      </c>
      <c r="G225" t="s">
        <v>106</v>
      </c>
      <c r="H225" t="s">
        <v>107</v>
      </c>
      <c r="I225" t="s">
        <v>27</v>
      </c>
      <c r="J225" t="s">
        <v>366</v>
      </c>
      <c r="L225">
        <f t="shared" si="13"/>
        <v>201908</v>
      </c>
      <c r="M225">
        <f t="shared" si="14"/>
        <v>8</v>
      </c>
      <c r="N225">
        <f t="shared" si="15"/>
        <v>2019</v>
      </c>
      <c r="O225" t="str">
        <f>VLOOKUP(M225,month_lookup!A:B,2,FALSE)</f>
        <v>Aug</v>
      </c>
      <c r="P225">
        <f t="shared" si="16"/>
        <v>-136079.62</v>
      </c>
    </row>
    <row r="226" spans="1:16" x14ac:dyDescent="0.25">
      <c r="A226" t="s">
        <v>16</v>
      </c>
      <c r="B226" s="1">
        <v>186397.6</v>
      </c>
      <c r="C226">
        <v>161233.92000000001</v>
      </c>
      <c r="D226" s="2">
        <v>44169</v>
      </c>
      <c r="E226" t="s">
        <v>50</v>
      </c>
      <c r="F226" t="s">
        <v>367</v>
      </c>
      <c r="G226" t="s">
        <v>19</v>
      </c>
      <c r="H226" t="s">
        <v>352</v>
      </c>
      <c r="I226" t="s">
        <v>14</v>
      </c>
      <c r="J226" t="s">
        <v>368</v>
      </c>
      <c r="L226">
        <f t="shared" si="13"/>
        <v>202012</v>
      </c>
      <c r="M226">
        <f t="shared" si="14"/>
        <v>12</v>
      </c>
      <c r="N226">
        <f t="shared" si="15"/>
        <v>2020</v>
      </c>
      <c r="O226" t="str">
        <f>VLOOKUP(M226,month_lookup!A:B,2,FALSE)</f>
        <v>Dec</v>
      </c>
      <c r="P226">
        <f t="shared" si="16"/>
        <v>186397.6</v>
      </c>
    </row>
    <row r="227" spans="1:16" x14ac:dyDescent="0.25">
      <c r="A227" t="s">
        <v>214</v>
      </c>
      <c r="B227" s="1">
        <v>32695.37</v>
      </c>
      <c r="C227">
        <v>26375.35</v>
      </c>
      <c r="D227" s="2">
        <v>44163</v>
      </c>
      <c r="E227" t="s">
        <v>45</v>
      </c>
      <c r="F227" t="s">
        <v>34</v>
      </c>
      <c r="G227" t="s">
        <v>215</v>
      </c>
      <c r="H227" t="s">
        <v>216</v>
      </c>
      <c r="I227" t="s">
        <v>14</v>
      </c>
      <c r="J227" t="s">
        <v>369</v>
      </c>
      <c r="L227">
        <f t="shared" si="13"/>
        <v>202011</v>
      </c>
      <c r="M227">
        <f t="shared" si="14"/>
        <v>11</v>
      </c>
      <c r="N227">
        <f t="shared" si="15"/>
        <v>2020</v>
      </c>
      <c r="O227" t="str">
        <f>VLOOKUP(M227,month_lookup!A:B,2,FALSE)</f>
        <v>Nov</v>
      </c>
      <c r="P227">
        <f t="shared" si="16"/>
        <v>32695.37</v>
      </c>
    </row>
    <row r="228" spans="1:16" x14ac:dyDescent="0.25">
      <c r="A228" t="s">
        <v>52</v>
      </c>
      <c r="B228" s="1">
        <v>86077.83</v>
      </c>
      <c r="C228">
        <v>72288.160000000003</v>
      </c>
      <c r="D228" s="2">
        <v>43772</v>
      </c>
      <c r="E228" t="s">
        <v>50</v>
      </c>
      <c r="F228" t="s">
        <v>34</v>
      </c>
      <c r="G228" t="s">
        <v>54</v>
      </c>
      <c r="H228" t="s">
        <v>71</v>
      </c>
      <c r="I228" t="s">
        <v>27</v>
      </c>
      <c r="J228" t="s">
        <v>370</v>
      </c>
      <c r="L228">
        <f t="shared" si="13"/>
        <v>201911</v>
      </c>
      <c r="M228">
        <f t="shared" si="14"/>
        <v>11</v>
      </c>
      <c r="N228">
        <f t="shared" si="15"/>
        <v>2019</v>
      </c>
      <c r="O228" t="str">
        <f>VLOOKUP(M228,month_lookup!A:B,2,FALSE)</f>
        <v>Nov</v>
      </c>
      <c r="P228">
        <f t="shared" si="16"/>
        <v>-86077.83</v>
      </c>
    </row>
    <row r="229" spans="1:16" x14ac:dyDescent="0.25">
      <c r="A229" t="s">
        <v>9</v>
      </c>
      <c r="B229" s="1">
        <v>72885.55</v>
      </c>
      <c r="C229">
        <v>59773.440000000002</v>
      </c>
      <c r="D229" s="2">
        <v>44194</v>
      </c>
      <c r="E229" t="s">
        <v>23</v>
      </c>
      <c r="F229" t="s">
        <v>34</v>
      </c>
      <c r="G229" t="s">
        <v>12</v>
      </c>
      <c r="H229" t="s">
        <v>68</v>
      </c>
      <c r="I229" t="s">
        <v>27</v>
      </c>
      <c r="J229" t="s">
        <v>371</v>
      </c>
      <c r="L229">
        <f t="shared" si="13"/>
        <v>202012</v>
      </c>
      <c r="M229">
        <f t="shared" si="14"/>
        <v>12</v>
      </c>
      <c r="N229">
        <f t="shared" si="15"/>
        <v>2020</v>
      </c>
      <c r="O229" t="str">
        <f>VLOOKUP(M229,month_lookup!A:B,2,FALSE)</f>
        <v>Dec</v>
      </c>
      <c r="P229">
        <f t="shared" si="16"/>
        <v>72885.55</v>
      </c>
    </row>
    <row r="230" spans="1:16" x14ac:dyDescent="0.25">
      <c r="A230" t="s">
        <v>22</v>
      </c>
      <c r="B230" s="1">
        <v>100469.75</v>
      </c>
      <c r="C230">
        <v>82566.039999999994</v>
      </c>
      <c r="D230" s="2">
        <v>43602</v>
      </c>
      <c r="E230" t="s">
        <v>79</v>
      </c>
      <c r="F230" t="s">
        <v>34</v>
      </c>
      <c r="G230" t="s">
        <v>25</v>
      </c>
      <c r="H230" t="s">
        <v>31</v>
      </c>
      <c r="I230" t="s">
        <v>27</v>
      </c>
      <c r="J230" t="s">
        <v>372</v>
      </c>
      <c r="L230">
        <f t="shared" si="13"/>
        <v>201905</v>
      </c>
      <c r="M230">
        <f t="shared" si="14"/>
        <v>5</v>
      </c>
      <c r="N230">
        <f t="shared" si="15"/>
        <v>2019</v>
      </c>
      <c r="O230" t="str">
        <f>VLOOKUP(M230,month_lookup!A:B,2,FALSE)</f>
        <v>May</v>
      </c>
      <c r="P230">
        <f t="shared" si="16"/>
        <v>-100469.75</v>
      </c>
    </row>
    <row r="231" spans="1:16" x14ac:dyDescent="0.25">
      <c r="A231" t="s">
        <v>9</v>
      </c>
      <c r="B231" s="1">
        <v>40831.519999999997</v>
      </c>
      <c r="C231">
        <v>34192.31</v>
      </c>
      <c r="D231" s="2">
        <v>43581</v>
      </c>
      <c r="E231" t="s">
        <v>50</v>
      </c>
      <c r="F231" t="s">
        <v>122</v>
      </c>
      <c r="G231" t="s">
        <v>12</v>
      </c>
      <c r="H231" t="s">
        <v>13</v>
      </c>
      <c r="I231" t="s">
        <v>27</v>
      </c>
      <c r="J231" t="s">
        <v>373</v>
      </c>
      <c r="L231">
        <f t="shared" si="13"/>
        <v>201904</v>
      </c>
      <c r="M231">
        <f t="shared" si="14"/>
        <v>4</v>
      </c>
      <c r="N231">
        <f t="shared" si="15"/>
        <v>2019</v>
      </c>
      <c r="O231" t="str">
        <f>VLOOKUP(M231,month_lookup!A:B,2,FALSE)</f>
        <v>Apr</v>
      </c>
      <c r="P231">
        <f t="shared" si="16"/>
        <v>-40831.519999999997</v>
      </c>
    </row>
    <row r="232" spans="1:16" x14ac:dyDescent="0.25">
      <c r="A232" t="s">
        <v>137</v>
      </c>
      <c r="B232" s="1">
        <v>142353.07</v>
      </c>
      <c r="C232">
        <v>116046.22</v>
      </c>
      <c r="D232" s="2">
        <v>43670</v>
      </c>
      <c r="E232" t="s">
        <v>10</v>
      </c>
      <c r="F232" t="s">
        <v>120</v>
      </c>
      <c r="G232" t="s">
        <v>139</v>
      </c>
      <c r="H232" t="s">
        <v>140</v>
      </c>
      <c r="I232" t="s">
        <v>27</v>
      </c>
      <c r="J232" t="s">
        <v>374</v>
      </c>
      <c r="L232">
        <f t="shared" si="13"/>
        <v>201907</v>
      </c>
      <c r="M232">
        <f t="shared" si="14"/>
        <v>7</v>
      </c>
      <c r="N232">
        <f t="shared" si="15"/>
        <v>2019</v>
      </c>
      <c r="O232" t="str">
        <f>VLOOKUP(M232,month_lookup!A:B,2,FALSE)</f>
        <v>Jul</v>
      </c>
      <c r="P232">
        <f t="shared" si="16"/>
        <v>-142353.07</v>
      </c>
    </row>
    <row r="233" spans="1:16" x14ac:dyDescent="0.25">
      <c r="A233" t="s">
        <v>9</v>
      </c>
      <c r="B233" s="1">
        <v>250315.06</v>
      </c>
      <c r="C233">
        <v>218825.43</v>
      </c>
      <c r="D233" s="2">
        <v>43654</v>
      </c>
      <c r="E233" t="s">
        <v>29</v>
      </c>
      <c r="F233" t="s">
        <v>181</v>
      </c>
      <c r="G233" t="s">
        <v>12</v>
      </c>
      <c r="H233" t="s">
        <v>81</v>
      </c>
      <c r="I233" t="s">
        <v>27</v>
      </c>
      <c r="J233" t="s">
        <v>375</v>
      </c>
      <c r="L233">
        <f t="shared" si="13"/>
        <v>201907</v>
      </c>
      <c r="M233">
        <f t="shared" si="14"/>
        <v>7</v>
      </c>
      <c r="N233">
        <f t="shared" si="15"/>
        <v>2019</v>
      </c>
      <c r="O233" t="str">
        <f>VLOOKUP(M233,month_lookup!A:B,2,FALSE)</f>
        <v>Jul</v>
      </c>
      <c r="P233">
        <f t="shared" si="16"/>
        <v>-250315.06</v>
      </c>
    </row>
    <row r="234" spans="1:16" x14ac:dyDescent="0.25">
      <c r="A234" t="s">
        <v>44</v>
      </c>
      <c r="B234" s="1">
        <v>100094.97</v>
      </c>
      <c r="C234">
        <v>84690.35</v>
      </c>
      <c r="D234" s="2">
        <v>44143</v>
      </c>
      <c r="E234" t="s">
        <v>17</v>
      </c>
      <c r="F234" t="s">
        <v>57</v>
      </c>
      <c r="G234" t="s">
        <v>47</v>
      </c>
      <c r="H234" t="s">
        <v>65</v>
      </c>
      <c r="I234" t="s">
        <v>27</v>
      </c>
      <c r="J234" t="s">
        <v>376</v>
      </c>
      <c r="L234">
        <f t="shared" si="13"/>
        <v>202011</v>
      </c>
      <c r="M234">
        <f t="shared" si="14"/>
        <v>11</v>
      </c>
      <c r="N234">
        <f t="shared" si="15"/>
        <v>2020</v>
      </c>
      <c r="O234" t="str">
        <f>VLOOKUP(M234,month_lookup!A:B,2,FALSE)</f>
        <v>Nov</v>
      </c>
      <c r="P234">
        <f t="shared" si="16"/>
        <v>100094.97</v>
      </c>
    </row>
    <row r="235" spans="1:16" x14ac:dyDescent="0.25">
      <c r="A235" t="s">
        <v>44</v>
      </c>
      <c r="B235" s="1">
        <v>77128.75</v>
      </c>
      <c r="C235">
        <v>65536.3</v>
      </c>
      <c r="D235" s="2">
        <v>44052</v>
      </c>
      <c r="E235" t="s">
        <v>10</v>
      </c>
      <c r="F235" t="s">
        <v>209</v>
      </c>
      <c r="G235" t="s">
        <v>47</v>
      </c>
      <c r="H235" t="s">
        <v>73</v>
      </c>
      <c r="I235" t="s">
        <v>14</v>
      </c>
      <c r="J235" t="s">
        <v>377</v>
      </c>
      <c r="L235">
        <f t="shared" si="13"/>
        <v>202008</v>
      </c>
      <c r="M235">
        <f t="shared" si="14"/>
        <v>8</v>
      </c>
      <c r="N235">
        <f t="shared" si="15"/>
        <v>2020</v>
      </c>
      <c r="O235" t="str">
        <f>VLOOKUP(M235,month_lookup!A:B,2,FALSE)</f>
        <v>Aug</v>
      </c>
      <c r="P235">
        <f t="shared" si="16"/>
        <v>77128.75</v>
      </c>
    </row>
    <row r="236" spans="1:16" x14ac:dyDescent="0.25">
      <c r="A236" t="s">
        <v>52</v>
      </c>
      <c r="B236" s="1">
        <v>176114.73</v>
      </c>
      <c r="C236">
        <v>149257.23000000001</v>
      </c>
      <c r="D236" s="2">
        <v>44159</v>
      </c>
      <c r="E236" t="s">
        <v>79</v>
      </c>
      <c r="F236" t="s">
        <v>34</v>
      </c>
      <c r="G236" t="s">
        <v>54</v>
      </c>
      <c r="H236" t="s">
        <v>55</v>
      </c>
      <c r="I236" t="s">
        <v>27</v>
      </c>
      <c r="J236" t="s">
        <v>378</v>
      </c>
      <c r="L236">
        <f t="shared" si="13"/>
        <v>202011</v>
      </c>
      <c r="M236">
        <f t="shared" si="14"/>
        <v>11</v>
      </c>
      <c r="N236">
        <f t="shared" si="15"/>
        <v>2020</v>
      </c>
      <c r="O236" t="str">
        <f>VLOOKUP(M236,month_lookup!A:B,2,FALSE)</f>
        <v>Nov</v>
      </c>
      <c r="P236">
        <f t="shared" si="16"/>
        <v>176114.73</v>
      </c>
    </row>
    <row r="237" spans="1:16" x14ac:dyDescent="0.25">
      <c r="A237" t="s">
        <v>52</v>
      </c>
      <c r="B237" s="1">
        <v>146325.53</v>
      </c>
      <c r="C237">
        <v>118333.46</v>
      </c>
      <c r="D237" s="2">
        <v>44052</v>
      </c>
      <c r="E237" t="s">
        <v>17</v>
      </c>
      <c r="F237" t="s">
        <v>379</v>
      </c>
      <c r="G237" t="s">
        <v>54</v>
      </c>
      <c r="H237" t="s">
        <v>127</v>
      </c>
      <c r="I237" t="s">
        <v>27</v>
      </c>
      <c r="J237" t="s">
        <v>380</v>
      </c>
      <c r="L237">
        <f t="shared" si="13"/>
        <v>202008</v>
      </c>
      <c r="M237">
        <f t="shared" si="14"/>
        <v>8</v>
      </c>
      <c r="N237">
        <f t="shared" si="15"/>
        <v>2020</v>
      </c>
      <c r="O237" t="str">
        <f>VLOOKUP(M237,month_lookup!A:B,2,FALSE)</f>
        <v>Aug</v>
      </c>
      <c r="P237">
        <f t="shared" si="16"/>
        <v>146325.53</v>
      </c>
    </row>
    <row r="238" spans="1:16" x14ac:dyDescent="0.25">
      <c r="A238" t="s">
        <v>214</v>
      </c>
      <c r="B238" s="1">
        <v>161823.46</v>
      </c>
      <c r="C238">
        <v>130494.44</v>
      </c>
      <c r="D238" s="2">
        <v>44032</v>
      </c>
      <c r="E238" t="s">
        <v>23</v>
      </c>
      <c r="F238" t="s">
        <v>113</v>
      </c>
      <c r="G238" t="s">
        <v>215</v>
      </c>
      <c r="H238" t="s">
        <v>216</v>
      </c>
      <c r="I238" t="s">
        <v>27</v>
      </c>
      <c r="J238" t="s">
        <v>381</v>
      </c>
      <c r="L238">
        <f t="shared" si="13"/>
        <v>202007</v>
      </c>
      <c r="M238">
        <f t="shared" si="14"/>
        <v>7</v>
      </c>
      <c r="N238">
        <f t="shared" si="15"/>
        <v>2020</v>
      </c>
      <c r="O238" t="str">
        <f>VLOOKUP(M238,month_lookup!A:B,2,FALSE)</f>
        <v>Jul</v>
      </c>
      <c r="P238">
        <f t="shared" si="16"/>
        <v>161823.46</v>
      </c>
    </row>
    <row r="239" spans="1:16" x14ac:dyDescent="0.25">
      <c r="A239" t="s">
        <v>9</v>
      </c>
      <c r="B239" s="1">
        <v>132632.97</v>
      </c>
      <c r="C239">
        <v>112035.07</v>
      </c>
      <c r="D239" s="2">
        <v>43578</v>
      </c>
      <c r="E239" t="s">
        <v>79</v>
      </c>
      <c r="F239" t="s">
        <v>115</v>
      </c>
      <c r="G239" t="s">
        <v>12</v>
      </c>
      <c r="H239" t="s">
        <v>68</v>
      </c>
      <c r="I239" t="s">
        <v>27</v>
      </c>
      <c r="J239" t="s">
        <v>382</v>
      </c>
      <c r="L239">
        <f t="shared" si="13"/>
        <v>201904</v>
      </c>
      <c r="M239">
        <f t="shared" si="14"/>
        <v>4</v>
      </c>
      <c r="N239">
        <f t="shared" si="15"/>
        <v>2019</v>
      </c>
      <c r="O239" t="str">
        <f>VLOOKUP(M239,month_lookup!A:B,2,FALSE)</f>
        <v>Apr</v>
      </c>
      <c r="P239">
        <f t="shared" si="16"/>
        <v>-132632.97</v>
      </c>
    </row>
    <row r="240" spans="1:16" x14ac:dyDescent="0.25">
      <c r="A240" t="s">
        <v>22</v>
      </c>
      <c r="B240" s="1">
        <v>107232.99</v>
      </c>
      <c r="C240">
        <v>85207.33</v>
      </c>
      <c r="D240" s="2">
        <v>43898</v>
      </c>
      <c r="E240" t="s">
        <v>50</v>
      </c>
      <c r="F240" t="s">
        <v>30</v>
      </c>
      <c r="G240" t="s">
        <v>25</v>
      </c>
      <c r="H240" t="s">
        <v>26</v>
      </c>
      <c r="I240" t="s">
        <v>27</v>
      </c>
      <c r="J240" t="s">
        <v>383</v>
      </c>
      <c r="L240">
        <f t="shared" si="13"/>
        <v>202003</v>
      </c>
      <c r="M240">
        <f t="shared" si="14"/>
        <v>3</v>
      </c>
      <c r="N240">
        <f t="shared" si="15"/>
        <v>2020</v>
      </c>
      <c r="O240" t="str">
        <f>VLOOKUP(M240,month_lookup!A:B,2,FALSE)</f>
        <v>Mar</v>
      </c>
      <c r="P240">
        <f t="shared" si="16"/>
        <v>107232.99</v>
      </c>
    </row>
    <row r="241" spans="1:16" x14ac:dyDescent="0.25">
      <c r="A241" t="s">
        <v>9</v>
      </c>
      <c r="B241" s="1">
        <v>120763.23</v>
      </c>
      <c r="C241">
        <v>96719.27</v>
      </c>
      <c r="D241" s="2">
        <v>43935</v>
      </c>
      <c r="E241" t="s">
        <v>23</v>
      </c>
      <c r="F241" t="s">
        <v>101</v>
      </c>
      <c r="G241" t="s">
        <v>12</v>
      </c>
      <c r="H241" t="s">
        <v>68</v>
      </c>
      <c r="I241" t="s">
        <v>27</v>
      </c>
      <c r="J241" t="s">
        <v>384</v>
      </c>
      <c r="L241">
        <f t="shared" si="13"/>
        <v>202004</v>
      </c>
      <c r="M241">
        <f t="shared" si="14"/>
        <v>4</v>
      </c>
      <c r="N241">
        <f t="shared" si="15"/>
        <v>2020</v>
      </c>
      <c r="O241" t="str">
        <f>VLOOKUP(M241,month_lookup!A:B,2,FALSE)</f>
        <v>Apr</v>
      </c>
      <c r="P241">
        <f t="shared" si="16"/>
        <v>120763.23</v>
      </c>
    </row>
    <row r="242" spans="1:16" x14ac:dyDescent="0.25">
      <c r="A242" t="s">
        <v>100</v>
      </c>
      <c r="B242" s="1">
        <v>278731.90000000002</v>
      </c>
      <c r="C242">
        <v>221591.86</v>
      </c>
      <c r="D242" s="2">
        <v>43804</v>
      </c>
      <c r="E242" t="s">
        <v>50</v>
      </c>
      <c r="F242" t="s">
        <v>187</v>
      </c>
      <c r="G242" t="s">
        <v>102</v>
      </c>
      <c r="H242" t="s">
        <v>161</v>
      </c>
      <c r="I242" t="s">
        <v>27</v>
      </c>
      <c r="J242" t="s">
        <v>385</v>
      </c>
      <c r="L242">
        <f t="shared" si="13"/>
        <v>201912</v>
      </c>
      <c r="M242">
        <f t="shared" si="14"/>
        <v>12</v>
      </c>
      <c r="N242">
        <f t="shared" si="15"/>
        <v>2019</v>
      </c>
      <c r="O242" t="str">
        <f>VLOOKUP(M242,month_lookup!A:B,2,FALSE)</f>
        <v>Dec</v>
      </c>
      <c r="P242">
        <f t="shared" si="16"/>
        <v>-278731.90000000002</v>
      </c>
    </row>
    <row r="243" spans="1:16" x14ac:dyDescent="0.25">
      <c r="A243" t="s">
        <v>100</v>
      </c>
      <c r="B243" s="1">
        <v>138153.70000000001</v>
      </c>
      <c r="C243">
        <v>112926.83</v>
      </c>
      <c r="D243" s="2">
        <v>43510</v>
      </c>
      <c r="E243" t="s">
        <v>17</v>
      </c>
      <c r="F243" t="s">
        <v>147</v>
      </c>
      <c r="G243" t="s">
        <v>102</v>
      </c>
      <c r="H243" t="s">
        <v>161</v>
      </c>
      <c r="I243" t="s">
        <v>27</v>
      </c>
      <c r="J243" t="s">
        <v>386</v>
      </c>
      <c r="L243">
        <f t="shared" si="13"/>
        <v>201902</v>
      </c>
      <c r="M243">
        <f t="shared" si="14"/>
        <v>2</v>
      </c>
      <c r="N243">
        <f t="shared" si="15"/>
        <v>2019</v>
      </c>
      <c r="O243" t="str">
        <f>VLOOKUP(M243,month_lookup!A:B,2,FALSE)</f>
        <v>Feb</v>
      </c>
      <c r="P243">
        <f t="shared" si="16"/>
        <v>-138153.70000000001</v>
      </c>
    </row>
    <row r="244" spans="1:16" x14ac:dyDescent="0.25">
      <c r="A244" t="s">
        <v>172</v>
      </c>
      <c r="B244" s="1">
        <v>68802.13</v>
      </c>
      <c r="C244">
        <v>54635.77</v>
      </c>
      <c r="D244" s="2">
        <v>44089</v>
      </c>
      <c r="E244" t="s">
        <v>29</v>
      </c>
      <c r="F244" t="s">
        <v>111</v>
      </c>
      <c r="G244" t="s">
        <v>174</v>
      </c>
      <c r="H244" t="s">
        <v>175</v>
      </c>
      <c r="I244" t="s">
        <v>27</v>
      </c>
      <c r="J244" t="s">
        <v>387</v>
      </c>
      <c r="L244">
        <f t="shared" si="13"/>
        <v>202009</v>
      </c>
      <c r="M244">
        <f t="shared" si="14"/>
        <v>9</v>
      </c>
      <c r="N244">
        <f t="shared" si="15"/>
        <v>2020</v>
      </c>
      <c r="O244" t="str">
        <f>VLOOKUP(M244,month_lookup!A:B,2,FALSE)</f>
        <v>Sep</v>
      </c>
      <c r="P244">
        <f t="shared" si="16"/>
        <v>68802.13</v>
      </c>
    </row>
    <row r="245" spans="1:16" x14ac:dyDescent="0.25">
      <c r="A245" t="s">
        <v>16</v>
      </c>
      <c r="B245" s="1">
        <v>35619.279999999999</v>
      </c>
      <c r="C245">
        <v>28192.66</v>
      </c>
      <c r="D245" s="2">
        <v>43473</v>
      </c>
      <c r="E245" t="s">
        <v>79</v>
      </c>
      <c r="F245" t="s">
        <v>101</v>
      </c>
      <c r="G245" t="s">
        <v>19</v>
      </c>
      <c r="H245" t="s">
        <v>20</v>
      </c>
      <c r="I245" t="s">
        <v>27</v>
      </c>
      <c r="J245" t="s">
        <v>388</v>
      </c>
      <c r="L245">
        <f t="shared" si="13"/>
        <v>201901</v>
      </c>
      <c r="M245">
        <f t="shared" si="14"/>
        <v>1</v>
      </c>
      <c r="N245">
        <f t="shared" si="15"/>
        <v>2019</v>
      </c>
      <c r="O245" t="str">
        <f>VLOOKUP(M245,month_lookup!A:B,2,FALSE)</f>
        <v>Jan</v>
      </c>
      <c r="P245">
        <f t="shared" si="16"/>
        <v>-35619.279999999999</v>
      </c>
    </row>
    <row r="246" spans="1:16" x14ac:dyDescent="0.25">
      <c r="A246" t="s">
        <v>44</v>
      </c>
      <c r="B246" s="1">
        <v>65014.84</v>
      </c>
      <c r="C246">
        <v>53669.75</v>
      </c>
      <c r="D246" s="2">
        <v>43917</v>
      </c>
      <c r="E246" t="s">
        <v>61</v>
      </c>
      <c r="F246" t="s">
        <v>209</v>
      </c>
      <c r="G246" t="s">
        <v>47</v>
      </c>
      <c r="H246" t="s">
        <v>65</v>
      </c>
      <c r="I246" t="s">
        <v>14</v>
      </c>
      <c r="J246" t="s">
        <v>389</v>
      </c>
      <c r="L246">
        <f t="shared" si="13"/>
        <v>202003</v>
      </c>
      <c r="M246">
        <f t="shared" si="14"/>
        <v>3</v>
      </c>
      <c r="N246">
        <f t="shared" si="15"/>
        <v>2020</v>
      </c>
      <c r="O246" t="str">
        <f>VLOOKUP(M246,month_lookup!A:B,2,FALSE)</f>
        <v>Mar</v>
      </c>
      <c r="P246">
        <f t="shared" si="16"/>
        <v>65014.84</v>
      </c>
    </row>
    <row r="247" spans="1:16" x14ac:dyDescent="0.25">
      <c r="A247" t="s">
        <v>214</v>
      </c>
      <c r="B247" s="1">
        <v>48922.42</v>
      </c>
      <c r="C247">
        <v>39387.440000000002</v>
      </c>
      <c r="D247" s="2">
        <v>44123</v>
      </c>
      <c r="E247" t="s">
        <v>61</v>
      </c>
      <c r="F247" t="s">
        <v>101</v>
      </c>
      <c r="G247" t="s">
        <v>215</v>
      </c>
      <c r="H247" t="s">
        <v>216</v>
      </c>
      <c r="I247" t="s">
        <v>37</v>
      </c>
      <c r="J247" t="s">
        <v>390</v>
      </c>
      <c r="L247">
        <f t="shared" si="13"/>
        <v>202010</v>
      </c>
      <c r="M247">
        <f t="shared" si="14"/>
        <v>10</v>
      </c>
      <c r="N247">
        <f t="shared" si="15"/>
        <v>2020</v>
      </c>
      <c r="O247" t="str">
        <f>VLOOKUP(M247,month_lookup!A:B,2,FALSE)</f>
        <v>Oct</v>
      </c>
      <c r="P247">
        <f t="shared" si="16"/>
        <v>48922.42</v>
      </c>
    </row>
    <row r="248" spans="1:16" x14ac:dyDescent="0.25">
      <c r="A248" t="s">
        <v>52</v>
      </c>
      <c r="B248" s="1">
        <v>165262.34</v>
      </c>
      <c r="C248">
        <v>142621.4</v>
      </c>
      <c r="D248" s="2">
        <v>43970</v>
      </c>
      <c r="E248" t="s">
        <v>79</v>
      </c>
      <c r="F248" t="s">
        <v>159</v>
      </c>
      <c r="G248" t="s">
        <v>54</v>
      </c>
      <c r="H248" t="s">
        <v>71</v>
      </c>
      <c r="I248" t="s">
        <v>14</v>
      </c>
      <c r="J248" t="s">
        <v>391</v>
      </c>
      <c r="L248">
        <f t="shared" si="13"/>
        <v>202005</v>
      </c>
      <c r="M248">
        <f t="shared" si="14"/>
        <v>5</v>
      </c>
      <c r="N248">
        <f t="shared" si="15"/>
        <v>2020</v>
      </c>
      <c r="O248" t="str">
        <f>VLOOKUP(M248,month_lookup!A:B,2,FALSE)</f>
        <v>May</v>
      </c>
      <c r="P248">
        <f t="shared" si="16"/>
        <v>165262.34</v>
      </c>
    </row>
    <row r="249" spans="1:16" x14ac:dyDescent="0.25">
      <c r="A249" t="s">
        <v>22</v>
      </c>
      <c r="B249" s="1">
        <v>164117.24</v>
      </c>
      <c r="C249">
        <v>133509.37</v>
      </c>
      <c r="D249" s="2">
        <v>43979</v>
      </c>
      <c r="E249" t="s">
        <v>79</v>
      </c>
      <c r="F249" t="s">
        <v>177</v>
      </c>
      <c r="G249" t="s">
        <v>25</v>
      </c>
      <c r="H249" t="s">
        <v>75</v>
      </c>
      <c r="I249" t="s">
        <v>27</v>
      </c>
      <c r="J249" t="s">
        <v>392</v>
      </c>
      <c r="L249">
        <f t="shared" si="13"/>
        <v>202005</v>
      </c>
      <c r="M249">
        <f t="shared" si="14"/>
        <v>5</v>
      </c>
      <c r="N249">
        <f t="shared" si="15"/>
        <v>2020</v>
      </c>
      <c r="O249" t="str">
        <f>VLOOKUP(M249,month_lookup!A:B,2,FALSE)</f>
        <v>May</v>
      </c>
      <c r="P249">
        <f t="shared" si="16"/>
        <v>164117.24</v>
      </c>
    </row>
    <row r="250" spans="1:16" x14ac:dyDescent="0.25">
      <c r="A250" t="s">
        <v>22</v>
      </c>
      <c r="B250" s="1">
        <v>238085.99</v>
      </c>
      <c r="C250">
        <v>193587.72</v>
      </c>
      <c r="D250" s="2">
        <v>44028</v>
      </c>
      <c r="E250" t="s">
        <v>23</v>
      </c>
      <c r="F250" t="s">
        <v>70</v>
      </c>
      <c r="G250" t="s">
        <v>25</v>
      </c>
      <c r="H250" t="s">
        <v>89</v>
      </c>
      <c r="I250" t="s">
        <v>27</v>
      </c>
      <c r="J250" t="s">
        <v>393</v>
      </c>
      <c r="L250">
        <f t="shared" si="13"/>
        <v>202007</v>
      </c>
      <c r="M250">
        <f t="shared" si="14"/>
        <v>7</v>
      </c>
      <c r="N250">
        <f t="shared" si="15"/>
        <v>2020</v>
      </c>
      <c r="O250" t="str">
        <f>VLOOKUP(M250,month_lookup!A:B,2,FALSE)</f>
        <v>Jul</v>
      </c>
      <c r="P250">
        <f t="shared" si="16"/>
        <v>238085.99</v>
      </c>
    </row>
    <row r="251" spans="1:16" x14ac:dyDescent="0.25">
      <c r="A251" t="s">
        <v>9</v>
      </c>
      <c r="B251" s="1">
        <v>117733.51</v>
      </c>
      <c r="C251">
        <v>97294.97</v>
      </c>
      <c r="D251" s="2">
        <v>43659</v>
      </c>
      <c r="E251" t="s">
        <v>79</v>
      </c>
      <c r="F251" t="s">
        <v>394</v>
      </c>
      <c r="G251" t="s">
        <v>12</v>
      </c>
      <c r="H251" t="s">
        <v>169</v>
      </c>
      <c r="I251" t="s">
        <v>27</v>
      </c>
      <c r="J251" t="s">
        <v>395</v>
      </c>
      <c r="L251">
        <f t="shared" si="13"/>
        <v>201907</v>
      </c>
      <c r="M251">
        <f t="shared" si="14"/>
        <v>7</v>
      </c>
      <c r="N251">
        <f t="shared" si="15"/>
        <v>2019</v>
      </c>
      <c r="O251" t="str">
        <f>VLOOKUP(M251,month_lookup!A:B,2,FALSE)</f>
        <v>Jul</v>
      </c>
      <c r="P251">
        <f t="shared" si="16"/>
        <v>-117733.51</v>
      </c>
    </row>
    <row r="252" spans="1:16" x14ac:dyDescent="0.25">
      <c r="A252" t="s">
        <v>52</v>
      </c>
      <c r="B252" s="1">
        <v>26713.46</v>
      </c>
      <c r="C252">
        <v>22043.95</v>
      </c>
      <c r="D252" s="2">
        <v>44116</v>
      </c>
      <c r="E252" t="s">
        <v>29</v>
      </c>
      <c r="F252" t="s">
        <v>63</v>
      </c>
      <c r="G252" t="s">
        <v>54</v>
      </c>
      <c r="H252" t="s">
        <v>132</v>
      </c>
      <c r="I252" t="s">
        <v>27</v>
      </c>
      <c r="J252" t="s">
        <v>396</v>
      </c>
      <c r="L252">
        <f t="shared" si="13"/>
        <v>202010</v>
      </c>
      <c r="M252">
        <f t="shared" si="14"/>
        <v>10</v>
      </c>
      <c r="N252">
        <f t="shared" si="15"/>
        <v>2020</v>
      </c>
      <c r="O252" t="str">
        <f>VLOOKUP(M252,month_lookup!A:B,2,FALSE)</f>
        <v>Oct</v>
      </c>
      <c r="P252">
        <f t="shared" si="16"/>
        <v>26713.46</v>
      </c>
    </row>
    <row r="253" spans="1:16" x14ac:dyDescent="0.25">
      <c r="A253" t="s">
        <v>52</v>
      </c>
      <c r="B253" s="1">
        <v>49664.17</v>
      </c>
      <c r="C253">
        <v>39244.629999999997</v>
      </c>
      <c r="D253" s="2">
        <v>43768</v>
      </c>
      <c r="E253" t="s">
        <v>10</v>
      </c>
      <c r="F253" t="s">
        <v>57</v>
      </c>
      <c r="G253" t="s">
        <v>54</v>
      </c>
      <c r="H253" t="s">
        <v>71</v>
      </c>
      <c r="I253" t="s">
        <v>27</v>
      </c>
      <c r="J253" t="s">
        <v>397</v>
      </c>
      <c r="L253">
        <f t="shared" si="13"/>
        <v>201910</v>
      </c>
      <c r="M253">
        <f t="shared" si="14"/>
        <v>10</v>
      </c>
      <c r="N253">
        <f t="shared" si="15"/>
        <v>2019</v>
      </c>
      <c r="O253" t="str">
        <f>VLOOKUP(M253,month_lookup!A:B,2,FALSE)</f>
        <v>Oct</v>
      </c>
      <c r="P253">
        <f t="shared" si="16"/>
        <v>-49664.17</v>
      </c>
    </row>
    <row r="254" spans="1:16" x14ac:dyDescent="0.25">
      <c r="A254" t="s">
        <v>9</v>
      </c>
      <c r="B254" s="1">
        <v>162101.93</v>
      </c>
      <c r="C254">
        <v>133912.4</v>
      </c>
      <c r="D254" s="2">
        <v>43818</v>
      </c>
      <c r="E254" t="s">
        <v>59</v>
      </c>
      <c r="F254" t="s">
        <v>70</v>
      </c>
      <c r="G254" t="s">
        <v>12</v>
      </c>
      <c r="H254" t="s">
        <v>169</v>
      </c>
      <c r="I254" t="s">
        <v>27</v>
      </c>
      <c r="J254" t="s">
        <v>398</v>
      </c>
      <c r="L254">
        <f t="shared" si="13"/>
        <v>201912</v>
      </c>
      <c r="M254">
        <f t="shared" si="14"/>
        <v>12</v>
      </c>
      <c r="N254">
        <f t="shared" si="15"/>
        <v>2019</v>
      </c>
      <c r="O254" t="str">
        <f>VLOOKUP(M254,month_lookup!A:B,2,FALSE)</f>
        <v>Dec</v>
      </c>
      <c r="P254">
        <f t="shared" si="16"/>
        <v>-162101.93</v>
      </c>
    </row>
    <row r="255" spans="1:16" x14ac:dyDescent="0.25">
      <c r="A255" t="s">
        <v>52</v>
      </c>
      <c r="B255" s="1">
        <v>118027.37</v>
      </c>
      <c r="C255">
        <v>96050.67</v>
      </c>
      <c r="D255" s="2">
        <v>43561</v>
      </c>
      <c r="E255" t="s">
        <v>29</v>
      </c>
      <c r="F255" t="s">
        <v>34</v>
      </c>
      <c r="G255" t="s">
        <v>54</v>
      </c>
      <c r="H255" t="s">
        <v>132</v>
      </c>
      <c r="I255" t="s">
        <v>27</v>
      </c>
      <c r="J255" t="s">
        <v>399</v>
      </c>
      <c r="L255">
        <f t="shared" si="13"/>
        <v>201904</v>
      </c>
      <c r="M255">
        <f t="shared" si="14"/>
        <v>4</v>
      </c>
      <c r="N255">
        <f t="shared" si="15"/>
        <v>2019</v>
      </c>
      <c r="O255" t="str">
        <f>VLOOKUP(M255,month_lookup!A:B,2,FALSE)</f>
        <v>Apr</v>
      </c>
      <c r="P255">
        <f t="shared" si="16"/>
        <v>-118027.37</v>
      </c>
    </row>
    <row r="256" spans="1:16" x14ac:dyDescent="0.25">
      <c r="A256" t="s">
        <v>9</v>
      </c>
      <c r="B256" s="1">
        <v>147994.63</v>
      </c>
      <c r="C256">
        <v>129643.3</v>
      </c>
      <c r="D256" s="2">
        <v>43492</v>
      </c>
      <c r="E256" t="s">
        <v>17</v>
      </c>
      <c r="F256" t="s">
        <v>77</v>
      </c>
      <c r="G256" t="s">
        <v>12</v>
      </c>
      <c r="H256" t="s">
        <v>81</v>
      </c>
      <c r="I256" t="s">
        <v>27</v>
      </c>
      <c r="J256" t="s">
        <v>400</v>
      </c>
      <c r="L256">
        <f t="shared" si="13"/>
        <v>201901</v>
      </c>
      <c r="M256">
        <f t="shared" si="14"/>
        <v>1</v>
      </c>
      <c r="N256">
        <f t="shared" si="15"/>
        <v>2019</v>
      </c>
      <c r="O256" t="str">
        <f>VLOOKUP(M256,month_lookup!A:B,2,FALSE)</f>
        <v>Jan</v>
      </c>
      <c r="P256">
        <f t="shared" si="16"/>
        <v>-147994.63</v>
      </c>
    </row>
    <row r="257" spans="1:16" x14ac:dyDescent="0.25">
      <c r="A257" t="s">
        <v>16</v>
      </c>
      <c r="B257" s="1">
        <v>48946.74</v>
      </c>
      <c r="C257">
        <v>38765.82</v>
      </c>
      <c r="D257" s="2">
        <v>43574</v>
      </c>
      <c r="E257" t="s">
        <v>45</v>
      </c>
      <c r="F257" t="s">
        <v>57</v>
      </c>
      <c r="G257" t="s">
        <v>19</v>
      </c>
      <c r="H257" t="s">
        <v>352</v>
      </c>
      <c r="I257" t="s">
        <v>27</v>
      </c>
      <c r="J257" t="s">
        <v>401</v>
      </c>
      <c r="L257">
        <f t="shared" si="13"/>
        <v>201904</v>
      </c>
      <c r="M257">
        <f t="shared" si="14"/>
        <v>4</v>
      </c>
      <c r="N257">
        <f t="shared" si="15"/>
        <v>2019</v>
      </c>
      <c r="O257" t="str">
        <f>VLOOKUP(M257,month_lookup!A:B,2,FALSE)</f>
        <v>Apr</v>
      </c>
      <c r="P257">
        <f t="shared" si="16"/>
        <v>-48946.74</v>
      </c>
    </row>
    <row r="258" spans="1:16" x14ac:dyDescent="0.25">
      <c r="A258" t="s">
        <v>9</v>
      </c>
      <c r="B258" s="1">
        <v>73860.570000000007</v>
      </c>
      <c r="C258">
        <v>60336.7</v>
      </c>
      <c r="D258" s="2">
        <v>44148</v>
      </c>
      <c r="E258" t="s">
        <v>23</v>
      </c>
      <c r="F258" t="s">
        <v>181</v>
      </c>
      <c r="G258" t="s">
        <v>12</v>
      </c>
      <c r="H258" t="s">
        <v>13</v>
      </c>
      <c r="I258" t="s">
        <v>27</v>
      </c>
      <c r="J258" t="s">
        <v>402</v>
      </c>
      <c r="L258">
        <f t="shared" si="13"/>
        <v>202011</v>
      </c>
      <c r="M258">
        <f t="shared" si="14"/>
        <v>11</v>
      </c>
      <c r="N258">
        <f t="shared" si="15"/>
        <v>2020</v>
      </c>
      <c r="O258" t="str">
        <f>VLOOKUP(M258,month_lookup!A:B,2,FALSE)</f>
        <v>Nov</v>
      </c>
      <c r="P258">
        <f t="shared" si="16"/>
        <v>73860.570000000007</v>
      </c>
    </row>
    <row r="259" spans="1:16" x14ac:dyDescent="0.25">
      <c r="A259" t="s">
        <v>22</v>
      </c>
      <c r="B259" s="1">
        <v>86083.27</v>
      </c>
      <c r="C259">
        <v>72309.95</v>
      </c>
      <c r="D259" s="2">
        <v>43799</v>
      </c>
      <c r="E259" t="s">
        <v>79</v>
      </c>
      <c r="F259" t="s">
        <v>394</v>
      </c>
      <c r="G259" t="s">
        <v>25</v>
      </c>
      <c r="H259" t="s">
        <v>89</v>
      </c>
      <c r="I259" t="s">
        <v>27</v>
      </c>
      <c r="J259" t="s">
        <v>403</v>
      </c>
      <c r="L259">
        <f t="shared" ref="L259:L322" si="17">YEAR(D259)*100+MONTH(D259)</f>
        <v>201911</v>
      </c>
      <c r="M259">
        <f t="shared" ref="M259:M322" si="18">MONTH(D259)</f>
        <v>11</v>
      </c>
      <c r="N259">
        <f t="shared" ref="N259:N322" si="19">YEAR(D259)</f>
        <v>2019</v>
      </c>
      <c r="O259" t="str">
        <f>VLOOKUP(M259,month_lookup!A:B,2,FALSE)</f>
        <v>Nov</v>
      </c>
      <c r="P259">
        <f t="shared" si="16"/>
        <v>-86083.27</v>
      </c>
    </row>
    <row r="260" spans="1:16" x14ac:dyDescent="0.25">
      <c r="A260" t="s">
        <v>16</v>
      </c>
      <c r="B260" s="1">
        <v>72385.53</v>
      </c>
      <c r="C260">
        <v>60181.33</v>
      </c>
      <c r="D260" s="2">
        <v>43718</v>
      </c>
      <c r="E260" t="s">
        <v>23</v>
      </c>
      <c r="F260" t="s">
        <v>34</v>
      </c>
      <c r="G260" t="s">
        <v>19</v>
      </c>
      <c r="H260" t="s">
        <v>20</v>
      </c>
      <c r="I260" t="s">
        <v>27</v>
      </c>
      <c r="J260" t="s">
        <v>404</v>
      </c>
      <c r="L260">
        <f t="shared" si="17"/>
        <v>201909</v>
      </c>
      <c r="M260">
        <f t="shared" si="18"/>
        <v>9</v>
      </c>
      <c r="N260">
        <f t="shared" si="19"/>
        <v>2019</v>
      </c>
      <c r="O260" t="str">
        <f>VLOOKUP(M260,month_lookup!A:B,2,FALSE)</f>
        <v>Sep</v>
      </c>
      <c r="P260">
        <f t="shared" si="16"/>
        <v>-72385.53</v>
      </c>
    </row>
    <row r="261" spans="1:16" x14ac:dyDescent="0.25">
      <c r="A261" t="s">
        <v>22</v>
      </c>
      <c r="B261" s="1">
        <v>120332.26</v>
      </c>
      <c r="C261">
        <v>102282.42</v>
      </c>
      <c r="D261" s="2">
        <v>43844</v>
      </c>
      <c r="E261" t="s">
        <v>23</v>
      </c>
      <c r="F261" t="s">
        <v>332</v>
      </c>
      <c r="G261" t="s">
        <v>25</v>
      </c>
      <c r="H261" t="s">
        <v>89</v>
      </c>
      <c r="I261" t="s">
        <v>37</v>
      </c>
      <c r="J261" t="s">
        <v>405</v>
      </c>
      <c r="L261">
        <f t="shared" si="17"/>
        <v>202001</v>
      </c>
      <c r="M261">
        <f t="shared" si="18"/>
        <v>1</v>
      </c>
      <c r="N261">
        <f t="shared" si="19"/>
        <v>2020</v>
      </c>
      <c r="O261" t="str">
        <f>VLOOKUP(M261,month_lookup!A:B,2,FALSE)</f>
        <v>Jan</v>
      </c>
      <c r="P261">
        <f t="shared" si="16"/>
        <v>120332.26</v>
      </c>
    </row>
    <row r="262" spans="1:16" x14ac:dyDescent="0.25">
      <c r="A262" t="s">
        <v>9</v>
      </c>
      <c r="B262" s="1">
        <v>81262.34</v>
      </c>
      <c r="C262">
        <v>65326.8</v>
      </c>
      <c r="D262" s="2">
        <v>43714</v>
      </c>
      <c r="E262" t="s">
        <v>10</v>
      </c>
      <c r="F262" t="s">
        <v>34</v>
      </c>
      <c r="G262" t="s">
        <v>12</v>
      </c>
      <c r="H262" t="s">
        <v>68</v>
      </c>
      <c r="I262" t="s">
        <v>14</v>
      </c>
      <c r="J262" t="s">
        <v>406</v>
      </c>
      <c r="L262">
        <f t="shared" si="17"/>
        <v>201909</v>
      </c>
      <c r="M262">
        <f t="shared" si="18"/>
        <v>9</v>
      </c>
      <c r="N262">
        <f t="shared" si="19"/>
        <v>2019</v>
      </c>
      <c r="O262" t="str">
        <f>VLOOKUP(M262,month_lookup!A:B,2,FALSE)</f>
        <v>Sep</v>
      </c>
      <c r="P262">
        <f t="shared" si="16"/>
        <v>-81262.34</v>
      </c>
    </row>
    <row r="263" spans="1:16" x14ac:dyDescent="0.25">
      <c r="A263" t="s">
        <v>407</v>
      </c>
      <c r="B263" s="1">
        <v>139075.59</v>
      </c>
      <c r="C263">
        <v>113708.2</v>
      </c>
      <c r="D263" s="2">
        <v>44181</v>
      </c>
      <c r="E263" t="s">
        <v>17</v>
      </c>
      <c r="F263" t="s">
        <v>101</v>
      </c>
      <c r="G263" t="s">
        <v>408</v>
      </c>
      <c r="H263" t="s">
        <v>409</v>
      </c>
      <c r="I263" t="s">
        <v>27</v>
      </c>
      <c r="J263" t="s">
        <v>410</v>
      </c>
      <c r="L263">
        <f t="shared" si="17"/>
        <v>202012</v>
      </c>
      <c r="M263">
        <f t="shared" si="18"/>
        <v>12</v>
      </c>
      <c r="N263">
        <f t="shared" si="19"/>
        <v>2020</v>
      </c>
      <c r="O263" t="str">
        <f>VLOOKUP(M263,month_lookup!A:B,2,FALSE)</f>
        <v>Dec</v>
      </c>
      <c r="P263">
        <f t="shared" ref="P263:P326" si="20">IF(N263=2020,B263,-B263)</f>
        <v>139075.59</v>
      </c>
    </row>
    <row r="264" spans="1:16" x14ac:dyDescent="0.25">
      <c r="A264" t="s">
        <v>52</v>
      </c>
      <c r="B264" s="1">
        <v>50516.2</v>
      </c>
      <c r="C264">
        <v>43918.78</v>
      </c>
      <c r="D264" s="2">
        <v>43546</v>
      </c>
      <c r="E264" t="s">
        <v>79</v>
      </c>
      <c r="F264" t="s">
        <v>125</v>
      </c>
      <c r="G264" t="s">
        <v>54</v>
      </c>
      <c r="H264" t="s">
        <v>55</v>
      </c>
      <c r="I264" t="s">
        <v>27</v>
      </c>
      <c r="J264" t="s">
        <v>411</v>
      </c>
      <c r="L264">
        <f t="shared" si="17"/>
        <v>201903</v>
      </c>
      <c r="M264">
        <f t="shared" si="18"/>
        <v>3</v>
      </c>
      <c r="N264">
        <f t="shared" si="19"/>
        <v>2019</v>
      </c>
      <c r="O264" t="str">
        <f>VLOOKUP(M264,month_lookup!A:B,2,FALSE)</f>
        <v>Mar</v>
      </c>
      <c r="P264">
        <f t="shared" si="20"/>
        <v>-50516.2</v>
      </c>
    </row>
    <row r="265" spans="1:16" x14ac:dyDescent="0.25">
      <c r="A265" t="s">
        <v>9</v>
      </c>
      <c r="B265" s="1">
        <v>112228.82</v>
      </c>
      <c r="C265">
        <v>97470.73</v>
      </c>
      <c r="D265" s="2">
        <v>43723</v>
      </c>
      <c r="E265" t="s">
        <v>61</v>
      </c>
      <c r="F265" t="s">
        <v>53</v>
      </c>
      <c r="G265" t="s">
        <v>12</v>
      </c>
      <c r="H265" t="s">
        <v>13</v>
      </c>
      <c r="I265" t="s">
        <v>27</v>
      </c>
      <c r="J265" t="s">
        <v>412</v>
      </c>
      <c r="L265">
        <f t="shared" si="17"/>
        <v>201909</v>
      </c>
      <c r="M265">
        <f t="shared" si="18"/>
        <v>9</v>
      </c>
      <c r="N265">
        <f t="shared" si="19"/>
        <v>2019</v>
      </c>
      <c r="O265" t="str">
        <f>VLOOKUP(M265,month_lookup!A:B,2,FALSE)</f>
        <v>Sep</v>
      </c>
      <c r="P265">
        <f t="shared" si="20"/>
        <v>-112228.82</v>
      </c>
    </row>
    <row r="266" spans="1:16" x14ac:dyDescent="0.25">
      <c r="A266" t="s">
        <v>52</v>
      </c>
      <c r="B266" s="1">
        <v>79833.600000000006</v>
      </c>
      <c r="C266">
        <v>63411.83</v>
      </c>
      <c r="D266" s="2">
        <v>43631</v>
      </c>
      <c r="E266" t="s">
        <v>50</v>
      </c>
      <c r="F266" t="s">
        <v>147</v>
      </c>
      <c r="G266" t="s">
        <v>54</v>
      </c>
      <c r="H266" t="s">
        <v>143</v>
      </c>
      <c r="I266" t="s">
        <v>27</v>
      </c>
      <c r="J266" t="s">
        <v>413</v>
      </c>
      <c r="L266">
        <f t="shared" si="17"/>
        <v>201906</v>
      </c>
      <c r="M266">
        <f t="shared" si="18"/>
        <v>6</v>
      </c>
      <c r="N266">
        <f t="shared" si="19"/>
        <v>2019</v>
      </c>
      <c r="O266" t="str">
        <f>VLOOKUP(M266,month_lookup!A:B,2,FALSE)</f>
        <v>Jun</v>
      </c>
      <c r="P266">
        <f t="shared" si="20"/>
        <v>-79833.600000000006</v>
      </c>
    </row>
    <row r="267" spans="1:16" x14ac:dyDescent="0.25">
      <c r="A267" t="s">
        <v>16</v>
      </c>
      <c r="B267" s="1">
        <v>135629.35999999999</v>
      </c>
      <c r="C267">
        <v>118526.5</v>
      </c>
      <c r="D267" s="2">
        <v>44055</v>
      </c>
      <c r="E267" t="s">
        <v>17</v>
      </c>
      <c r="F267" t="s">
        <v>67</v>
      </c>
      <c r="G267" t="s">
        <v>19</v>
      </c>
      <c r="H267" t="s">
        <v>352</v>
      </c>
      <c r="I267" t="s">
        <v>27</v>
      </c>
      <c r="J267" t="s">
        <v>414</v>
      </c>
      <c r="L267">
        <f t="shared" si="17"/>
        <v>202008</v>
      </c>
      <c r="M267">
        <f t="shared" si="18"/>
        <v>8</v>
      </c>
      <c r="N267">
        <f t="shared" si="19"/>
        <v>2020</v>
      </c>
      <c r="O267" t="str">
        <f>VLOOKUP(M267,month_lookup!A:B,2,FALSE)</f>
        <v>Aug</v>
      </c>
      <c r="P267">
        <f t="shared" si="20"/>
        <v>135629.35999999999</v>
      </c>
    </row>
    <row r="268" spans="1:16" x14ac:dyDescent="0.25">
      <c r="A268" t="s">
        <v>105</v>
      </c>
      <c r="B268" s="1">
        <v>175332.04</v>
      </c>
      <c r="C268">
        <v>144999.6</v>
      </c>
      <c r="D268" s="2">
        <v>44098</v>
      </c>
      <c r="E268" t="s">
        <v>45</v>
      </c>
      <c r="F268" t="s">
        <v>165</v>
      </c>
      <c r="G268" t="s">
        <v>106</v>
      </c>
      <c r="H268" t="s">
        <v>107</v>
      </c>
      <c r="I268" t="s">
        <v>27</v>
      </c>
      <c r="J268" t="s">
        <v>415</v>
      </c>
      <c r="L268">
        <f t="shared" si="17"/>
        <v>202009</v>
      </c>
      <c r="M268">
        <f t="shared" si="18"/>
        <v>9</v>
      </c>
      <c r="N268">
        <f t="shared" si="19"/>
        <v>2020</v>
      </c>
      <c r="O268" t="str">
        <f>VLOOKUP(M268,month_lookup!A:B,2,FALSE)</f>
        <v>Sep</v>
      </c>
      <c r="P268">
        <f t="shared" si="20"/>
        <v>175332.04</v>
      </c>
    </row>
    <row r="269" spans="1:16" x14ac:dyDescent="0.25">
      <c r="A269" t="s">
        <v>22</v>
      </c>
      <c r="B269" s="1">
        <v>101923.36</v>
      </c>
      <c r="C269">
        <v>86115.05</v>
      </c>
      <c r="D269" s="2">
        <v>43484</v>
      </c>
      <c r="E269" t="s">
        <v>29</v>
      </c>
      <c r="F269" t="s">
        <v>200</v>
      </c>
      <c r="G269" t="s">
        <v>25</v>
      </c>
      <c r="H269" t="s">
        <v>218</v>
      </c>
      <c r="I269" t="s">
        <v>14</v>
      </c>
      <c r="J269" t="s">
        <v>416</v>
      </c>
      <c r="L269">
        <f t="shared" si="17"/>
        <v>201901</v>
      </c>
      <c r="M269">
        <f t="shared" si="18"/>
        <v>1</v>
      </c>
      <c r="N269">
        <f t="shared" si="19"/>
        <v>2019</v>
      </c>
      <c r="O269" t="str">
        <f>VLOOKUP(M269,month_lookup!A:B,2,FALSE)</f>
        <v>Jan</v>
      </c>
      <c r="P269">
        <f t="shared" si="20"/>
        <v>-101923.36</v>
      </c>
    </row>
    <row r="270" spans="1:16" x14ac:dyDescent="0.25">
      <c r="A270" t="s">
        <v>214</v>
      </c>
      <c r="B270" s="1">
        <v>190100.96</v>
      </c>
      <c r="C270">
        <v>160749.37</v>
      </c>
      <c r="D270" s="2">
        <v>43819</v>
      </c>
      <c r="E270" t="s">
        <v>79</v>
      </c>
      <c r="F270" t="s">
        <v>154</v>
      </c>
      <c r="G270" t="s">
        <v>215</v>
      </c>
      <c r="H270" t="s">
        <v>216</v>
      </c>
      <c r="I270" t="s">
        <v>27</v>
      </c>
      <c r="J270" t="s">
        <v>417</v>
      </c>
      <c r="L270">
        <f t="shared" si="17"/>
        <v>201912</v>
      </c>
      <c r="M270">
        <f t="shared" si="18"/>
        <v>12</v>
      </c>
      <c r="N270">
        <f t="shared" si="19"/>
        <v>2019</v>
      </c>
      <c r="O270" t="str">
        <f>VLOOKUP(M270,month_lookup!A:B,2,FALSE)</f>
        <v>Dec</v>
      </c>
      <c r="P270">
        <f t="shared" si="20"/>
        <v>-190100.96</v>
      </c>
    </row>
    <row r="271" spans="1:16" x14ac:dyDescent="0.25">
      <c r="A271" t="s">
        <v>83</v>
      </c>
      <c r="B271" s="1">
        <v>152771.9</v>
      </c>
      <c r="C271">
        <v>134423.99</v>
      </c>
      <c r="D271" s="2">
        <v>43953</v>
      </c>
      <c r="E271" t="s">
        <v>23</v>
      </c>
      <c r="F271" t="s">
        <v>223</v>
      </c>
      <c r="G271" t="s">
        <v>84</v>
      </c>
      <c r="H271" t="s">
        <v>85</v>
      </c>
      <c r="I271" t="s">
        <v>27</v>
      </c>
      <c r="J271" t="s">
        <v>418</v>
      </c>
      <c r="L271">
        <f t="shared" si="17"/>
        <v>202005</v>
      </c>
      <c r="M271">
        <f t="shared" si="18"/>
        <v>5</v>
      </c>
      <c r="N271">
        <f t="shared" si="19"/>
        <v>2020</v>
      </c>
      <c r="O271" t="str">
        <f>VLOOKUP(M271,month_lookup!A:B,2,FALSE)</f>
        <v>May</v>
      </c>
      <c r="P271">
        <f t="shared" si="20"/>
        <v>152771.9</v>
      </c>
    </row>
    <row r="272" spans="1:16" x14ac:dyDescent="0.25">
      <c r="A272" t="s">
        <v>52</v>
      </c>
      <c r="B272" s="1">
        <v>52805.94</v>
      </c>
      <c r="C272">
        <v>43791.97</v>
      </c>
      <c r="D272" s="2">
        <v>44004</v>
      </c>
      <c r="E272" t="s">
        <v>59</v>
      </c>
      <c r="F272" t="s">
        <v>233</v>
      </c>
      <c r="G272" t="s">
        <v>54</v>
      </c>
      <c r="H272" t="s">
        <v>71</v>
      </c>
      <c r="I272" t="s">
        <v>27</v>
      </c>
      <c r="J272" t="s">
        <v>419</v>
      </c>
      <c r="L272">
        <f t="shared" si="17"/>
        <v>202006</v>
      </c>
      <c r="M272">
        <f t="shared" si="18"/>
        <v>6</v>
      </c>
      <c r="N272">
        <f t="shared" si="19"/>
        <v>2020</v>
      </c>
      <c r="O272" t="str">
        <f>VLOOKUP(M272,month_lookup!A:B,2,FALSE)</f>
        <v>Jun</v>
      </c>
      <c r="P272">
        <f t="shared" si="20"/>
        <v>52805.94</v>
      </c>
    </row>
    <row r="273" spans="1:16" x14ac:dyDescent="0.25">
      <c r="A273" t="s">
        <v>22</v>
      </c>
      <c r="B273" s="1">
        <v>51416.24</v>
      </c>
      <c r="C273">
        <v>43338.75</v>
      </c>
      <c r="D273" s="2">
        <v>43936</v>
      </c>
      <c r="E273" t="s">
        <v>59</v>
      </c>
      <c r="F273" t="s">
        <v>149</v>
      </c>
      <c r="G273" t="s">
        <v>25</v>
      </c>
      <c r="H273" t="s">
        <v>31</v>
      </c>
      <c r="I273" t="s">
        <v>27</v>
      </c>
      <c r="J273" t="s">
        <v>420</v>
      </c>
      <c r="L273">
        <f t="shared" si="17"/>
        <v>202004</v>
      </c>
      <c r="M273">
        <f t="shared" si="18"/>
        <v>4</v>
      </c>
      <c r="N273">
        <f t="shared" si="19"/>
        <v>2020</v>
      </c>
      <c r="O273" t="str">
        <f>VLOOKUP(M273,month_lookup!A:B,2,FALSE)</f>
        <v>Apr</v>
      </c>
      <c r="P273">
        <f t="shared" si="20"/>
        <v>51416.24</v>
      </c>
    </row>
    <row r="274" spans="1:16" x14ac:dyDescent="0.25">
      <c r="A274" t="s">
        <v>105</v>
      </c>
      <c r="B274" s="1">
        <v>76426.539999999994</v>
      </c>
      <c r="C274">
        <v>66116.600000000006</v>
      </c>
      <c r="D274" s="2">
        <v>43540</v>
      </c>
      <c r="E274" t="s">
        <v>23</v>
      </c>
      <c r="F274" t="s">
        <v>184</v>
      </c>
      <c r="G274" t="s">
        <v>106</v>
      </c>
      <c r="H274" t="s">
        <v>107</v>
      </c>
      <c r="I274" t="s">
        <v>27</v>
      </c>
      <c r="J274" t="s">
        <v>421</v>
      </c>
      <c r="L274">
        <f t="shared" si="17"/>
        <v>201903</v>
      </c>
      <c r="M274">
        <f t="shared" si="18"/>
        <v>3</v>
      </c>
      <c r="N274">
        <f t="shared" si="19"/>
        <v>2019</v>
      </c>
      <c r="O274" t="str">
        <f>VLOOKUP(M274,month_lookup!A:B,2,FALSE)</f>
        <v>Mar</v>
      </c>
      <c r="P274">
        <f t="shared" si="20"/>
        <v>-76426.539999999994</v>
      </c>
    </row>
    <row r="275" spans="1:16" x14ac:dyDescent="0.25">
      <c r="A275" t="s">
        <v>52</v>
      </c>
      <c r="B275" s="1">
        <v>118021.59</v>
      </c>
      <c r="C275">
        <v>98229.37</v>
      </c>
      <c r="D275" s="2">
        <v>43576</v>
      </c>
      <c r="E275" t="s">
        <v>29</v>
      </c>
      <c r="F275" t="s">
        <v>202</v>
      </c>
      <c r="G275" t="s">
        <v>54</v>
      </c>
      <c r="H275" t="s">
        <v>55</v>
      </c>
      <c r="I275" t="s">
        <v>27</v>
      </c>
      <c r="J275" t="s">
        <v>422</v>
      </c>
      <c r="L275">
        <f t="shared" si="17"/>
        <v>201904</v>
      </c>
      <c r="M275">
        <f t="shared" si="18"/>
        <v>4</v>
      </c>
      <c r="N275">
        <f t="shared" si="19"/>
        <v>2019</v>
      </c>
      <c r="O275" t="str">
        <f>VLOOKUP(M275,month_lookup!A:B,2,FALSE)</f>
        <v>Apr</v>
      </c>
      <c r="P275">
        <f t="shared" si="20"/>
        <v>-118021.59</v>
      </c>
    </row>
    <row r="276" spans="1:16" x14ac:dyDescent="0.25">
      <c r="A276" t="s">
        <v>22</v>
      </c>
      <c r="B276" s="1">
        <v>59378.97</v>
      </c>
      <c r="C276">
        <v>52176.3</v>
      </c>
      <c r="D276" s="2">
        <v>43946</v>
      </c>
      <c r="E276" t="s">
        <v>50</v>
      </c>
      <c r="F276" t="s">
        <v>42</v>
      </c>
      <c r="G276" t="s">
        <v>25</v>
      </c>
      <c r="H276" t="s">
        <v>75</v>
      </c>
      <c r="I276" t="s">
        <v>27</v>
      </c>
      <c r="J276" t="s">
        <v>423</v>
      </c>
      <c r="L276">
        <f t="shared" si="17"/>
        <v>202004</v>
      </c>
      <c r="M276">
        <f t="shared" si="18"/>
        <v>4</v>
      </c>
      <c r="N276">
        <f t="shared" si="19"/>
        <v>2020</v>
      </c>
      <c r="O276" t="str">
        <f>VLOOKUP(M276,month_lookup!A:B,2,FALSE)</f>
        <v>Apr</v>
      </c>
      <c r="P276">
        <f t="shared" si="20"/>
        <v>59378.97</v>
      </c>
    </row>
    <row r="277" spans="1:16" x14ac:dyDescent="0.25">
      <c r="A277" t="s">
        <v>33</v>
      </c>
      <c r="B277" s="1">
        <v>61325.25</v>
      </c>
      <c r="C277">
        <v>49379.09</v>
      </c>
      <c r="D277" s="2">
        <v>44041</v>
      </c>
      <c r="E277" t="s">
        <v>29</v>
      </c>
      <c r="F277" t="s">
        <v>30</v>
      </c>
      <c r="G277" t="s">
        <v>35</v>
      </c>
      <c r="H277" t="s">
        <v>424</v>
      </c>
      <c r="I277" t="s">
        <v>37</v>
      </c>
      <c r="J277" t="s">
        <v>425</v>
      </c>
      <c r="L277">
        <f t="shared" si="17"/>
        <v>202007</v>
      </c>
      <c r="M277">
        <f t="shared" si="18"/>
        <v>7</v>
      </c>
      <c r="N277">
        <f t="shared" si="19"/>
        <v>2020</v>
      </c>
      <c r="O277" t="str">
        <f>VLOOKUP(M277,month_lookup!A:B,2,FALSE)</f>
        <v>Jul</v>
      </c>
      <c r="P277">
        <f t="shared" si="20"/>
        <v>61325.25</v>
      </c>
    </row>
    <row r="278" spans="1:16" x14ac:dyDescent="0.25">
      <c r="A278" t="s">
        <v>52</v>
      </c>
      <c r="B278" s="1">
        <v>80431.34</v>
      </c>
      <c r="C278">
        <v>69774.19</v>
      </c>
      <c r="D278" s="2">
        <v>43668</v>
      </c>
      <c r="E278" t="s">
        <v>29</v>
      </c>
      <c r="F278" t="s">
        <v>30</v>
      </c>
      <c r="G278" t="s">
        <v>54</v>
      </c>
      <c r="H278" t="s">
        <v>127</v>
      </c>
      <c r="I278" t="s">
        <v>27</v>
      </c>
      <c r="J278" t="s">
        <v>426</v>
      </c>
      <c r="L278">
        <f t="shared" si="17"/>
        <v>201907</v>
      </c>
      <c r="M278">
        <f t="shared" si="18"/>
        <v>7</v>
      </c>
      <c r="N278">
        <f t="shared" si="19"/>
        <v>2019</v>
      </c>
      <c r="O278" t="str">
        <f>VLOOKUP(M278,month_lookup!A:B,2,FALSE)</f>
        <v>Jul</v>
      </c>
      <c r="P278">
        <f t="shared" si="20"/>
        <v>-80431.34</v>
      </c>
    </row>
    <row r="279" spans="1:16" x14ac:dyDescent="0.25">
      <c r="A279" t="s">
        <v>22</v>
      </c>
      <c r="B279" s="1">
        <v>177919.14</v>
      </c>
      <c r="C279">
        <v>147370.42000000001</v>
      </c>
      <c r="D279" s="2">
        <v>43989</v>
      </c>
      <c r="E279" t="s">
        <v>29</v>
      </c>
      <c r="F279" t="s">
        <v>154</v>
      </c>
      <c r="G279" t="s">
        <v>25</v>
      </c>
      <c r="H279" t="s">
        <v>31</v>
      </c>
      <c r="I279" t="s">
        <v>27</v>
      </c>
      <c r="J279" t="s">
        <v>427</v>
      </c>
      <c r="L279">
        <f t="shared" si="17"/>
        <v>202006</v>
      </c>
      <c r="M279">
        <f t="shared" si="18"/>
        <v>6</v>
      </c>
      <c r="N279">
        <f t="shared" si="19"/>
        <v>2020</v>
      </c>
      <c r="O279" t="str">
        <f>VLOOKUP(M279,month_lookup!A:B,2,FALSE)</f>
        <v>Jun</v>
      </c>
      <c r="P279">
        <f t="shared" si="20"/>
        <v>177919.14</v>
      </c>
    </row>
    <row r="280" spans="1:16" x14ac:dyDescent="0.25">
      <c r="A280" t="s">
        <v>172</v>
      </c>
      <c r="B280" s="1">
        <v>37520.089999999997</v>
      </c>
      <c r="C280">
        <v>32781.300000000003</v>
      </c>
      <c r="D280" s="2">
        <v>43978</v>
      </c>
      <c r="E280" t="s">
        <v>23</v>
      </c>
      <c r="F280" t="s">
        <v>233</v>
      </c>
      <c r="G280" t="s">
        <v>174</v>
      </c>
      <c r="H280" t="s">
        <v>175</v>
      </c>
      <c r="I280" t="s">
        <v>14</v>
      </c>
      <c r="J280" t="s">
        <v>428</v>
      </c>
      <c r="L280">
        <f t="shared" si="17"/>
        <v>202005</v>
      </c>
      <c r="M280">
        <f t="shared" si="18"/>
        <v>5</v>
      </c>
      <c r="N280">
        <f t="shared" si="19"/>
        <v>2020</v>
      </c>
      <c r="O280" t="str">
        <f>VLOOKUP(M280,month_lookup!A:B,2,FALSE)</f>
        <v>May</v>
      </c>
      <c r="P280">
        <f t="shared" si="20"/>
        <v>37520.089999999997</v>
      </c>
    </row>
    <row r="281" spans="1:16" x14ac:dyDescent="0.25">
      <c r="A281" t="s">
        <v>33</v>
      </c>
      <c r="B281" s="1">
        <v>68745.86</v>
      </c>
      <c r="C281">
        <v>58014.63</v>
      </c>
      <c r="D281" s="2">
        <v>43564</v>
      </c>
      <c r="E281" t="s">
        <v>79</v>
      </c>
      <c r="F281" t="s">
        <v>122</v>
      </c>
      <c r="G281" t="s">
        <v>35</v>
      </c>
      <c r="H281" t="s">
        <v>424</v>
      </c>
      <c r="I281" t="s">
        <v>27</v>
      </c>
      <c r="J281" t="s">
        <v>429</v>
      </c>
      <c r="L281">
        <f t="shared" si="17"/>
        <v>201904</v>
      </c>
      <c r="M281">
        <f t="shared" si="18"/>
        <v>4</v>
      </c>
      <c r="N281">
        <f t="shared" si="19"/>
        <v>2019</v>
      </c>
      <c r="O281" t="str">
        <f>VLOOKUP(M281,month_lookup!A:B,2,FALSE)</f>
        <v>Apr</v>
      </c>
      <c r="P281">
        <f t="shared" si="20"/>
        <v>-68745.86</v>
      </c>
    </row>
    <row r="282" spans="1:16" x14ac:dyDescent="0.25">
      <c r="A282" t="s">
        <v>345</v>
      </c>
      <c r="B282" s="1">
        <v>69017.42</v>
      </c>
      <c r="C282">
        <v>55897.21</v>
      </c>
      <c r="D282" s="2">
        <v>43923</v>
      </c>
      <c r="E282" t="s">
        <v>79</v>
      </c>
      <c r="F282" t="s">
        <v>165</v>
      </c>
      <c r="G282" t="s">
        <v>346</v>
      </c>
      <c r="H282" t="s">
        <v>347</v>
      </c>
      <c r="I282" t="s">
        <v>27</v>
      </c>
      <c r="J282" t="s">
        <v>430</v>
      </c>
      <c r="L282">
        <f t="shared" si="17"/>
        <v>202004</v>
      </c>
      <c r="M282">
        <f t="shared" si="18"/>
        <v>4</v>
      </c>
      <c r="N282">
        <f t="shared" si="19"/>
        <v>2020</v>
      </c>
      <c r="O282" t="str">
        <f>VLOOKUP(M282,month_lookup!A:B,2,FALSE)</f>
        <v>Apr</v>
      </c>
      <c r="P282">
        <f t="shared" si="20"/>
        <v>69017.42</v>
      </c>
    </row>
    <row r="283" spans="1:16" x14ac:dyDescent="0.25">
      <c r="A283" t="s">
        <v>52</v>
      </c>
      <c r="B283" s="1">
        <v>48850.38</v>
      </c>
      <c r="C283">
        <v>39788.629999999997</v>
      </c>
      <c r="D283" s="2">
        <v>43555</v>
      </c>
      <c r="E283" t="s">
        <v>50</v>
      </c>
      <c r="F283" t="s">
        <v>149</v>
      </c>
      <c r="G283" t="s">
        <v>54</v>
      </c>
      <c r="H283" t="s">
        <v>127</v>
      </c>
      <c r="I283" t="s">
        <v>27</v>
      </c>
      <c r="J283" t="s">
        <v>431</v>
      </c>
      <c r="L283">
        <f t="shared" si="17"/>
        <v>201903</v>
      </c>
      <c r="M283">
        <f t="shared" si="18"/>
        <v>3</v>
      </c>
      <c r="N283">
        <f t="shared" si="19"/>
        <v>2019</v>
      </c>
      <c r="O283" t="str">
        <f>VLOOKUP(M283,month_lookup!A:B,2,FALSE)</f>
        <v>Mar</v>
      </c>
      <c r="P283">
        <f t="shared" si="20"/>
        <v>-48850.38</v>
      </c>
    </row>
    <row r="284" spans="1:16" x14ac:dyDescent="0.25">
      <c r="A284" t="s">
        <v>83</v>
      </c>
      <c r="B284" s="1">
        <v>253291.55</v>
      </c>
      <c r="C284">
        <v>219502.46</v>
      </c>
      <c r="D284" s="2">
        <v>43994</v>
      </c>
      <c r="E284" t="s">
        <v>10</v>
      </c>
      <c r="F284" t="s">
        <v>159</v>
      </c>
      <c r="G284" t="s">
        <v>84</v>
      </c>
      <c r="H284" t="s">
        <v>85</v>
      </c>
      <c r="I284" t="s">
        <v>27</v>
      </c>
      <c r="J284" t="s">
        <v>432</v>
      </c>
      <c r="L284">
        <f t="shared" si="17"/>
        <v>202006</v>
      </c>
      <c r="M284">
        <f t="shared" si="18"/>
        <v>6</v>
      </c>
      <c r="N284">
        <f t="shared" si="19"/>
        <v>2020</v>
      </c>
      <c r="O284" t="str">
        <f>VLOOKUP(M284,month_lookup!A:B,2,FALSE)</f>
        <v>Jun</v>
      </c>
      <c r="P284">
        <f t="shared" si="20"/>
        <v>253291.55</v>
      </c>
    </row>
    <row r="285" spans="1:16" x14ac:dyDescent="0.25">
      <c r="A285" t="s">
        <v>22</v>
      </c>
      <c r="B285" s="1">
        <v>47186.74</v>
      </c>
      <c r="C285">
        <v>38112.730000000003</v>
      </c>
      <c r="D285" s="2">
        <v>43674</v>
      </c>
      <c r="E285" t="s">
        <v>79</v>
      </c>
      <c r="F285" t="s">
        <v>433</v>
      </c>
      <c r="G285" t="s">
        <v>25</v>
      </c>
      <c r="H285" t="s">
        <v>31</v>
      </c>
      <c r="I285" t="s">
        <v>27</v>
      </c>
      <c r="J285" t="s">
        <v>434</v>
      </c>
      <c r="L285">
        <f t="shared" si="17"/>
        <v>201907</v>
      </c>
      <c r="M285">
        <f t="shared" si="18"/>
        <v>7</v>
      </c>
      <c r="N285">
        <f t="shared" si="19"/>
        <v>2019</v>
      </c>
      <c r="O285" t="str">
        <f>VLOOKUP(M285,month_lookup!A:B,2,FALSE)</f>
        <v>Jul</v>
      </c>
      <c r="P285">
        <f t="shared" si="20"/>
        <v>-47186.74</v>
      </c>
    </row>
    <row r="286" spans="1:16" x14ac:dyDescent="0.25">
      <c r="A286" t="s">
        <v>22</v>
      </c>
      <c r="B286" s="1">
        <v>59670.68</v>
      </c>
      <c r="C286">
        <v>51269.05</v>
      </c>
      <c r="D286" s="2">
        <v>43718</v>
      </c>
      <c r="E286" t="s">
        <v>50</v>
      </c>
      <c r="F286" t="s">
        <v>200</v>
      </c>
      <c r="G286" t="s">
        <v>25</v>
      </c>
      <c r="H286" t="s">
        <v>31</v>
      </c>
      <c r="I286" t="s">
        <v>27</v>
      </c>
      <c r="J286" t="s">
        <v>435</v>
      </c>
      <c r="L286">
        <f t="shared" si="17"/>
        <v>201909</v>
      </c>
      <c r="M286">
        <f t="shared" si="18"/>
        <v>9</v>
      </c>
      <c r="N286">
        <f t="shared" si="19"/>
        <v>2019</v>
      </c>
      <c r="O286" t="str">
        <f>VLOOKUP(M286,month_lookup!A:B,2,FALSE)</f>
        <v>Sep</v>
      </c>
      <c r="P286">
        <f t="shared" si="20"/>
        <v>-59670.68</v>
      </c>
    </row>
    <row r="287" spans="1:16" x14ac:dyDescent="0.25">
      <c r="A287" t="s">
        <v>22</v>
      </c>
      <c r="B287" s="1">
        <v>228961.3</v>
      </c>
      <c r="C287">
        <v>183764.34</v>
      </c>
      <c r="D287" s="2">
        <v>43983</v>
      </c>
      <c r="E287" t="s">
        <v>50</v>
      </c>
      <c r="F287" t="s">
        <v>34</v>
      </c>
      <c r="G287" t="s">
        <v>25</v>
      </c>
      <c r="H287" t="s">
        <v>89</v>
      </c>
      <c r="I287" t="s">
        <v>27</v>
      </c>
      <c r="J287" t="s">
        <v>436</v>
      </c>
      <c r="L287">
        <f t="shared" si="17"/>
        <v>202006</v>
      </c>
      <c r="M287">
        <f t="shared" si="18"/>
        <v>6</v>
      </c>
      <c r="N287">
        <f t="shared" si="19"/>
        <v>2020</v>
      </c>
      <c r="O287" t="str">
        <f>VLOOKUP(M287,month_lookup!A:B,2,FALSE)</f>
        <v>Jun</v>
      </c>
      <c r="P287">
        <f t="shared" si="20"/>
        <v>228961.3</v>
      </c>
    </row>
    <row r="288" spans="1:16" x14ac:dyDescent="0.25">
      <c r="A288" t="s">
        <v>52</v>
      </c>
      <c r="B288" s="1">
        <v>165259.57999999999</v>
      </c>
      <c r="C288">
        <v>130703.8</v>
      </c>
      <c r="D288" s="2">
        <v>44008</v>
      </c>
      <c r="E288" t="s">
        <v>61</v>
      </c>
      <c r="F288" t="s">
        <v>96</v>
      </c>
      <c r="G288" t="s">
        <v>54</v>
      </c>
      <c r="H288" t="s">
        <v>127</v>
      </c>
      <c r="I288" t="s">
        <v>27</v>
      </c>
      <c r="J288" t="s">
        <v>437</v>
      </c>
      <c r="L288">
        <f t="shared" si="17"/>
        <v>202006</v>
      </c>
      <c r="M288">
        <f t="shared" si="18"/>
        <v>6</v>
      </c>
      <c r="N288">
        <f t="shared" si="19"/>
        <v>2020</v>
      </c>
      <c r="O288" t="str">
        <f>VLOOKUP(M288,month_lookup!A:B,2,FALSE)</f>
        <v>Jun</v>
      </c>
      <c r="P288">
        <f t="shared" si="20"/>
        <v>165259.57999999999</v>
      </c>
    </row>
    <row r="289" spans="1:16" x14ac:dyDescent="0.25">
      <c r="A289" t="s">
        <v>52</v>
      </c>
      <c r="B289" s="1">
        <v>219911.81</v>
      </c>
      <c r="C289">
        <v>179426.05</v>
      </c>
      <c r="D289" s="2">
        <v>43651</v>
      </c>
      <c r="E289" t="s">
        <v>23</v>
      </c>
      <c r="F289" t="s">
        <v>173</v>
      </c>
      <c r="G289" t="s">
        <v>54</v>
      </c>
      <c r="H289" t="s">
        <v>127</v>
      </c>
      <c r="I289" t="s">
        <v>27</v>
      </c>
      <c r="J289" t="s">
        <v>438</v>
      </c>
      <c r="L289">
        <f t="shared" si="17"/>
        <v>201907</v>
      </c>
      <c r="M289">
        <f t="shared" si="18"/>
        <v>7</v>
      </c>
      <c r="N289">
        <f t="shared" si="19"/>
        <v>2019</v>
      </c>
      <c r="O289" t="str">
        <f>VLOOKUP(M289,month_lookup!A:B,2,FALSE)</f>
        <v>Jul</v>
      </c>
      <c r="P289">
        <f t="shared" si="20"/>
        <v>-219911.81</v>
      </c>
    </row>
    <row r="290" spans="1:16" x14ac:dyDescent="0.25">
      <c r="A290" t="s">
        <v>16</v>
      </c>
      <c r="B290" s="1">
        <v>55882.12</v>
      </c>
      <c r="C290">
        <v>48561.56</v>
      </c>
      <c r="D290" s="2">
        <v>43971</v>
      </c>
      <c r="E290" t="s">
        <v>23</v>
      </c>
      <c r="F290" t="s">
        <v>101</v>
      </c>
      <c r="G290" t="s">
        <v>19</v>
      </c>
      <c r="H290" t="s">
        <v>352</v>
      </c>
      <c r="I290" t="s">
        <v>27</v>
      </c>
      <c r="J290" t="s">
        <v>439</v>
      </c>
      <c r="L290">
        <f t="shared" si="17"/>
        <v>202005</v>
      </c>
      <c r="M290">
        <f t="shared" si="18"/>
        <v>5</v>
      </c>
      <c r="N290">
        <f t="shared" si="19"/>
        <v>2020</v>
      </c>
      <c r="O290" t="str">
        <f>VLOOKUP(M290,month_lookup!A:B,2,FALSE)</f>
        <v>May</v>
      </c>
      <c r="P290">
        <f t="shared" si="20"/>
        <v>55882.12</v>
      </c>
    </row>
    <row r="291" spans="1:16" x14ac:dyDescent="0.25">
      <c r="A291" t="s">
        <v>52</v>
      </c>
      <c r="B291" s="1">
        <v>16388.900000000001</v>
      </c>
      <c r="C291">
        <v>13430.7</v>
      </c>
      <c r="D291" s="2">
        <v>43905</v>
      </c>
      <c r="E291" t="s">
        <v>79</v>
      </c>
      <c r="F291" t="s">
        <v>187</v>
      </c>
      <c r="G291" t="s">
        <v>54</v>
      </c>
      <c r="H291" t="s">
        <v>127</v>
      </c>
      <c r="I291" t="s">
        <v>27</v>
      </c>
      <c r="J291" t="s">
        <v>440</v>
      </c>
      <c r="L291">
        <f t="shared" si="17"/>
        <v>202003</v>
      </c>
      <c r="M291">
        <f t="shared" si="18"/>
        <v>3</v>
      </c>
      <c r="N291">
        <f t="shared" si="19"/>
        <v>2020</v>
      </c>
      <c r="O291" t="str">
        <f>VLOOKUP(M291,month_lookup!A:B,2,FALSE)</f>
        <v>Mar</v>
      </c>
      <c r="P291">
        <f t="shared" si="20"/>
        <v>16388.900000000001</v>
      </c>
    </row>
    <row r="292" spans="1:16" x14ac:dyDescent="0.25">
      <c r="A292" t="s">
        <v>33</v>
      </c>
      <c r="B292" s="1">
        <v>85927.37</v>
      </c>
      <c r="C292">
        <v>74490.44</v>
      </c>
      <c r="D292" s="2">
        <v>43570</v>
      </c>
      <c r="E292" t="s">
        <v>23</v>
      </c>
      <c r="F292" t="s">
        <v>433</v>
      </c>
      <c r="G292" t="s">
        <v>35</v>
      </c>
      <c r="H292" t="s">
        <v>40</v>
      </c>
      <c r="I292" t="s">
        <v>27</v>
      </c>
      <c r="J292" t="s">
        <v>441</v>
      </c>
      <c r="L292">
        <f t="shared" si="17"/>
        <v>201904</v>
      </c>
      <c r="M292">
        <f t="shared" si="18"/>
        <v>4</v>
      </c>
      <c r="N292">
        <f t="shared" si="19"/>
        <v>2019</v>
      </c>
      <c r="O292" t="str">
        <f>VLOOKUP(M292,month_lookup!A:B,2,FALSE)</f>
        <v>Apr</v>
      </c>
      <c r="P292">
        <f t="shared" si="20"/>
        <v>-85927.37</v>
      </c>
    </row>
    <row r="293" spans="1:16" x14ac:dyDescent="0.25">
      <c r="A293" t="s">
        <v>52</v>
      </c>
      <c r="B293" s="1">
        <v>161212.39000000001</v>
      </c>
      <c r="C293">
        <v>138046.17000000001</v>
      </c>
      <c r="D293" s="2">
        <v>44016</v>
      </c>
      <c r="E293" t="s">
        <v>45</v>
      </c>
      <c r="F293" t="s">
        <v>18</v>
      </c>
      <c r="G293" t="s">
        <v>54</v>
      </c>
      <c r="H293" t="s">
        <v>127</v>
      </c>
      <c r="I293" t="s">
        <v>27</v>
      </c>
      <c r="J293" t="s">
        <v>442</v>
      </c>
      <c r="L293">
        <f t="shared" si="17"/>
        <v>202007</v>
      </c>
      <c r="M293">
        <f t="shared" si="18"/>
        <v>7</v>
      </c>
      <c r="N293">
        <f t="shared" si="19"/>
        <v>2020</v>
      </c>
      <c r="O293" t="str">
        <f>VLOOKUP(M293,month_lookup!A:B,2,FALSE)</f>
        <v>Jul</v>
      </c>
      <c r="P293">
        <f t="shared" si="20"/>
        <v>161212.39000000001</v>
      </c>
    </row>
    <row r="294" spans="1:16" x14ac:dyDescent="0.25">
      <c r="A294" t="s">
        <v>52</v>
      </c>
      <c r="B294" s="1">
        <v>66678.38</v>
      </c>
      <c r="C294">
        <v>53009.31</v>
      </c>
      <c r="D294" s="2">
        <v>43528</v>
      </c>
      <c r="E294" t="s">
        <v>59</v>
      </c>
      <c r="F294" t="s">
        <v>154</v>
      </c>
      <c r="G294" t="s">
        <v>54</v>
      </c>
      <c r="H294" t="s">
        <v>71</v>
      </c>
      <c r="I294" t="s">
        <v>27</v>
      </c>
      <c r="J294" t="s">
        <v>443</v>
      </c>
      <c r="L294">
        <f t="shared" si="17"/>
        <v>201903</v>
      </c>
      <c r="M294">
        <f t="shared" si="18"/>
        <v>3</v>
      </c>
      <c r="N294">
        <f t="shared" si="19"/>
        <v>2019</v>
      </c>
      <c r="O294" t="str">
        <f>VLOOKUP(M294,month_lookup!A:B,2,FALSE)</f>
        <v>Mar</v>
      </c>
      <c r="P294">
        <f t="shared" si="20"/>
        <v>-66678.38</v>
      </c>
    </row>
    <row r="295" spans="1:16" x14ac:dyDescent="0.25">
      <c r="A295" t="s">
        <v>9</v>
      </c>
      <c r="B295" s="1">
        <v>148243.04999999999</v>
      </c>
      <c r="C295">
        <v>120566.07</v>
      </c>
      <c r="D295" s="2">
        <v>44172</v>
      </c>
      <c r="E295" t="s">
        <v>29</v>
      </c>
      <c r="F295" t="s">
        <v>34</v>
      </c>
      <c r="G295" t="s">
        <v>12</v>
      </c>
      <c r="H295" t="s">
        <v>13</v>
      </c>
      <c r="I295" t="s">
        <v>27</v>
      </c>
      <c r="J295" t="s">
        <v>444</v>
      </c>
      <c r="L295">
        <f t="shared" si="17"/>
        <v>202012</v>
      </c>
      <c r="M295">
        <f t="shared" si="18"/>
        <v>12</v>
      </c>
      <c r="N295">
        <f t="shared" si="19"/>
        <v>2020</v>
      </c>
      <c r="O295" t="str">
        <f>VLOOKUP(M295,month_lookup!A:B,2,FALSE)</f>
        <v>Dec</v>
      </c>
      <c r="P295">
        <f t="shared" si="20"/>
        <v>148243.04999999999</v>
      </c>
    </row>
    <row r="296" spans="1:16" x14ac:dyDescent="0.25">
      <c r="A296" t="s">
        <v>172</v>
      </c>
      <c r="B296" s="1">
        <v>126523.36</v>
      </c>
      <c r="C296">
        <v>106368.19</v>
      </c>
      <c r="D296" s="2">
        <v>43965</v>
      </c>
      <c r="E296" t="s">
        <v>17</v>
      </c>
      <c r="F296" t="s">
        <v>445</v>
      </c>
      <c r="G296" t="s">
        <v>174</v>
      </c>
      <c r="H296" t="s">
        <v>175</v>
      </c>
      <c r="I296" t="s">
        <v>27</v>
      </c>
      <c r="J296" t="s">
        <v>446</v>
      </c>
      <c r="L296">
        <f t="shared" si="17"/>
        <v>202005</v>
      </c>
      <c r="M296">
        <f t="shared" si="18"/>
        <v>5</v>
      </c>
      <c r="N296">
        <f t="shared" si="19"/>
        <v>2020</v>
      </c>
      <c r="O296" t="str">
        <f>VLOOKUP(M296,month_lookup!A:B,2,FALSE)</f>
        <v>May</v>
      </c>
      <c r="P296">
        <f t="shared" si="20"/>
        <v>126523.36</v>
      </c>
    </row>
    <row r="297" spans="1:16" x14ac:dyDescent="0.25">
      <c r="A297" t="s">
        <v>172</v>
      </c>
      <c r="B297" s="1">
        <v>63373.72</v>
      </c>
      <c r="C297">
        <v>55572.41</v>
      </c>
      <c r="D297" s="2">
        <v>43893</v>
      </c>
      <c r="E297" t="s">
        <v>23</v>
      </c>
      <c r="F297" t="s">
        <v>209</v>
      </c>
      <c r="G297" t="s">
        <v>174</v>
      </c>
      <c r="H297" t="s">
        <v>175</v>
      </c>
      <c r="I297" t="s">
        <v>27</v>
      </c>
      <c r="J297" t="s">
        <v>447</v>
      </c>
      <c r="L297">
        <f t="shared" si="17"/>
        <v>202003</v>
      </c>
      <c r="M297">
        <f t="shared" si="18"/>
        <v>3</v>
      </c>
      <c r="N297">
        <f t="shared" si="19"/>
        <v>2020</v>
      </c>
      <c r="O297" t="str">
        <f>VLOOKUP(M297,month_lookup!A:B,2,FALSE)</f>
        <v>Mar</v>
      </c>
      <c r="P297">
        <f t="shared" si="20"/>
        <v>63373.72</v>
      </c>
    </row>
    <row r="298" spans="1:16" x14ac:dyDescent="0.25">
      <c r="A298" t="s">
        <v>172</v>
      </c>
      <c r="B298" s="1">
        <v>76767.77</v>
      </c>
      <c r="C298">
        <v>64500.28</v>
      </c>
      <c r="D298" s="2">
        <v>43852</v>
      </c>
      <c r="E298" t="s">
        <v>17</v>
      </c>
      <c r="F298" t="s">
        <v>149</v>
      </c>
      <c r="G298" t="s">
        <v>174</v>
      </c>
      <c r="H298" t="s">
        <v>175</v>
      </c>
      <c r="I298" t="s">
        <v>27</v>
      </c>
      <c r="J298" t="s">
        <v>448</v>
      </c>
      <c r="L298">
        <f t="shared" si="17"/>
        <v>202001</v>
      </c>
      <c r="M298">
        <f t="shared" si="18"/>
        <v>1</v>
      </c>
      <c r="N298">
        <f t="shared" si="19"/>
        <v>2020</v>
      </c>
      <c r="O298" t="str">
        <f>VLOOKUP(M298,month_lookup!A:B,2,FALSE)</f>
        <v>Jan</v>
      </c>
      <c r="P298">
        <f t="shared" si="20"/>
        <v>76767.77</v>
      </c>
    </row>
    <row r="299" spans="1:16" x14ac:dyDescent="0.25">
      <c r="A299" t="s">
        <v>22</v>
      </c>
      <c r="B299" s="1">
        <v>78938.820000000007</v>
      </c>
      <c r="C299">
        <v>65471.86</v>
      </c>
      <c r="D299" s="2">
        <v>43579</v>
      </c>
      <c r="E299" t="s">
        <v>17</v>
      </c>
      <c r="F299" t="s">
        <v>145</v>
      </c>
      <c r="G299" t="s">
        <v>25</v>
      </c>
      <c r="H299" t="s">
        <v>218</v>
      </c>
      <c r="I299" t="s">
        <v>27</v>
      </c>
      <c r="J299" t="s">
        <v>449</v>
      </c>
      <c r="L299">
        <f t="shared" si="17"/>
        <v>201904</v>
      </c>
      <c r="M299">
        <f t="shared" si="18"/>
        <v>4</v>
      </c>
      <c r="N299">
        <f t="shared" si="19"/>
        <v>2019</v>
      </c>
      <c r="O299" t="str">
        <f>VLOOKUP(M299,month_lookup!A:B,2,FALSE)</f>
        <v>Apr</v>
      </c>
      <c r="P299">
        <f t="shared" si="20"/>
        <v>-78938.820000000007</v>
      </c>
    </row>
    <row r="300" spans="1:16" x14ac:dyDescent="0.25">
      <c r="A300" t="s">
        <v>52</v>
      </c>
      <c r="B300" s="1">
        <v>131864.04</v>
      </c>
      <c r="C300">
        <v>110277.9</v>
      </c>
      <c r="D300" s="2">
        <v>43564</v>
      </c>
      <c r="E300" t="s">
        <v>50</v>
      </c>
      <c r="F300" t="s">
        <v>101</v>
      </c>
      <c r="G300" t="s">
        <v>54</v>
      </c>
      <c r="H300" t="s">
        <v>132</v>
      </c>
      <c r="I300" t="s">
        <v>27</v>
      </c>
      <c r="J300" t="s">
        <v>450</v>
      </c>
      <c r="L300">
        <f t="shared" si="17"/>
        <v>201904</v>
      </c>
      <c r="M300">
        <f t="shared" si="18"/>
        <v>4</v>
      </c>
      <c r="N300">
        <f t="shared" si="19"/>
        <v>2019</v>
      </c>
      <c r="O300" t="str">
        <f>VLOOKUP(M300,month_lookup!A:B,2,FALSE)</f>
        <v>Apr</v>
      </c>
      <c r="P300">
        <f t="shared" si="20"/>
        <v>-131864.04</v>
      </c>
    </row>
    <row r="301" spans="1:16" x14ac:dyDescent="0.25">
      <c r="A301" t="s">
        <v>22</v>
      </c>
      <c r="B301" s="1">
        <v>116774.43</v>
      </c>
      <c r="C301">
        <v>98954.65</v>
      </c>
      <c r="D301" s="2">
        <v>43576</v>
      </c>
      <c r="E301" t="s">
        <v>45</v>
      </c>
      <c r="F301" t="s">
        <v>122</v>
      </c>
      <c r="G301" t="s">
        <v>25</v>
      </c>
      <c r="H301" t="s">
        <v>89</v>
      </c>
      <c r="I301" t="s">
        <v>14</v>
      </c>
      <c r="J301" t="s">
        <v>451</v>
      </c>
      <c r="L301">
        <f t="shared" si="17"/>
        <v>201904</v>
      </c>
      <c r="M301">
        <f t="shared" si="18"/>
        <v>4</v>
      </c>
      <c r="N301">
        <f t="shared" si="19"/>
        <v>2019</v>
      </c>
      <c r="O301" t="str">
        <f>VLOOKUP(M301,month_lookup!A:B,2,FALSE)</f>
        <v>Apr</v>
      </c>
      <c r="P301">
        <f t="shared" si="20"/>
        <v>-116774.43</v>
      </c>
    </row>
    <row r="302" spans="1:16" x14ac:dyDescent="0.25">
      <c r="A302" t="s">
        <v>52</v>
      </c>
      <c r="B302" s="1">
        <v>141112.84</v>
      </c>
      <c r="C302">
        <v>120044.69</v>
      </c>
      <c r="D302" s="2">
        <v>44051</v>
      </c>
      <c r="E302" t="s">
        <v>79</v>
      </c>
      <c r="F302" t="s">
        <v>53</v>
      </c>
      <c r="G302" t="s">
        <v>54</v>
      </c>
      <c r="H302" t="s">
        <v>143</v>
      </c>
      <c r="I302" t="s">
        <v>14</v>
      </c>
      <c r="J302" t="s">
        <v>452</v>
      </c>
      <c r="L302">
        <f t="shared" si="17"/>
        <v>202008</v>
      </c>
      <c r="M302">
        <f t="shared" si="18"/>
        <v>8</v>
      </c>
      <c r="N302">
        <f t="shared" si="19"/>
        <v>2020</v>
      </c>
      <c r="O302" t="str">
        <f>VLOOKUP(M302,month_lookup!A:B,2,FALSE)</f>
        <v>Aug</v>
      </c>
      <c r="P302">
        <f t="shared" si="20"/>
        <v>141112.84</v>
      </c>
    </row>
    <row r="303" spans="1:16" x14ac:dyDescent="0.25">
      <c r="A303" t="s">
        <v>100</v>
      </c>
      <c r="B303" s="1">
        <v>33210.559999999998</v>
      </c>
      <c r="C303">
        <v>29109.06</v>
      </c>
      <c r="D303" s="2">
        <v>44155</v>
      </c>
      <c r="E303" t="s">
        <v>10</v>
      </c>
      <c r="F303" t="s">
        <v>30</v>
      </c>
      <c r="G303" t="s">
        <v>102</v>
      </c>
      <c r="H303" t="s">
        <v>161</v>
      </c>
      <c r="I303" t="s">
        <v>27</v>
      </c>
      <c r="J303" t="s">
        <v>453</v>
      </c>
      <c r="L303">
        <f t="shared" si="17"/>
        <v>202011</v>
      </c>
      <c r="M303">
        <f t="shared" si="18"/>
        <v>11</v>
      </c>
      <c r="N303">
        <f t="shared" si="19"/>
        <v>2020</v>
      </c>
      <c r="O303" t="str">
        <f>VLOOKUP(M303,month_lookup!A:B,2,FALSE)</f>
        <v>Nov</v>
      </c>
      <c r="P303">
        <f t="shared" si="20"/>
        <v>33210.559999999998</v>
      </c>
    </row>
    <row r="304" spans="1:16" x14ac:dyDescent="0.25">
      <c r="A304" t="s">
        <v>52</v>
      </c>
      <c r="B304" s="1">
        <v>174392.33</v>
      </c>
      <c r="C304">
        <v>141449.62</v>
      </c>
      <c r="D304" s="2">
        <v>44046</v>
      </c>
      <c r="E304" t="s">
        <v>59</v>
      </c>
      <c r="F304" t="s">
        <v>122</v>
      </c>
      <c r="G304" t="s">
        <v>54</v>
      </c>
      <c r="H304" t="s">
        <v>132</v>
      </c>
      <c r="I304" t="s">
        <v>27</v>
      </c>
      <c r="J304" t="s">
        <v>454</v>
      </c>
      <c r="L304">
        <f t="shared" si="17"/>
        <v>202008</v>
      </c>
      <c r="M304">
        <f t="shared" si="18"/>
        <v>8</v>
      </c>
      <c r="N304">
        <f t="shared" si="19"/>
        <v>2020</v>
      </c>
      <c r="O304" t="str">
        <f>VLOOKUP(M304,month_lookup!A:B,2,FALSE)</f>
        <v>Aug</v>
      </c>
      <c r="P304">
        <f t="shared" si="20"/>
        <v>174392.33</v>
      </c>
    </row>
    <row r="305" spans="1:16" x14ac:dyDescent="0.25">
      <c r="A305" t="s">
        <v>9</v>
      </c>
      <c r="B305" s="1">
        <v>204484.61</v>
      </c>
      <c r="C305">
        <v>177308.61</v>
      </c>
      <c r="D305" s="2">
        <v>43632</v>
      </c>
      <c r="E305" t="s">
        <v>17</v>
      </c>
      <c r="F305" t="s">
        <v>46</v>
      </c>
      <c r="G305" t="s">
        <v>12</v>
      </c>
      <c r="H305" t="s">
        <v>117</v>
      </c>
      <c r="I305" t="s">
        <v>37</v>
      </c>
      <c r="J305" t="s">
        <v>455</v>
      </c>
      <c r="L305">
        <f t="shared" si="17"/>
        <v>201906</v>
      </c>
      <c r="M305">
        <f t="shared" si="18"/>
        <v>6</v>
      </c>
      <c r="N305">
        <f t="shared" si="19"/>
        <v>2019</v>
      </c>
      <c r="O305" t="str">
        <f>VLOOKUP(M305,month_lookup!A:B,2,FALSE)</f>
        <v>Jun</v>
      </c>
      <c r="P305">
        <f t="shared" si="20"/>
        <v>-204484.61</v>
      </c>
    </row>
    <row r="306" spans="1:16" x14ac:dyDescent="0.25">
      <c r="A306" t="s">
        <v>214</v>
      </c>
      <c r="B306" s="1">
        <v>80986.100000000006</v>
      </c>
      <c r="C306">
        <v>64124.79</v>
      </c>
      <c r="D306" s="2">
        <v>43801</v>
      </c>
      <c r="E306" t="s">
        <v>50</v>
      </c>
      <c r="F306" t="s">
        <v>209</v>
      </c>
      <c r="G306" t="s">
        <v>215</v>
      </c>
      <c r="H306" t="s">
        <v>216</v>
      </c>
      <c r="I306" t="s">
        <v>14</v>
      </c>
      <c r="J306" t="s">
        <v>456</v>
      </c>
      <c r="L306">
        <f t="shared" si="17"/>
        <v>201912</v>
      </c>
      <c r="M306">
        <f t="shared" si="18"/>
        <v>12</v>
      </c>
      <c r="N306">
        <f t="shared" si="19"/>
        <v>2019</v>
      </c>
      <c r="O306" t="str">
        <f>VLOOKUP(M306,month_lookup!A:B,2,FALSE)</f>
        <v>Dec</v>
      </c>
      <c r="P306">
        <f t="shared" si="20"/>
        <v>-80986.100000000006</v>
      </c>
    </row>
    <row r="307" spans="1:16" x14ac:dyDescent="0.25">
      <c r="A307" t="s">
        <v>9</v>
      </c>
      <c r="B307" s="1">
        <v>179179.73</v>
      </c>
      <c r="C307">
        <v>154936.71</v>
      </c>
      <c r="D307" s="2">
        <v>43760</v>
      </c>
      <c r="E307" t="s">
        <v>10</v>
      </c>
      <c r="F307" t="s">
        <v>177</v>
      </c>
      <c r="G307" t="s">
        <v>12</v>
      </c>
      <c r="H307" t="s">
        <v>68</v>
      </c>
      <c r="I307" t="s">
        <v>27</v>
      </c>
      <c r="J307" t="s">
        <v>457</v>
      </c>
      <c r="L307">
        <f t="shared" si="17"/>
        <v>201910</v>
      </c>
      <c r="M307">
        <f t="shared" si="18"/>
        <v>10</v>
      </c>
      <c r="N307">
        <f t="shared" si="19"/>
        <v>2019</v>
      </c>
      <c r="O307" t="str">
        <f>VLOOKUP(M307,month_lookup!A:B,2,FALSE)</f>
        <v>Oct</v>
      </c>
      <c r="P307">
        <f t="shared" si="20"/>
        <v>-179179.73</v>
      </c>
    </row>
    <row r="308" spans="1:16" x14ac:dyDescent="0.25">
      <c r="A308" t="s">
        <v>83</v>
      </c>
      <c r="B308" s="1">
        <v>99731.4</v>
      </c>
      <c r="C308">
        <v>84731.8</v>
      </c>
      <c r="D308" s="2">
        <v>43842</v>
      </c>
      <c r="E308" t="s">
        <v>79</v>
      </c>
      <c r="F308" t="s">
        <v>173</v>
      </c>
      <c r="G308" t="s">
        <v>84</v>
      </c>
      <c r="H308" t="s">
        <v>85</v>
      </c>
      <c r="I308" t="s">
        <v>27</v>
      </c>
      <c r="J308" t="s">
        <v>458</v>
      </c>
      <c r="L308">
        <f t="shared" si="17"/>
        <v>202001</v>
      </c>
      <c r="M308">
        <f t="shared" si="18"/>
        <v>1</v>
      </c>
      <c r="N308">
        <f t="shared" si="19"/>
        <v>2020</v>
      </c>
      <c r="O308" t="str">
        <f>VLOOKUP(M308,month_lookup!A:B,2,FALSE)</f>
        <v>Jan</v>
      </c>
      <c r="P308">
        <f t="shared" si="20"/>
        <v>99731.4</v>
      </c>
    </row>
    <row r="309" spans="1:16" x14ac:dyDescent="0.25">
      <c r="A309" t="s">
        <v>52</v>
      </c>
      <c r="B309" s="1">
        <v>32661.62</v>
      </c>
      <c r="C309">
        <v>27922.42</v>
      </c>
      <c r="D309" s="2">
        <v>43869</v>
      </c>
      <c r="E309" t="s">
        <v>79</v>
      </c>
      <c r="F309" t="s">
        <v>177</v>
      </c>
      <c r="G309" t="s">
        <v>54</v>
      </c>
      <c r="H309" t="s">
        <v>71</v>
      </c>
      <c r="I309" t="s">
        <v>27</v>
      </c>
      <c r="J309" t="s">
        <v>459</v>
      </c>
      <c r="L309">
        <f t="shared" si="17"/>
        <v>202002</v>
      </c>
      <c r="M309">
        <f t="shared" si="18"/>
        <v>2</v>
      </c>
      <c r="N309">
        <f t="shared" si="19"/>
        <v>2020</v>
      </c>
      <c r="O309" t="str">
        <f>VLOOKUP(M309,month_lookup!A:B,2,FALSE)</f>
        <v>Feb</v>
      </c>
      <c r="P309">
        <f t="shared" si="20"/>
        <v>32661.62</v>
      </c>
    </row>
    <row r="310" spans="1:16" x14ac:dyDescent="0.25">
      <c r="A310" t="s">
        <v>9</v>
      </c>
      <c r="B310" s="1">
        <v>30166.93</v>
      </c>
      <c r="C310">
        <v>24658.45</v>
      </c>
      <c r="D310" s="2">
        <v>43798</v>
      </c>
      <c r="E310" t="s">
        <v>50</v>
      </c>
      <c r="F310" t="s">
        <v>253</v>
      </c>
      <c r="G310" t="s">
        <v>12</v>
      </c>
      <c r="H310" t="s">
        <v>169</v>
      </c>
      <c r="I310" t="s">
        <v>27</v>
      </c>
      <c r="J310" t="s">
        <v>460</v>
      </c>
      <c r="L310">
        <f t="shared" si="17"/>
        <v>201911</v>
      </c>
      <c r="M310">
        <f t="shared" si="18"/>
        <v>11</v>
      </c>
      <c r="N310">
        <f t="shared" si="19"/>
        <v>2019</v>
      </c>
      <c r="O310" t="str">
        <f>VLOOKUP(M310,month_lookup!A:B,2,FALSE)</f>
        <v>Nov</v>
      </c>
      <c r="P310">
        <f t="shared" si="20"/>
        <v>-30166.93</v>
      </c>
    </row>
    <row r="311" spans="1:16" x14ac:dyDescent="0.25">
      <c r="A311" t="s">
        <v>214</v>
      </c>
      <c r="B311" s="1">
        <v>36747.24</v>
      </c>
      <c r="C311">
        <v>31900.28</v>
      </c>
      <c r="D311" s="2">
        <v>43484</v>
      </c>
      <c r="E311" t="s">
        <v>45</v>
      </c>
      <c r="F311" t="s">
        <v>34</v>
      </c>
      <c r="G311" t="s">
        <v>215</v>
      </c>
      <c r="H311" t="s">
        <v>216</v>
      </c>
      <c r="I311" t="s">
        <v>27</v>
      </c>
      <c r="J311" t="s">
        <v>461</v>
      </c>
      <c r="L311">
        <f t="shared" si="17"/>
        <v>201901</v>
      </c>
      <c r="M311">
        <f t="shared" si="18"/>
        <v>1</v>
      </c>
      <c r="N311">
        <f t="shared" si="19"/>
        <v>2019</v>
      </c>
      <c r="O311" t="str">
        <f>VLOOKUP(M311,month_lookup!A:B,2,FALSE)</f>
        <v>Jan</v>
      </c>
      <c r="P311">
        <f t="shared" si="20"/>
        <v>-36747.24</v>
      </c>
    </row>
    <row r="312" spans="1:16" x14ac:dyDescent="0.25">
      <c r="A312" t="s">
        <v>52</v>
      </c>
      <c r="B312" s="1">
        <v>66884.7</v>
      </c>
      <c r="C312">
        <v>58544.18</v>
      </c>
      <c r="D312" s="2">
        <v>43849</v>
      </c>
      <c r="E312" t="s">
        <v>59</v>
      </c>
      <c r="F312" t="s">
        <v>63</v>
      </c>
      <c r="G312" t="s">
        <v>54</v>
      </c>
      <c r="H312" t="s">
        <v>127</v>
      </c>
      <c r="I312" t="s">
        <v>27</v>
      </c>
      <c r="J312" t="s">
        <v>462</v>
      </c>
      <c r="L312">
        <f t="shared" si="17"/>
        <v>202001</v>
      </c>
      <c r="M312">
        <f t="shared" si="18"/>
        <v>1</v>
      </c>
      <c r="N312">
        <f t="shared" si="19"/>
        <v>2020</v>
      </c>
      <c r="O312" t="str">
        <f>VLOOKUP(M312,month_lookup!A:B,2,FALSE)</f>
        <v>Jan</v>
      </c>
      <c r="P312">
        <f t="shared" si="20"/>
        <v>66884.7</v>
      </c>
    </row>
    <row r="313" spans="1:16" x14ac:dyDescent="0.25">
      <c r="A313" t="s">
        <v>22</v>
      </c>
      <c r="B313" s="1">
        <v>165305.70000000001</v>
      </c>
      <c r="C313">
        <v>134757.21</v>
      </c>
      <c r="D313" s="2">
        <v>43659</v>
      </c>
      <c r="E313" t="s">
        <v>17</v>
      </c>
      <c r="F313" t="s">
        <v>157</v>
      </c>
      <c r="G313" t="s">
        <v>25</v>
      </c>
      <c r="H313" t="s">
        <v>31</v>
      </c>
      <c r="I313" t="s">
        <v>27</v>
      </c>
      <c r="J313" t="s">
        <v>463</v>
      </c>
      <c r="L313">
        <f t="shared" si="17"/>
        <v>201907</v>
      </c>
      <c r="M313">
        <f t="shared" si="18"/>
        <v>7</v>
      </c>
      <c r="N313">
        <f t="shared" si="19"/>
        <v>2019</v>
      </c>
      <c r="O313" t="str">
        <f>VLOOKUP(M313,month_lookup!A:B,2,FALSE)</f>
        <v>Jul</v>
      </c>
      <c r="P313">
        <f t="shared" si="20"/>
        <v>-165305.70000000001</v>
      </c>
    </row>
    <row r="314" spans="1:16" x14ac:dyDescent="0.25">
      <c r="A314" t="s">
        <v>9</v>
      </c>
      <c r="B314" s="1">
        <v>50618.21</v>
      </c>
      <c r="C314">
        <v>41835.949999999997</v>
      </c>
      <c r="D314" s="2">
        <v>43529</v>
      </c>
      <c r="E314" t="s">
        <v>29</v>
      </c>
      <c r="F314" t="s">
        <v>165</v>
      </c>
      <c r="G314" t="s">
        <v>12</v>
      </c>
      <c r="H314" t="s">
        <v>169</v>
      </c>
      <c r="I314" t="s">
        <v>27</v>
      </c>
      <c r="J314" t="s">
        <v>464</v>
      </c>
      <c r="L314">
        <f t="shared" si="17"/>
        <v>201903</v>
      </c>
      <c r="M314">
        <f t="shared" si="18"/>
        <v>3</v>
      </c>
      <c r="N314">
        <f t="shared" si="19"/>
        <v>2019</v>
      </c>
      <c r="O314" t="str">
        <f>VLOOKUP(M314,month_lookup!A:B,2,FALSE)</f>
        <v>Mar</v>
      </c>
      <c r="P314">
        <f t="shared" si="20"/>
        <v>-50618.21</v>
      </c>
    </row>
    <row r="315" spans="1:16" x14ac:dyDescent="0.25">
      <c r="A315" t="s">
        <v>9</v>
      </c>
      <c r="B315" s="1">
        <v>82116.31</v>
      </c>
      <c r="C315">
        <v>70652.87</v>
      </c>
      <c r="D315" s="2">
        <v>43981</v>
      </c>
      <c r="E315" t="s">
        <v>29</v>
      </c>
      <c r="F315" t="s">
        <v>177</v>
      </c>
      <c r="G315" t="s">
        <v>12</v>
      </c>
      <c r="H315" t="s">
        <v>117</v>
      </c>
      <c r="I315" t="s">
        <v>37</v>
      </c>
      <c r="J315" t="s">
        <v>465</v>
      </c>
      <c r="L315">
        <f t="shared" si="17"/>
        <v>202005</v>
      </c>
      <c r="M315">
        <f t="shared" si="18"/>
        <v>5</v>
      </c>
      <c r="N315">
        <f t="shared" si="19"/>
        <v>2020</v>
      </c>
      <c r="O315" t="str">
        <f>VLOOKUP(M315,month_lookup!A:B,2,FALSE)</f>
        <v>May</v>
      </c>
      <c r="P315">
        <f t="shared" si="20"/>
        <v>82116.31</v>
      </c>
    </row>
    <row r="316" spans="1:16" x14ac:dyDescent="0.25">
      <c r="A316" t="s">
        <v>9</v>
      </c>
      <c r="B316" s="1">
        <v>106142.65</v>
      </c>
      <c r="C316">
        <v>88151.47</v>
      </c>
      <c r="D316" s="2">
        <v>43620</v>
      </c>
      <c r="E316" t="s">
        <v>17</v>
      </c>
      <c r="F316" t="s">
        <v>466</v>
      </c>
      <c r="G316" t="s">
        <v>12</v>
      </c>
      <c r="H316" t="s">
        <v>68</v>
      </c>
      <c r="I316" t="s">
        <v>27</v>
      </c>
      <c r="J316" t="s">
        <v>467</v>
      </c>
      <c r="L316">
        <f t="shared" si="17"/>
        <v>201906</v>
      </c>
      <c r="M316">
        <f t="shared" si="18"/>
        <v>6</v>
      </c>
      <c r="N316">
        <f t="shared" si="19"/>
        <v>2019</v>
      </c>
      <c r="O316" t="str">
        <f>VLOOKUP(M316,month_lookup!A:B,2,FALSE)</f>
        <v>Jun</v>
      </c>
      <c r="P316">
        <f t="shared" si="20"/>
        <v>-106142.65</v>
      </c>
    </row>
    <row r="317" spans="1:16" x14ac:dyDescent="0.25">
      <c r="A317" t="s">
        <v>22</v>
      </c>
      <c r="B317" s="1">
        <v>149514</v>
      </c>
      <c r="C317">
        <v>122646.33</v>
      </c>
      <c r="D317" s="2">
        <v>44122</v>
      </c>
      <c r="E317" t="s">
        <v>17</v>
      </c>
      <c r="F317" t="s">
        <v>179</v>
      </c>
      <c r="G317" t="s">
        <v>25</v>
      </c>
      <c r="H317" t="s">
        <v>26</v>
      </c>
      <c r="I317" t="s">
        <v>14</v>
      </c>
      <c r="J317" t="s">
        <v>468</v>
      </c>
      <c r="L317">
        <f t="shared" si="17"/>
        <v>202010</v>
      </c>
      <c r="M317">
        <f t="shared" si="18"/>
        <v>10</v>
      </c>
      <c r="N317">
        <f t="shared" si="19"/>
        <v>2020</v>
      </c>
      <c r="O317" t="str">
        <f>VLOOKUP(M317,month_lookup!A:B,2,FALSE)</f>
        <v>Oct</v>
      </c>
      <c r="P317">
        <f t="shared" si="20"/>
        <v>149514</v>
      </c>
    </row>
    <row r="318" spans="1:16" x14ac:dyDescent="0.25">
      <c r="A318" t="s">
        <v>9</v>
      </c>
      <c r="B318" s="1">
        <v>30975.79</v>
      </c>
      <c r="C318">
        <v>27072.84</v>
      </c>
      <c r="D318" s="2">
        <v>43905</v>
      </c>
      <c r="E318" t="s">
        <v>23</v>
      </c>
      <c r="F318" t="s">
        <v>147</v>
      </c>
      <c r="G318" t="s">
        <v>12</v>
      </c>
      <c r="H318" t="s">
        <v>169</v>
      </c>
      <c r="I318" t="s">
        <v>27</v>
      </c>
      <c r="J318" t="s">
        <v>469</v>
      </c>
      <c r="L318">
        <f t="shared" si="17"/>
        <v>202003</v>
      </c>
      <c r="M318">
        <f t="shared" si="18"/>
        <v>3</v>
      </c>
      <c r="N318">
        <f t="shared" si="19"/>
        <v>2020</v>
      </c>
      <c r="O318" t="str">
        <f>VLOOKUP(M318,month_lookup!A:B,2,FALSE)</f>
        <v>Mar</v>
      </c>
      <c r="P318">
        <f t="shared" si="20"/>
        <v>30975.79</v>
      </c>
    </row>
    <row r="319" spans="1:16" x14ac:dyDescent="0.25">
      <c r="A319" t="s">
        <v>52</v>
      </c>
      <c r="B319" s="1">
        <v>165118.74</v>
      </c>
      <c r="C319">
        <v>137527.4</v>
      </c>
      <c r="D319" s="2">
        <v>43771</v>
      </c>
      <c r="E319" t="s">
        <v>23</v>
      </c>
      <c r="F319" t="s">
        <v>173</v>
      </c>
      <c r="G319" t="s">
        <v>54</v>
      </c>
      <c r="H319" t="s">
        <v>71</v>
      </c>
      <c r="I319" t="s">
        <v>27</v>
      </c>
      <c r="J319" t="s">
        <v>470</v>
      </c>
      <c r="L319">
        <f t="shared" si="17"/>
        <v>201911</v>
      </c>
      <c r="M319">
        <f t="shared" si="18"/>
        <v>11</v>
      </c>
      <c r="N319">
        <f t="shared" si="19"/>
        <v>2019</v>
      </c>
      <c r="O319" t="str">
        <f>VLOOKUP(M319,month_lookup!A:B,2,FALSE)</f>
        <v>Nov</v>
      </c>
      <c r="P319">
        <f t="shared" si="20"/>
        <v>-165118.74</v>
      </c>
    </row>
    <row r="320" spans="1:16" x14ac:dyDescent="0.25">
      <c r="A320" t="s">
        <v>214</v>
      </c>
      <c r="B320" s="1">
        <v>76652.73</v>
      </c>
      <c r="C320">
        <v>64311.64</v>
      </c>
      <c r="D320" s="2">
        <v>44047</v>
      </c>
      <c r="E320" t="s">
        <v>45</v>
      </c>
      <c r="F320" t="s">
        <v>39</v>
      </c>
      <c r="G320" t="s">
        <v>215</v>
      </c>
      <c r="H320" t="s">
        <v>216</v>
      </c>
      <c r="I320" t="s">
        <v>27</v>
      </c>
      <c r="J320" t="s">
        <v>471</v>
      </c>
      <c r="L320">
        <f t="shared" si="17"/>
        <v>202008</v>
      </c>
      <c r="M320">
        <f t="shared" si="18"/>
        <v>8</v>
      </c>
      <c r="N320">
        <f t="shared" si="19"/>
        <v>2020</v>
      </c>
      <c r="O320" t="str">
        <f>VLOOKUP(M320,month_lookup!A:B,2,FALSE)</f>
        <v>Aug</v>
      </c>
      <c r="P320">
        <f t="shared" si="20"/>
        <v>76652.73</v>
      </c>
    </row>
    <row r="321" spans="1:16" x14ac:dyDescent="0.25">
      <c r="A321" t="s">
        <v>44</v>
      </c>
      <c r="B321" s="1">
        <v>151632.32999999999</v>
      </c>
      <c r="C321">
        <v>120744.82</v>
      </c>
      <c r="D321" s="2">
        <v>44026</v>
      </c>
      <c r="E321" t="s">
        <v>23</v>
      </c>
      <c r="F321" t="s">
        <v>96</v>
      </c>
      <c r="G321" t="s">
        <v>47</v>
      </c>
      <c r="H321" t="s">
        <v>48</v>
      </c>
      <c r="I321" t="s">
        <v>27</v>
      </c>
      <c r="J321" t="s">
        <v>472</v>
      </c>
      <c r="L321">
        <f t="shared" si="17"/>
        <v>202007</v>
      </c>
      <c r="M321">
        <f t="shared" si="18"/>
        <v>7</v>
      </c>
      <c r="N321">
        <f t="shared" si="19"/>
        <v>2020</v>
      </c>
      <c r="O321" t="str">
        <f>VLOOKUP(M321,month_lookup!A:B,2,FALSE)</f>
        <v>Jul</v>
      </c>
      <c r="P321">
        <f t="shared" si="20"/>
        <v>151632.32999999999</v>
      </c>
    </row>
    <row r="322" spans="1:16" x14ac:dyDescent="0.25">
      <c r="A322" t="s">
        <v>52</v>
      </c>
      <c r="B322" s="1">
        <v>35289.75</v>
      </c>
      <c r="C322">
        <v>29424.59</v>
      </c>
      <c r="D322" s="2">
        <v>43522</v>
      </c>
      <c r="E322" t="s">
        <v>59</v>
      </c>
      <c r="F322" t="s">
        <v>96</v>
      </c>
      <c r="G322" t="s">
        <v>54</v>
      </c>
      <c r="H322" t="s">
        <v>55</v>
      </c>
      <c r="I322" t="s">
        <v>27</v>
      </c>
      <c r="J322" t="s">
        <v>473</v>
      </c>
      <c r="L322">
        <f t="shared" si="17"/>
        <v>201902</v>
      </c>
      <c r="M322">
        <f t="shared" si="18"/>
        <v>2</v>
      </c>
      <c r="N322">
        <f t="shared" si="19"/>
        <v>2019</v>
      </c>
      <c r="O322" t="str">
        <f>VLOOKUP(M322,month_lookup!A:B,2,FALSE)</f>
        <v>Feb</v>
      </c>
      <c r="P322">
        <f t="shared" si="20"/>
        <v>-35289.75</v>
      </c>
    </row>
    <row r="323" spans="1:16" x14ac:dyDescent="0.25">
      <c r="A323" t="s">
        <v>52</v>
      </c>
      <c r="B323" s="1">
        <v>77043.839999999997</v>
      </c>
      <c r="C323">
        <v>63245.29</v>
      </c>
      <c r="D323" s="2">
        <v>43869</v>
      </c>
      <c r="E323" t="s">
        <v>61</v>
      </c>
      <c r="F323" t="s">
        <v>96</v>
      </c>
      <c r="G323" t="s">
        <v>54</v>
      </c>
      <c r="H323" t="s">
        <v>143</v>
      </c>
      <c r="I323" t="s">
        <v>27</v>
      </c>
      <c r="J323" t="s">
        <v>474</v>
      </c>
      <c r="L323">
        <f t="shared" ref="L323:L386" si="21">YEAR(D323)*100+MONTH(D323)</f>
        <v>202002</v>
      </c>
      <c r="M323">
        <f t="shared" ref="M323:M386" si="22">MONTH(D323)</f>
        <v>2</v>
      </c>
      <c r="N323">
        <f t="shared" ref="N323:N386" si="23">YEAR(D323)</f>
        <v>2020</v>
      </c>
      <c r="O323" t="str">
        <f>VLOOKUP(M323,month_lookup!A:B,2,FALSE)</f>
        <v>Feb</v>
      </c>
      <c r="P323">
        <f t="shared" si="20"/>
        <v>77043.839999999997</v>
      </c>
    </row>
    <row r="324" spans="1:16" x14ac:dyDescent="0.25">
      <c r="A324" t="s">
        <v>22</v>
      </c>
      <c r="B324" s="1">
        <v>59691.71</v>
      </c>
      <c r="C324">
        <v>49239.69</v>
      </c>
      <c r="D324" s="2">
        <v>43633</v>
      </c>
      <c r="E324" t="s">
        <v>138</v>
      </c>
      <c r="F324" t="s">
        <v>154</v>
      </c>
      <c r="G324" t="s">
        <v>25</v>
      </c>
      <c r="H324" t="s">
        <v>89</v>
      </c>
      <c r="I324" t="s">
        <v>27</v>
      </c>
      <c r="J324" t="s">
        <v>475</v>
      </c>
      <c r="L324">
        <f t="shared" si="21"/>
        <v>201906</v>
      </c>
      <c r="M324">
        <f t="shared" si="22"/>
        <v>6</v>
      </c>
      <c r="N324">
        <f t="shared" si="23"/>
        <v>2019</v>
      </c>
      <c r="O324" t="str">
        <f>VLOOKUP(M324,month_lookup!A:B,2,FALSE)</f>
        <v>Jun</v>
      </c>
      <c r="P324">
        <f t="shared" si="20"/>
        <v>-59691.71</v>
      </c>
    </row>
    <row r="325" spans="1:16" x14ac:dyDescent="0.25">
      <c r="A325" t="s">
        <v>22</v>
      </c>
      <c r="B325" s="1">
        <v>181882.43</v>
      </c>
      <c r="C325">
        <v>149834.75</v>
      </c>
      <c r="D325" s="2">
        <v>43674</v>
      </c>
      <c r="E325" t="s">
        <v>10</v>
      </c>
      <c r="F325" t="s">
        <v>223</v>
      </c>
      <c r="G325" t="s">
        <v>25</v>
      </c>
      <c r="H325" t="s">
        <v>75</v>
      </c>
      <c r="I325" t="s">
        <v>27</v>
      </c>
      <c r="J325" t="s">
        <v>476</v>
      </c>
      <c r="L325">
        <f t="shared" si="21"/>
        <v>201907</v>
      </c>
      <c r="M325">
        <f t="shared" si="22"/>
        <v>7</v>
      </c>
      <c r="N325">
        <f t="shared" si="23"/>
        <v>2019</v>
      </c>
      <c r="O325" t="str">
        <f>VLOOKUP(M325,month_lookup!A:B,2,FALSE)</f>
        <v>Jul</v>
      </c>
      <c r="P325">
        <f t="shared" si="20"/>
        <v>-181882.43</v>
      </c>
    </row>
    <row r="326" spans="1:16" x14ac:dyDescent="0.25">
      <c r="A326" t="s">
        <v>22</v>
      </c>
      <c r="B326" s="1">
        <v>50796.04</v>
      </c>
      <c r="C326">
        <v>44090.96</v>
      </c>
      <c r="D326" s="2">
        <v>43729</v>
      </c>
      <c r="E326" t="s">
        <v>10</v>
      </c>
      <c r="F326" t="s">
        <v>39</v>
      </c>
      <c r="G326" t="s">
        <v>25</v>
      </c>
      <c r="H326" t="s">
        <v>89</v>
      </c>
      <c r="I326" t="s">
        <v>27</v>
      </c>
      <c r="J326" t="s">
        <v>477</v>
      </c>
      <c r="L326">
        <f t="shared" si="21"/>
        <v>201909</v>
      </c>
      <c r="M326">
        <f t="shared" si="22"/>
        <v>9</v>
      </c>
      <c r="N326">
        <f t="shared" si="23"/>
        <v>2019</v>
      </c>
      <c r="O326" t="str">
        <f>VLOOKUP(M326,month_lookup!A:B,2,FALSE)</f>
        <v>Sep</v>
      </c>
      <c r="P326">
        <f t="shared" si="20"/>
        <v>-50796.04</v>
      </c>
    </row>
    <row r="327" spans="1:16" x14ac:dyDescent="0.25">
      <c r="A327" t="s">
        <v>83</v>
      </c>
      <c r="B327" s="1">
        <v>73981.77</v>
      </c>
      <c r="C327">
        <v>61959.73</v>
      </c>
      <c r="D327" s="2">
        <v>43787</v>
      </c>
      <c r="E327" t="s">
        <v>23</v>
      </c>
      <c r="F327" t="s">
        <v>134</v>
      </c>
      <c r="G327" t="s">
        <v>84</v>
      </c>
      <c r="H327" t="s">
        <v>85</v>
      </c>
      <c r="I327" t="s">
        <v>27</v>
      </c>
      <c r="J327" t="s">
        <v>478</v>
      </c>
      <c r="L327">
        <f t="shared" si="21"/>
        <v>201911</v>
      </c>
      <c r="M327">
        <f t="shared" si="22"/>
        <v>11</v>
      </c>
      <c r="N327">
        <f t="shared" si="23"/>
        <v>2019</v>
      </c>
      <c r="O327" t="str">
        <f>VLOOKUP(M327,month_lookup!A:B,2,FALSE)</f>
        <v>Nov</v>
      </c>
      <c r="P327">
        <f t="shared" ref="P327:P390" si="24">IF(N327=2020,B327,-B327)</f>
        <v>-73981.77</v>
      </c>
    </row>
    <row r="328" spans="1:16" x14ac:dyDescent="0.25">
      <c r="A328" t="s">
        <v>44</v>
      </c>
      <c r="B328" s="1">
        <v>105686.13</v>
      </c>
      <c r="C328">
        <v>86694.33</v>
      </c>
      <c r="D328" s="2">
        <v>43751</v>
      </c>
      <c r="E328" t="s">
        <v>61</v>
      </c>
      <c r="F328" t="s">
        <v>34</v>
      </c>
      <c r="G328" t="s">
        <v>47</v>
      </c>
      <c r="H328" t="s">
        <v>65</v>
      </c>
      <c r="I328" t="s">
        <v>27</v>
      </c>
      <c r="J328" t="s">
        <v>479</v>
      </c>
      <c r="L328">
        <f t="shared" si="21"/>
        <v>201910</v>
      </c>
      <c r="M328">
        <f t="shared" si="22"/>
        <v>10</v>
      </c>
      <c r="N328">
        <f t="shared" si="23"/>
        <v>2019</v>
      </c>
      <c r="O328" t="str">
        <f>VLOOKUP(M328,month_lookup!A:B,2,FALSE)</f>
        <v>Oct</v>
      </c>
      <c r="P328">
        <f t="shared" si="24"/>
        <v>-105686.13</v>
      </c>
    </row>
    <row r="329" spans="1:16" x14ac:dyDescent="0.25">
      <c r="A329" t="s">
        <v>9</v>
      </c>
      <c r="B329" s="1">
        <v>149376.26</v>
      </c>
      <c r="C329">
        <v>123653.67</v>
      </c>
      <c r="D329" s="2">
        <v>43861</v>
      </c>
      <c r="E329" t="s">
        <v>138</v>
      </c>
      <c r="F329" t="s">
        <v>145</v>
      </c>
      <c r="G329" t="s">
        <v>12</v>
      </c>
      <c r="H329" t="s">
        <v>81</v>
      </c>
      <c r="I329" t="s">
        <v>27</v>
      </c>
      <c r="J329" t="s">
        <v>480</v>
      </c>
      <c r="L329">
        <f t="shared" si="21"/>
        <v>202001</v>
      </c>
      <c r="M329">
        <f t="shared" si="22"/>
        <v>1</v>
      </c>
      <c r="N329">
        <f t="shared" si="23"/>
        <v>2020</v>
      </c>
      <c r="O329" t="str">
        <f>VLOOKUP(M329,month_lookup!A:B,2,FALSE)</f>
        <v>Jan</v>
      </c>
      <c r="P329">
        <f t="shared" si="24"/>
        <v>149376.26</v>
      </c>
    </row>
    <row r="330" spans="1:16" x14ac:dyDescent="0.25">
      <c r="A330" t="s">
        <v>83</v>
      </c>
      <c r="B330" s="1">
        <v>85237.91</v>
      </c>
      <c r="C330">
        <v>72384.03</v>
      </c>
      <c r="D330" s="2">
        <v>43908</v>
      </c>
      <c r="E330" t="s">
        <v>59</v>
      </c>
      <c r="F330" t="s">
        <v>96</v>
      </c>
      <c r="G330" t="s">
        <v>84</v>
      </c>
      <c r="H330" t="s">
        <v>85</v>
      </c>
      <c r="I330" t="s">
        <v>27</v>
      </c>
      <c r="J330" t="s">
        <v>481</v>
      </c>
      <c r="L330">
        <f t="shared" si="21"/>
        <v>202003</v>
      </c>
      <c r="M330">
        <f t="shared" si="22"/>
        <v>3</v>
      </c>
      <c r="N330">
        <f t="shared" si="23"/>
        <v>2020</v>
      </c>
      <c r="O330" t="str">
        <f>VLOOKUP(M330,month_lookup!A:B,2,FALSE)</f>
        <v>Mar</v>
      </c>
      <c r="P330">
        <f t="shared" si="24"/>
        <v>85237.91</v>
      </c>
    </row>
    <row r="331" spans="1:16" x14ac:dyDescent="0.25">
      <c r="A331" t="s">
        <v>105</v>
      </c>
      <c r="B331" s="1">
        <v>104743.22</v>
      </c>
      <c r="C331">
        <v>83281.33</v>
      </c>
      <c r="D331" s="2">
        <v>43548</v>
      </c>
      <c r="E331" t="s">
        <v>79</v>
      </c>
      <c r="F331" t="s">
        <v>34</v>
      </c>
      <c r="G331" t="s">
        <v>106</v>
      </c>
      <c r="H331" t="s">
        <v>107</v>
      </c>
      <c r="I331" t="s">
        <v>14</v>
      </c>
      <c r="J331" t="s">
        <v>482</v>
      </c>
      <c r="L331">
        <f t="shared" si="21"/>
        <v>201903</v>
      </c>
      <c r="M331">
        <f t="shared" si="22"/>
        <v>3</v>
      </c>
      <c r="N331">
        <f t="shared" si="23"/>
        <v>2019</v>
      </c>
      <c r="O331" t="str">
        <f>VLOOKUP(M331,month_lookup!A:B,2,FALSE)</f>
        <v>Mar</v>
      </c>
      <c r="P331">
        <f t="shared" si="24"/>
        <v>-104743.22</v>
      </c>
    </row>
    <row r="332" spans="1:16" x14ac:dyDescent="0.25">
      <c r="A332" t="s">
        <v>22</v>
      </c>
      <c r="B332" s="1">
        <v>290551.74</v>
      </c>
      <c r="C332">
        <v>239530.86</v>
      </c>
      <c r="D332" s="2">
        <v>44179</v>
      </c>
      <c r="E332" t="s">
        <v>138</v>
      </c>
      <c r="F332" t="s">
        <v>30</v>
      </c>
      <c r="G332" t="s">
        <v>25</v>
      </c>
      <c r="H332" t="s">
        <v>218</v>
      </c>
      <c r="I332" t="s">
        <v>27</v>
      </c>
      <c r="J332" t="s">
        <v>483</v>
      </c>
      <c r="L332">
        <f t="shared" si="21"/>
        <v>202012</v>
      </c>
      <c r="M332">
        <f t="shared" si="22"/>
        <v>12</v>
      </c>
      <c r="N332">
        <f t="shared" si="23"/>
        <v>2020</v>
      </c>
      <c r="O332" t="str">
        <f>VLOOKUP(M332,month_lookup!A:B,2,FALSE)</f>
        <v>Dec</v>
      </c>
      <c r="P332">
        <f t="shared" si="24"/>
        <v>290551.74</v>
      </c>
    </row>
    <row r="333" spans="1:16" x14ac:dyDescent="0.25">
      <c r="A333" t="s">
        <v>52</v>
      </c>
      <c r="B333" s="1">
        <v>72314.73</v>
      </c>
      <c r="C333">
        <v>57309.42</v>
      </c>
      <c r="D333" s="2">
        <v>43704</v>
      </c>
      <c r="E333" t="s">
        <v>50</v>
      </c>
      <c r="F333" t="s">
        <v>34</v>
      </c>
      <c r="G333" t="s">
        <v>54</v>
      </c>
      <c r="H333" t="s">
        <v>132</v>
      </c>
      <c r="I333" t="s">
        <v>27</v>
      </c>
      <c r="J333" t="s">
        <v>484</v>
      </c>
      <c r="L333">
        <f t="shared" si="21"/>
        <v>201908</v>
      </c>
      <c r="M333">
        <f t="shared" si="22"/>
        <v>8</v>
      </c>
      <c r="N333">
        <f t="shared" si="23"/>
        <v>2019</v>
      </c>
      <c r="O333" t="str">
        <f>VLOOKUP(M333,month_lookup!A:B,2,FALSE)</f>
        <v>Aug</v>
      </c>
      <c r="P333">
        <f t="shared" si="24"/>
        <v>-72314.73</v>
      </c>
    </row>
    <row r="334" spans="1:16" x14ac:dyDescent="0.25">
      <c r="A334" t="s">
        <v>83</v>
      </c>
      <c r="B334" s="1">
        <v>119858.15</v>
      </c>
      <c r="C334">
        <v>99997.65</v>
      </c>
      <c r="D334" s="2">
        <v>44154</v>
      </c>
      <c r="E334" t="s">
        <v>79</v>
      </c>
      <c r="F334" t="s">
        <v>181</v>
      </c>
      <c r="G334" t="s">
        <v>84</v>
      </c>
      <c r="H334" t="s">
        <v>85</v>
      </c>
      <c r="I334" t="s">
        <v>27</v>
      </c>
      <c r="J334" t="s">
        <v>485</v>
      </c>
      <c r="L334">
        <f t="shared" si="21"/>
        <v>202011</v>
      </c>
      <c r="M334">
        <f t="shared" si="22"/>
        <v>11</v>
      </c>
      <c r="N334">
        <f t="shared" si="23"/>
        <v>2020</v>
      </c>
      <c r="O334" t="str">
        <f>VLOOKUP(M334,month_lookup!A:B,2,FALSE)</f>
        <v>Nov</v>
      </c>
      <c r="P334">
        <f t="shared" si="24"/>
        <v>119858.15</v>
      </c>
    </row>
    <row r="335" spans="1:16" x14ac:dyDescent="0.25">
      <c r="A335" t="s">
        <v>22</v>
      </c>
      <c r="B335" s="1">
        <v>119937.47</v>
      </c>
      <c r="C335">
        <v>98720.53</v>
      </c>
      <c r="D335" s="2">
        <v>43690</v>
      </c>
      <c r="E335" t="s">
        <v>17</v>
      </c>
      <c r="F335" t="s">
        <v>433</v>
      </c>
      <c r="G335" t="s">
        <v>25</v>
      </c>
      <c r="H335" t="s">
        <v>31</v>
      </c>
      <c r="I335" t="s">
        <v>27</v>
      </c>
      <c r="J335" t="s">
        <v>486</v>
      </c>
      <c r="L335">
        <f t="shared" si="21"/>
        <v>201908</v>
      </c>
      <c r="M335">
        <f t="shared" si="22"/>
        <v>8</v>
      </c>
      <c r="N335">
        <f t="shared" si="23"/>
        <v>2019</v>
      </c>
      <c r="O335" t="str">
        <f>VLOOKUP(M335,month_lookup!A:B,2,FALSE)</f>
        <v>Aug</v>
      </c>
      <c r="P335">
        <f t="shared" si="24"/>
        <v>-119937.47</v>
      </c>
    </row>
    <row r="336" spans="1:16" x14ac:dyDescent="0.25">
      <c r="A336" t="s">
        <v>52</v>
      </c>
      <c r="B336" s="1">
        <v>60592.4</v>
      </c>
      <c r="C336">
        <v>52363.95</v>
      </c>
      <c r="D336" s="2">
        <v>43518</v>
      </c>
      <c r="E336" t="s">
        <v>45</v>
      </c>
      <c r="F336" t="s">
        <v>70</v>
      </c>
      <c r="G336" t="s">
        <v>54</v>
      </c>
      <c r="H336" t="s">
        <v>127</v>
      </c>
      <c r="I336" t="s">
        <v>27</v>
      </c>
      <c r="J336" t="s">
        <v>487</v>
      </c>
      <c r="L336">
        <f t="shared" si="21"/>
        <v>201902</v>
      </c>
      <c r="M336">
        <f t="shared" si="22"/>
        <v>2</v>
      </c>
      <c r="N336">
        <f t="shared" si="23"/>
        <v>2019</v>
      </c>
      <c r="O336" t="str">
        <f>VLOOKUP(M336,month_lookup!A:B,2,FALSE)</f>
        <v>Feb</v>
      </c>
      <c r="P336">
        <f t="shared" si="24"/>
        <v>-60592.4</v>
      </c>
    </row>
    <row r="337" spans="1:16" x14ac:dyDescent="0.25">
      <c r="A337" t="s">
        <v>172</v>
      </c>
      <c r="B337" s="1">
        <v>31966.82</v>
      </c>
      <c r="C337">
        <v>26593.200000000001</v>
      </c>
      <c r="D337" s="2">
        <v>44067</v>
      </c>
      <c r="E337" t="s">
        <v>50</v>
      </c>
      <c r="F337" t="s">
        <v>34</v>
      </c>
      <c r="G337" t="s">
        <v>174</v>
      </c>
      <c r="H337" t="s">
        <v>211</v>
      </c>
      <c r="I337" t="s">
        <v>27</v>
      </c>
      <c r="J337" t="s">
        <v>488</v>
      </c>
      <c r="L337">
        <f t="shared" si="21"/>
        <v>202008</v>
      </c>
      <c r="M337">
        <f t="shared" si="22"/>
        <v>8</v>
      </c>
      <c r="N337">
        <f t="shared" si="23"/>
        <v>2020</v>
      </c>
      <c r="O337" t="str">
        <f>VLOOKUP(M337,month_lookup!A:B,2,FALSE)</f>
        <v>Aug</v>
      </c>
      <c r="P337">
        <f t="shared" si="24"/>
        <v>31966.82</v>
      </c>
    </row>
    <row r="338" spans="1:16" x14ac:dyDescent="0.25">
      <c r="A338" t="s">
        <v>22</v>
      </c>
      <c r="B338" s="1">
        <v>83226.45</v>
      </c>
      <c r="C338">
        <v>71699.59</v>
      </c>
      <c r="D338" s="2">
        <v>44157</v>
      </c>
      <c r="E338" t="s">
        <v>29</v>
      </c>
      <c r="F338" t="s">
        <v>57</v>
      </c>
      <c r="G338" t="s">
        <v>25</v>
      </c>
      <c r="H338" t="s">
        <v>75</v>
      </c>
      <c r="I338" t="s">
        <v>27</v>
      </c>
      <c r="J338" t="s">
        <v>489</v>
      </c>
      <c r="L338">
        <f t="shared" si="21"/>
        <v>202011</v>
      </c>
      <c r="M338">
        <f t="shared" si="22"/>
        <v>11</v>
      </c>
      <c r="N338">
        <f t="shared" si="23"/>
        <v>2020</v>
      </c>
      <c r="O338" t="str">
        <f>VLOOKUP(M338,month_lookup!A:B,2,FALSE)</f>
        <v>Nov</v>
      </c>
      <c r="P338">
        <f t="shared" si="24"/>
        <v>83226.45</v>
      </c>
    </row>
    <row r="339" spans="1:16" x14ac:dyDescent="0.25">
      <c r="A339" t="s">
        <v>214</v>
      </c>
      <c r="B339" s="1">
        <v>51407.3</v>
      </c>
      <c r="C339">
        <v>44292.53</v>
      </c>
      <c r="D339" s="2">
        <v>43587</v>
      </c>
      <c r="E339" t="s">
        <v>23</v>
      </c>
      <c r="F339" t="s">
        <v>159</v>
      </c>
      <c r="G339" t="s">
        <v>215</v>
      </c>
      <c r="H339" t="s">
        <v>216</v>
      </c>
      <c r="I339" t="s">
        <v>37</v>
      </c>
      <c r="J339" t="s">
        <v>490</v>
      </c>
      <c r="L339">
        <f t="shared" si="21"/>
        <v>201905</v>
      </c>
      <c r="M339">
        <f t="shared" si="22"/>
        <v>5</v>
      </c>
      <c r="N339">
        <f t="shared" si="23"/>
        <v>2019</v>
      </c>
      <c r="O339" t="str">
        <f>VLOOKUP(M339,month_lookup!A:B,2,FALSE)</f>
        <v>May</v>
      </c>
      <c r="P339">
        <f t="shared" si="24"/>
        <v>-51407.3</v>
      </c>
    </row>
    <row r="340" spans="1:16" x14ac:dyDescent="0.25">
      <c r="A340" t="s">
        <v>214</v>
      </c>
      <c r="B340" s="1">
        <v>61968.26</v>
      </c>
      <c r="C340">
        <v>50690.04</v>
      </c>
      <c r="D340" s="2">
        <v>44192</v>
      </c>
      <c r="E340" t="s">
        <v>79</v>
      </c>
      <c r="F340" t="s">
        <v>88</v>
      </c>
      <c r="G340" t="s">
        <v>215</v>
      </c>
      <c r="H340" t="s">
        <v>216</v>
      </c>
      <c r="I340" t="s">
        <v>27</v>
      </c>
      <c r="J340" t="s">
        <v>491</v>
      </c>
      <c r="L340">
        <f t="shared" si="21"/>
        <v>202012</v>
      </c>
      <c r="M340">
        <f t="shared" si="22"/>
        <v>12</v>
      </c>
      <c r="N340">
        <f t="shared" si="23"/>
        <v>2020</v>
      </c>
      <c r="O340" t="str">
        <f>VLOOKUP(M340,month_lookup!A:B,2,FALSE)</f>
        <v>Dec</v>
      </c>
      <c r="P340">
        <f t="shared" si="24"/>
        <v>61968.26</v>
      </c>
    </row>
    <row r="341" spans="1:16" x14ac:dyDescent="0.25">
      <c r="A341" t="s">
        <v>172</v>
      </c>
      <c r="B341" s="1">
        <v>271465.15000000002</v>
      </c>
      <c r="C341">
        <v>217959.37</v>
      </c>
      <c r="D341" s="2">
        <v>43649</v>
      </c>
      <c r="E341" t="s">
        <v>79</v>
      </c>
      <c r="F341" t="s">
        <v>253</v>
      </c>
      <c r="G341" t="s">
        <v>174</v>
      </c>
      <c r="H341" t="s">
        <v>175</v>
      </c>
      <c r="I341" t="s">
        <v>14</v>
      </c>
      <c r="J341" t="s">
        <v>492</v>
      </c>
      <c r="L341">
        <f t="shared" si="21"/>
        <v>201907</v>
      </c>
      <c r="M341">
        <f t="shared" si="22"/>
        <v>7</v>
      </c>
      <c r="N341">
        <f t="shared" si="23"/>
        <v>2019</v>
      </c>
      <c r="O341" t="str">
        <f>VLOOKUP(M341,month_lookup!A:B,2,FALSE)</f>
        <v>Jul</v>
      </c>
      <c r="P341">
        <f t="shared" si="24"/>
        <v>-271465.15000000002</v>
      </c>
    </row>
    <row r="342" spans="1:16" x14ac:dyDescent="0.25">
      <c r="A342" t="s">
        <v>9</v>
      </c>
      <c r="B342" s="1">
        <v>86854.64</v>
      </c>
      <c r="C342">
        <v>72219.63</v>
      </c>
      <c r="D342" s="2">
        <v>43865</v>
      </c>
      <c r="E342" t="s">
        <v>10</v>
      </c>
      <c r="F342" t="s">
        <v>67</v>
      </c>
      <c r="G342" t="s">
        <v>12</v>
      </c>
      <c r="H342" t="s">
        <v>169</v>
      </c>
      <c r="I342" t="s">
        <v>27</v>
      </c>
      <c r="J342" t="s">
        <v>493</v>
      </c>
      <c r="L342">
        <f t="shared" si="21"/>
        <v>202002</v>
      </c>
      <c r="M342">
        <f t="shared" si="22"/>
        <v>2</v>
      </c>
      <c r="N342">
        <f t="shared" si="23"/>
        <v>2020</v>
      </c>
      <c r="O342" t="str">
        <f>VLOOKUP(M342,month_lookup!A:B,2,FALSE)</f>
        <v>Feb</v>
      </c>
      <c r="P342">
        <f t="shared" si="24"/>
        <v>86854.64</v>
      </c>
    </row>
    <row r="343" spans="1:16" x14ac:dyDescent="0.25">
      <c r="A343" t="s">
        <v>172</v>
      </c>
      <c r="B343" s="1">
        <v>119819.37</v>
      </c>
      <c r="C343">
        <v>105441.05</v>
      </c>
      <c r="D343" s="2">
        <v>44172</v>
      </c>
      <c r="E343" t="s">
        <v>59</v>
      </c>
      <c r="F343" t="s">
        <v>120</v>
      </c>
      <c r="G343" t="s">
        <v>174</v>
      </c>
      <c r="H343" t="s">
        <v>211</v>
      </c>
      <c r="I343" t="s">
        <v>27</v>
      </c>
      <c r="J343" t="s">
        <v>494</v>
      </c>
      <c r="L343">
        <f t="shared" si="21"/>
        <v>202012</v>
      </c>
      <c r="M343">
        <f t="shared" si="22"/>
        <v>12</v>
      </c>
      <c r="N343">
        <f t="shared" si="23"/>
        <v>2020</v>
      </c>
      <c r="O343" t="str">
        <f>VLOOKUP(M343,month_lookup!A:B,2,FALSE)</f>
        <v>Dec</v>
      </c>
      <c r="P343">
        <f t="shared" si="24"/>
        <v>119819.37</v>
      </c>
    </row>
    <row r="344" spans="1:16" x14ac:dyDescent="0.25">
      <c r="A344" t="s">
        <v>44</v>
      </c>
      <c r="B344" s="1">
        <v>160763.9</v>
      </c>
      <c r="C344">
        <v>131102.96</v>
      </c>
      <c r="D344" s="2">
        <v>43573</v>
      </c>
      <c r="E344" t="s">
        <v>50</v>
      </c>
      <c r="F344" t="s">
        <v>181</v>
      </c>
      <c r="G344" t="s">
        <v>47</v>
      </c>
      <c r="H344" t="s">
        <v>65</v>
      </c>
      <c r="I344" t="s">
        <v>27</v>
      </c>
      <c r="J344" t="s">
        <v>495</v>
      </c>
      <c r="L344">
        <f t="shared" si="21"/>
        <v>201904</v>
      </c>
      <c r="M344">
        <f t="shared" si="22"/>
        <v>4</v>
      </c>
      <c r="N344">
        <f t="shared" si="23"/>
        <v>2019</v>
      </c>
      <c r="O344" t="str">
        <f>VLOOKUP(M344,month_lookup!A:B,2,FALSE)</f>
        <v>Apr</v>
      </c>
      <c r="P344">
        <f t="shared" si="24"/>
        <v>-160763.9</v>
      </c>
    </row>
    <row r="345" spans="1:16" x14ac:dyDescent="0.25">
      <c r="A345" t="s">
        <v>9</v>
      </c>
      <c r="B345" s="1">
        <v>44029.07</v>
      </c>
      <c r="C345">
        <v>38344.92</v>
      </c>
      <c r="D345" s="2">
        <v>43717</v>
      </c>
      <c r="E345" t="s">
        <v>138</v>
      </c>
      <c r="F345" t="s">
        <v>147</v>
      </c>
      <c r="G345" t="s">
        <v>12</v>
      </c>
      <c r="H345" t="s">
        <v>81</v>
      </c>
      <c r="I345" t="s">
        <v>27</v>
      </c>
      <c r="J345" t="s">
        <v>496</v>
      </c>
      <c r="L345">
        <f t="shared" si="21"/>
        <v>201909</v>
      </c>
      <c r="M345">
        <f t="shared" si="22"/>
        <v>9</v>
      </c>
      <c r="N345">
        <f t="shared" si="23"/>
        <v>2019</v>
      </c>
      <c r="O345" t="str">
        <f>VLOOKUP(M345,month_lookup!A:B,2,FALSE)</f>
        <v>Sep</v>
      </c>
      <c r="P345">
        <f t="shared" si="24"/>
        <v>-44029.07</v>
      </c>
    </row>
    <row r="346" spans="1:16" x14ac:dyDescent="0.25">
      <c r="A346" t="s">
        <v>52</v>
      </c>
      <c r="B346" s="1">
        <v>86628.32</v>
      </c>
      <c r="C346">
        <v>72464.59</v>
      </c>
      <c r="D346" s="2">
        <v>43775</v>
      </c>
      <c r="E346" t="s">
        <v>50</v>
      </c>
      <c r="F346" t="s">
        <v>233</v>
      </c>
      <c r="G346" t="s">
        <v>54</v>
      </c>
      <c r="H346" t="s">
        <v>127</v>
      </c>
      <c r="I346" t="s">
        <v>27</v>
      </c>
      <c r="J346" t="s">
        <v>497</v>
      </c>
      <c r="L346">
        <f t="shared" si="21"/>
        <v>201911</v>
      </c>
      <c r="M346">
        <f t="shared" si="22"/>
        <v>11</v>
      </c>
      <c r="N346">
        <f t="shared" si="23"/>
        <v>2019</v>
      </c>
      <c r="O346" t="str">
        <f>VLOOKUP(M346,month_lookup!A:B,2,FALSE)</f>
        <v>Nov</v>
      </c>
      <c r="P346">
        <f t="shared" si="24"/>
        <v>-86628.32</v>
      </c>
    </row>
    <row r="347" spans="1:16" x14ac:dyDescent="0.25">
      <c r="A347" t="s">
        <v>22</v>
      </c>
      <c r="B347" s="1">
        <v>97641.25</v>
      </c>
      <c r="C347">
        <v>83414.92</v>
      </c>
      <c r="D347" s="2">
        <v>44121</v>
      </c>
      <c r="E347" t="s">
        <v>10</v>
      </c>
      <c r="F347" t="s">
        <v>281</v>
      </c>
      <c r="G347" t="s">
        <v>25</v>
      </c>
      <c r="H347" t="s">
        <v>218</v>
      </c>
      <c r="I347" t="s">
        <v>27</v>
      </c>
      <c r="J347" t="s">
        <v>498</v>
      </c>
      <c r="L347">
        <f t="shared" si="21"/>
        <v>202010</v>
      </c>
      <c r="M347">
        <f t="shared" si="22"/>
        <v>10</v>
      </c>
      <c r="N347">
        <f t="shared" si="23"/>
        <v>2020</v>
      </c>
      <c r="O347" t="str">
        <f>VLOOKUP(M347,month_lookup!A:B,2,FALSE)</f>
        <v>Oct</v>
      </c>
      <c r="P347">
        <f t="shared" si="24"/>
        <v>97641.25</v>
      </c>
    </row>
    <row r="348" spans="1:16" x14ac:dyDescent="0.25">
      <c r="A348" t="s">
        <v>22</v>
      </c>
      <c r="B348" s="1">
        <v>98746.66</v>
      </c>
      <c r="C348">
        <v>80399.53</v>
      </c>
      <c r="D348" s="2">
        <v>43871</v>
      </c>
      <c r="E348" t="s">
        <v>50</v>
      </c>
      <c r="F348" t="s">
        <v>109</v>
      </c>
      <c r="G348" t="s">
        <v>25</v>
      </c>
      <c r="H348" t="s">
        <v>26</v>
      </c>
      <c r="I348" t="s">
        <v>27</v>
      </c>
      <c r="J348" t="s">
        <v>499</v>
      </c>
      <c r="L348">
        <f t="shared" si="21"/>
        <v>202002</v>
      </c>
      <c r="M348">
        <f t="shared" si="22"/>
        <v>2</v>
      </c>
      <c r="N348">
        <f t="shared" si="23"/>
        <v>2020</v>
      </c>
      <c r="O348" t="str">
        <f>VLOOKUP(M348,month_lookup!A:B,2,FALSE)</f>
        <v>Feb</v>
      </c>
      <c r="P348">
        <f t="shared" si="24"/>
        <v>98746.66</v>
      </c>
    </row>
    <row r="349" spans="1:16" x14ac:dyDescent="0.25">
      <c r="A349" t="s">
        <v>52</v>
      </c>
      <c r="B349" s="1">
        <v>109562.5</v>
      </c>
      <c r="C349">
        <v>89917.94</v>
      </c>
      <c r="D349" s="2">
        <v>44048</v>
      </c>
      <c r="E349" t="s">
        <v>50</v>
      </c>
      <c r="F349" t="s">
        <v>209</v>
      </c>
      <c r="G349" t="s">
        <v>54</v>
      </c>
      <c r="H349" t="s">
        <v>55</v>
      </c>
      <c r="I349" t="s">
        <v>27</v>
      </c>
      <c r="J349" t="s">
        <v>500</v>
      </c>
      <c r="L349">
        <f t="shared" si="21"/>
        <v>202008</v>
      </c>
      <c r="M349">
        <f t="shared" si="22"/>
        <v>8</v>
      </c>
      <c r="N349">
        <f t="shared" si="23"/>
        <v>2020</v>
      </c>
      <c r="O349" t="str">
        <f>VLOOKUP(M349,month_lookup!A:B,2,FALSE)</f>
        <v>Aug</v>
      </c>
      <c r="P349">
        <f t="shared" si="24"/>
        <v>109562.5</v>
      </c>
    </row>
    <row r="350" spans="1:16" x14ac:dyDescent="0.25">
      <c r="A350" t="s">
        <v>44</v>
      </c>
      <c r="B350" s="1">
        <v>60301.96</v>
      </c>
      <c r="C350">
        <v>48820.47</v>
      </c>
      <c r="D350" s="2">
        <v>43504</v>
      </c>
      <c r="E350" t="s">
        <v>29</v>
      </c>
      <c r="F350" t="s">
        <v>125</v>
      </c>
      <c r="G350" t="s">
        <v>47</v>
      </c>
      <c r="H350" t="s">
        <v>73</v>
      </c>
      <c r="I350" t="s">
        <v>27</v>
      </c>
      <c r="J350" t="s">
        <v>501</v>
      </c>
      <c r="L350">
        <f t="shared" si="21"/>
        <v>201902</v>
      </c>
      <c r="M350">
        <f t="shared" si="22"/>
        <v>2</v>
      </c>
      <c r="N350">
        <f t="shared" si="23"/>
        <v>2019</v>
      </c>
      <c r="O350" t="str">
        <f>VLOOKUP(M350,month_lookup!A:B,2,FALSE)</f>
        <v>Feb</v>
      </c>
      <c r="P350">
        <f t="shared" si="24"/>
        <v>-60301.96</v>
      </c>
    </row>
    <row r="351" spans="1:16" x14ac:dyDescent="0.25">
      <c r="A351" t="s">
        <v>52</v>
      </c>
      <c r="B351" s="1">
        <v>80781.62</v>
      </c>
      <c r="C351">
        <v>68971.350000000006</v>
      </c>
      <c r="D351" s="2">
        <v>43484</v>
      </c>
      <c r="E351" t="s">
        <v>59</v>
      </c>
      <c r="F351" t="s">
        <v>181</v>
      </c>
      <c r="G351" t="s">
        <v>54</v>
      </c>
      <c r="H351" t="s">
        <v>132</v>
      </c>
      <c r="I351" t="s">
        <v>14</v>
      </c>
      <c r="J351" t="s">
        <v>502</v>
      </c>
      <c r="L351">
        <f t="shared" si="21"/>
        <v>201901</v>
      </c>
      <c r="M351">
        <f t="shared" si="22"/>
        <v>1</v>
      </c>
      <c r="N351">
        <f t="shared" si="23"/>
        <v>2019</v>
      </c>
      <c r="O351" t="str">
        <f>VLOOKUP(M351,month_lookup!A:B,2,FALSE)</f>
        <v>Jan</v>
      </c>
      <c r="P351">
        <f t="shared" si="24"/>
        <v>-80781.62</v>
      </c>
    </row>
    <row r="352" spans="1:16" x14ac:dyDescent="0.25">
      <c r="A352" t="s">
        <v>52</v>
      </c>
      <c r="B352" s="1">
        <v>238659.41</v>
      </c>
      <c r="C352">
        <v>204507.25</v>
      </c>
      <c r="D352" s="2">
        <v>43822</v>
      </c>
      <c r="E352" t="s">
        <v>50</v>
      </c>
      <c r="F352" t="s">
        <v>253</v>
      </c>
      <c r="G352" t="s">
        <v>54</v>
      </c>
      <c r="H352" t="s">
        <v>71</v>
      </c>
      <c r="I352" t="s">
        <v>37</v>
      </c>
      <c r="J352" t="s">
        <v>503</v>
      </c>
      <c r="L352">
        <f t="shared" si="21"/>
        <v>201912</v>
      </c>
      <c r="M352">
        <f t="shared" si="22"/>
        <v>12</v>
      </c>
      <c r="N352">
        <f t="shared" si="23"/>
        <v>2019</v>
      </c>
      <c r="O352" t="str">
        <f>VLOOKUP(M352,month_lookup!A:B,2,FALSE)</f>
        <v>Dec</v>
      </c>
      <c r="P352">
        <f t="shared" si="24"/>
        <v>-238659.41</v>
      </c>
    </row>
    <row r="353" spans="1:16" x14ac:dyDescent="0.25">
      <c r="A353" t="s">
        <v>44</v>
      </c>
      <c r="B353" s="1">
        <v>165631.75</v>
      </c>
      <c r="C353">
        <v>139114.10999999999</v>
      </c>
      <c r="D353" s="2">
        <v>43711</v>
      </c>
      <c r="E353" t="s">
        <v>50</v>
      </c>
      <c r="F353" t="s">
        <v>34</v>
      </c>
      <c r="G353" t="s">
        <v>47</v>
      </c>
      <c r="H353" t="s">
        <v>73</v>
      </c>
      <c r="I353" t="s">
        <v>27</v>
      </c>
      <c r="J353" t="s">
        <v>504</v>
      </c>
      <c r="L353">
        <f t="shared" si="21"/>
        <v>201909</v>
      </c>
      <c r="M353">
        <f t="shared" si="22"/>
        <v>9</v>
      </c>
      <c r="N353">
        <f t="shared" si="23"/>
        <v>2019</v>
      </c>
      <c r="O353" t="str">
        <f>VLOOKUP(M353,month_lookup!A:B,2,FALSE)</f>
        <v>Sep</v>
      </c>
      <c r="P353">
        <f t="shared" si="24"/>
        <v>-165631.75</v>
      </c>
    </row>
    <row r="354" spans="1:16" x14ac:dyDescent="0.25">
      <c r="A354" t="s">
        <v>9</v>
      </c>
      <c r="B354" s="1">
        <v>126682.79</v>
      </c>
      <c r="C354">
        <v>106514.89</v>
      </c>
      <c r="D354" s="2">
        <v>43627</v>
      </c>
      <c r="E354" t="s">
        <v>59</v>
      </c>
      <c r="F354" t="s">
        <v>101</v>
      </c>
      <c r="G354" t="s">
        <v>12</v>
      </c>
      <c r="H354" t="s">
        <v>13</v>
      </c>
      <c r="I354" t="s">
        <v>27</v>
      </c>
      <c r="J354" t="s">
        <v>505</v>
      </c>
      <c r="L354">
        <f t="shared" si="21"/>
        <v>201906</v>
      </c>
      <c r="M354">
        <f t="shared" si="22"/>
        <v>6</v>
      </c>
      <c r="N354">
        <f t="shared" si="23"/>
        <v>2019</v>
      </c>
      <c r="O354" t="str">
        <f>VLOOKUP(M354,month_lookup!A:B,2,FALSE)</f>
        <v>Jun</v>
      </c>
      <c r="P354">
        <f t="shared" si="24"/>
        <v>-126682.79</v>
      </c>
    </row>
    <row r="355" spans="1:16" x14ac:dyDescent="0.25">
      <c r="A355" t="s">
        <v>9</v>
      </c>
      <c r="B355" s="1">
        <v>145558</v>
      </c>
      <c r="C355">
        <v>116257.18</v>
      </c>
      <c r="D355" s="2">
        <v>43819</v>
      </c>
      <c r="E355" t="s">
        <v>23</v>
      </c>
      <c r="F355" t="s">
        <v>310</v>
      </c>
      <c r="G355" t="s">
        <v>12</v>
      </c>
      <c r="H355" t="s">
        <v>169</v>
      </c>
      <c r="I355" t="s">
        <v>37</v>
      </c>
      <c r="J355" t="s">
        <v>506</v>
      </c>
      <c r="L355">
        <f t="shared" si="21"/>
        <v>201912</v>
      </c>
      <c r="M355">
        <f t="shared" si="22"/>
        <v>12</v>
      </c>
      <c r="N355">
        <f t="shared" si="23"/>
        <v>2019</v>
      </c>
      <c r="O355" t="str">
        <f>VLOOKUP(M355,month_lookup!A:B,2,FALSE)</f>
        <v>Dec</v>
      </c>
      <c r="P355">
        <f t="shared" si="24"/>
        <v>-145558</v>
      </c>
    </row>
    <row r="356" spans="1:16" x14ac:dyDescent="0.25">
      <c r="A356" t="s">
        <v>33</v>
      </c>
      <c r="B356" s="1">
        <v>59163.79</v>
      </c>
      <c r="C356">
        <v>50419.38</v>
      </c>
      <c r="D356" s="2">
        <v>43535</v>
      </c>
      <c r="E356" t="s">
        <v>59</v>
      </c>
      <c r="F356" t="s">
        <v>223</v>
      </c>
      <c r="G356" t="s">
        <v>35</v>
      </c>
      <c r="H356" t="s">
        <v>40</v>
      </c>
      <c r="I356" t="s">
        <v>14</v>
      </c>
      <c r="J356" t="s">
        <v>507</v>
      </c>
      <c r="L356">
        <f t="shared" si="21"/>
        <v>201903</v>
      </c>
      <c r="M356">
        <f t="shared" si="22"/>
        <v>3</v>
      </c>
      <c r="N356">
        <f t="shared" si="23"/>
        <v>2019</v>
      </c>
      <c r="O356" t="str">
        <f>VLOOKUP(M356,month_lookup!A:B,2,FALSE)</f>
        <v>Mar</v>
      </c>
      <c r="P356">
        <f t="shared" si="24"/>
        <v>-59163.79</v>
      </c>
    </row>
    <row r="357" spans="1:16" x14ac:dyDescent="0.25">
      <c r="A357" t="s">
        <v>9</v>
      </c>
      <c r="B357" s="1">
        <v>140352.81</v>
      </c>
      <c r="C357">
        <v>122303.44</v>
      </c>
      <c r="D357" s="2">
        <v>43800</v>
      </c>
      <c r="E357" t="s">
        <v>59</v>
      </c>
      <c r="F357" t="s">
        <v>18</v>
      </c>
      <c r="G357" t="s">
        <v>12</v>
      </c>
      <c r="H357" t="s">
        <v>117</v>
      </c>
      <c r="I357" t="s">
        <v>27</v>
      </c>
      <c r="J357" t="s">
        <v>508</v>
      </c>
      <c r="L357">
        <f t="shared" si="21"/>
        <v>201912</v>
      </c>
      <c r="M357">
        <f t="shared" si="22"/>
        <v>12</v>
      </c>
      <c r="N357">
        <f t="shared" si="23"/>
        <v>2019</v>
      </c>
      <c r="O357" t="str">
        <f>VLOOKUP(M357,month_lookup!A:B,2,FALSE)</f>
        <v>Dec</v>
      </c>
      <c r="P357">
        <f t="shared" si="24"/>
        <v>-140352.81</v>
      </c>
    </row>
    <row r="358" spans="1:16" x14ac:dyDescent="0.25">
      <c r="A358" t="s">
        <v>52</v>
      </c>
      <c r="B358" s="1">
        <v>163401.23000000001</v>
      </c>
      <c r="C358">
        <v>139413.93</v>
      </c>
      <c r="D358" s="2">
        <v>43577</v>
      </c>
      <c r="E358" t="s">
        <v>23</v>
      </c>
      <c r="F358" t="s">
        <v>63</v>
      </c>
      <c r="G358" t="s">
        <v>54</v>
      </c>
      <c r="H358" t="s">
        <v>143</v>
      </c>
      <c r="I358" t="s">
        <v>27</v>
      </c>
      <c r="J358" t="s">
        <v>509</v>
      </c>
      <c r="L358">
        <f t="shared" si="21"/>
        <v>201904</v>
      </c>
      <c r="M358">
        <f t="shared" si="22"/>
        <v>4</v>
      </c>
      <c r="N358">
        <f t="shared" si="23"/>
        <v>2019</v>
      </c>
      <c r="O358" t="str">
        <f>VLOOKUP(M358,month_lookup!A:B,2,FALSE)</f>
        <v>Apr</v>
      </c>
      <c r="P358">
        <f t="shared" si="24"/>
        <v>-163401.23000000001</v>
      </c>
    </row>
    <row r="359" spans="1:16" x14ac:dyDescent="0.25">
      <c r="A359" t="s">
        <v>9</v>
      </c>
      <c r="B359" s="1">
        <v>177867.3</v>
      </c>
      <c r="C359">
        <v>140675.25</v>
      </c>
      <c r="D359" s="2">
        <v>44107</v>
      </c>
      <c r="E359" t="s">
        <v>59</v>
      </c>
      <c r="F359" t="s">
        <v>154</v>
      </c>
      <c r="G359" t="s">
        <v>12</v>
      </c>
      <c r="H359" t="s">
        <v>68</v>
      </c>
      <c r="I359" t="s">
        <v>27</v>
      </c>
      <c r="J359" t="s">
        <v>510</v>
      </c>
      <c r="L359">
        <f t="shared" si="21"/>
        <v>202010</v>
      </c>
      <c r="M359">
        <f t="shared" si="22"/>
        <v>10</v>
      </c>
      <c r="N359">
        <f t="shared" si="23"/>
        <v>2020</v>
      </c>
      <c r="O359" t="str">
        <f>VLOOKUP(M359,month_lookup!A:B,2,FALSE)</f>
        <v>Oct</v>
      </c>
      <c r="P359">
        <f t="shared" si="24"/>
        <v>177867.3</v>
      </c>
    </row>
    <row r="360" spans="1:16" x14ac:dyDescent="0.25">
      <c r="A360" t="s">
        <v>214</v>
      </c>
      <c r="B360" s="1">
        <v>58416.81</v>
      </c>
      <c r="C360">
        <v>46745.13</v>
      </c>
      <c r="D360" s="2">
        <v>43503</v>
      </c>
      <c r="E360" t="s">
        <v>23</v>
      </c>
      <c r="F360" t="s">
        <v>281</v>
      </c>
      <c r="G360" t="s">
        <v>215</v>
      </c>
      <c r="H360" t="s">
        <v>216</v>
      </c>
      <c r="I360" t="s">
        <v>27</v>
      </c>
      <c r="J360" t="s">
        <v>511</v>
      </c>
      <c r="L360">
        <f t="shared" si="21"/>
        <v>201902</v>
      </c>
      <c r="M360">
        <f t="shared" si="22"/>
        <v>2</v>
      </c>
      <c r="N360">
        <f t="shared" si="23"/>
        <v>2019</v>
      </c>
      <c r="O360" t="str">
        <f>VLOOKUP(M360,month_lookup!A:B,2,FALSE)</f>
        <v>Feb</v>
      </c>
      <c r="P360">
        <f t="shared" si="24"/>
        <v>-58416.81</v>
      </c>
    </row>
    <row r="361" spans="1:16" x14ac:dyDescent="0.25">
      <c r="A361" t="s">
        <v>214</v>
      </c>
      <c r="B361" s="1">
        <v>169544.95</v>
      </c>
      <c r="C361">
        <v>137568.76999999999</v>
      </c>
      <c r="D361" s="2">
        <v>43933</v>
      </c>
      <c r="E361" t="s">
        <v>50</v>
      </c>
      <c r="F361" t="s">
        <v>115</v>
      </c>
      <c r="G361" t="s">
        <v>215</v>
      </c>
      <c r="H361" t="s">
        <v>216</v>
      </c>
      <c r="I361" t="s">
        <v>14</v>
      </c>
      <c r="J361" t="s">
        <v>512</v>
      </c>
      <c r="L361">
        <f t="shared" si="21"/>
        <v>202004</v>
      </c>
      <c r="M361">
        <f t="shared" si="22"/>
        <v>4</v>
      </c>
      <c r="N361">
        <f t="shared" si="23"/>
        <v>2020</v>
      </c>
      <c r="O361" t="str">
        <f>VLOOKUP(M361,month_lookup!A:B,2,FALSE)</f>
        <v>Apr</v>
      </c>
      <c r="P361">
        <f t="shared" si="24"/>
        <v>169544.95</v>
      </c>
    </row>
    <row r="362" spans="1:16" x14ac:dyDescent="0.25">
      <c r="A362" t="s">
        <v>105</v>
      </c>
      <c r="B362" s="1">
        <v>74732.789999999994</v>
      </c>
      <c r="C362">
        <v>64098.31</v>
      </c>
      <c r="D362" s="2">
        <v>43885</v>
      </c>
      <c r="E362" t="s">
        <v>29</v>
      </c>
      <c r="F362" t="s">
        <v>223</v>
      </c>
      <c r="G362" t="s">
        <v>106</v>
      </c>
      <c r="H362" t="s">
        <v>107</v>
      </c>
      <c r="I362" t="s">
        <v>27</v>
      </c>
      <c r="J362" t="s">
        <v>513</v>
      </c>
      <c r="L362">
        <f t="shared" si="21"/>
        <v>202002</v>
      </c>
      <c r="M362">
        <f t="shared" si="22"/>
        <v>2</v>
      </c>
      <c r="N362">
        <f t="shared" si="23"/>
        <v>2020</v>
      </c>
      <c r="O362" t="str">
        <f>VLOOKUP(M362,month_lookup!A:B,2,FALSE)</f>
        <v>Feb</v>
      </c>
      <c r="P362">
        <f t="shared" si="24"/>
        <v>74732.789999999994</v>
      </c>
    </row>
    <row r="363" spans="1:16" x14ac:dyDescent="0.25">
      <c r="A363" t="s">
        <v>22</v>
      </c>
      <c r="B363" s="1">
        <v>55166.78</v>
      </c>
      <c r="C363">
        <v>47443.43</v>
      </c>
      <c r="D363" s="2">
        <v>43934</v>
      </c>
      <c r="E363" t="s">
        <v>10</v>
      </c>
      <c r="F363" t="s">
        <v>53</v>
      </c>
      <c r="G363" t="s">
        <v>25</v>
      </c>
      <c r="H363" t="s">
        <v>89</v>
      </c>
      <c r="I363" t="s">
        <v>27</v>
      </c>
      <c r="J363" t="s">
        <v>514</v>
      </c>
      <c r="L363">
        <f t="shared" si="21"/>
        <v>202004</v>
      </c>
      <c r="M363">
        <f t="shared" si="22"/>
        <v>4</v>
      </c>
      <c r="N363">
        <f t="shared" si="23"/>
        <v>2020</v>
      </c>
      <c r="O363" t="str">
        <f>VLOOKUP(M363,month_lookup!A:B,2,FALSE)</f>
        <v>Apr</v>
      </c>
      <c r="P363">
        <f t="shared" si="24"/>
        <v>55166.78</v>
      </c>
    </row>
    <row r="364" spans="1:16" x14ac:dyDescent="0.25">
      <c r="A364" t="s">
        <v>52</v>
      </c>
      <c r="B364" s="1">
        <v>99319.33</v>
      </c>
      <c r="C364">
        <v>79127.710000000006</v>
      </c>
      <c r="D364" s="2">
        <v>43977</v>
      </c>
      <c r="E364" t="s">
        <v>17</v>
      </c>
      <c r="F364" t="s">
        <v>30</v>
      </c>
      <c r="G364" t="s">
        <v>54</v>
      </c>
      <c r="H364" t="s">
        <v>71</v>
      </c>
      <c r="I364" t="s">
        <v>27</v>
      </c>
      <c r="J364" t="s">
        <v>515</v>
      </c>
      <c r="L364">
        <f t="shared" si="21"/>
        <v>202005</v>
      </c>
      <c r="M364">
        <f t="shared" si="22"/>
        <v>5</v>
      </c>
      <c r="N364">
        <f t="shared" si="23"/>
        <v>2020</v>
      </c>
      <c r="O364" t="str">
        <f>VLOOKUP(M364,month_lookup!A:B,2,FALSE)</f>
        <v>May</v>
      </c>
      <c r="P364">
        <f t="shared" si="24"/>
        <v>99319.33</v>
      </c>
    </row>
    <row r="365" spans="1:16" x14ac:dyDescent="0.25">
      <c r="A365" t="s">
        <v>9</v>
      </c>
      <c r="B365" s="1">
        <v>118982.14</v>
      </c>
      <c r="C365">
        <v>95506.96</v>
      </c>
      <c r="D365" s="2">
        <v>43845</v>
      </c>
      <c r="E365" t="s">
        <v>23</v>
      </c>
      <c r="F365" t="s">
        <v>379</v>
      </c>
      <c r="G365" t="s">
        <v>12</v>
      </c>
      <c r="H365" t="s">
        <v>117</v>
      </c>
      <c r="I365" t="s">
        <v>14</v>
      </c>
      <c r="J365" t="s">
        <v>516</v>
      </c>
      <c r="L365">
        <f t="shared" si="21"/>
        <v>202001</v>
      </c>
      <c r="M365">
        <f t="shared" si="22"/>
        <v>1</v>
      </c>
      <c r="N365">
        <f t="shared" si="23"/>
        <v>2020</v>
      </c>
      <c r="O365" t="str">
        <f>VLOOKUP(M365,month_lookup!A:B,2,FALSE)</f>
        <v>Jan</v>
      </c>
      <c r="P365">
        <f t="shared" si="24"/>
        <v>118982.14</v>
      </c>
    </row>
    <row r="366" spans="1:16" x14ac:dyDescent="0.25">
      <c r="A366" t="s">
        <v>172</v>
      </c>
      <c r="B366" s="1">
        <v>157007.51999999999</v>
      </c>
      <c r="C366">
        <v>126940.58</v>
      </c>
      <c r="D366" s="2">
        <v>43708</v>
      </c>
      <c r="E366" t="s">
        <v>29</v>
      </c>
      <c r="F366" t="s">
        <v>113</v>
      </c>
      <c r="G366" t="s">
        <v>174</v>
      </c>
      <c r="H366" t="s">
        <v>175</v>
      </c>
      <c r="I366" t="s">
        <v>27</v>
      </c>
      <c r="J366" t="s">
        <v>517</v>
      </c>
      <c r="L366">
        <f t="shared" si="21"/>
        <v>201908</v>
      </c>
      <c r="M366">
        <f t="shared" si="22"/>
        <v>8</v>
      </c>
      <c r="N366">
        <f t="shared" si="23"/>
        <v>2019</v>
      </c>
      <c r="O366" t="str">
        <f>VLOOKUP(M366,month_lookup!A:B,2,FALSE)</f>
        <v>Aug</v>
      </c>
      <c r="P366">
        <f t="shared" si="24"/>
        <v>-157007.51999999999</v>
      </c>
    </row>
    <row r="367" spans="1:16" x14ac:dyDescent="0.25">
      <c r="A367" t="s">
        <v>52</v>
      </c>
      <c r="B367" s="1">
        <v>49374.25</v>
      </c>
      <c r="C367">
        <v>39208.089999999997</v>
      </c>
      <c r="D367" s="2">
        <v>43606</v>
      </c>
      <c r="E367" t="s">
        <v>10</v>
      </c>
      <c r="F367" t="s">
        <v>326</v>
      </c>
      <c r="G367" t="s">
        <v>54</v>
      </c>
      <c r="H367" t="s">
        <v>132</v>
      </c>
      <c r="I367" t="s">
        <v>27</v>
      </c>
      <c r="J367" t="s">
        <v>518</v>
      </c>
      <c r="L367">
        <f t="shared" si="21"/>
        <v>201905</v>
      </c>
      <c r="M367">
        <f t="shared" si="22"/>
        <v>5</v>
      </c>
      <c r="N367">
        <f t="shared" si="23"/>
        <v>2019</v>
      </c>
      <c r="O367" t="str">
        <f>VLOOKUP(M367,month_lookup!A:B,2,FALSE)</f>
        <v>May</v>
      </c>
      <c r="P367">
        <f t="shared" si="24"/>
        <v>-49374.25</v>
      </c>
    </row>
    <row r="368" spans="1:16" x14ac:dyDescent="0.25">
      <c r="A368" t="s">
        <v>22</v>
      </c>
      <c r="B368" s="1">
        <v>123891.6</v>
      </c>
      <c r="C368">
        <v>104118.5</v>
      </c>
      <c r="D368" s="2">
        <v>43669</v>
      </c>
      <c r="E368" t="s">
        <v>17</v>
      </c>
      <c r="F368" t="s">
        <v>165</v>
      </c>
      <c r="G368" t="s">
        <v>25</v>
      </c>
      <c r="H368" t="s">
        <v>26</v>
      </c>
      <c r="I368" t="s">
        <v>27</v>
      </c>
      <c r="J368" t="s">
        <v>519</v>
      </c>
      <c r="L368">
        <f t="shared" si="21"/>
        <v>201907</v>
      </c>
      <c r="M368">
        <f t="shared" si="22"/>
        <v>7</v>
      </c>
      <c r="N368">
        <f t="shared" si="23"/>
        <v>2019</v>
      </c>
      <c r="O368" t="str">
        <f>VLOOKUP(M368,month_lookup!A:B,2,FALSE)</f>
        <v>Jul</v>
      </c>
      <c r="P368">
        <f t="shared" si="24"/>
        <v>-123891.6</v>
      </c>
    </row>
    <row r="369" spans="1:16" x14ac:dyDescent="0.25">
      <c r="A369" t="s">
        <v>52</v>
      </c>
      <c r="B369" s="1">
        <v>234340.31</v>
      </c>
      <c r="C369">
        <v>204438.49</v>
      </c>
      <c r="D369" s="2">
        <v>44178</v>
      </c>
      <c r="E369" t="s">
        <v>23</v>
      </c>
      <c r="F369" t="s">
        <v>30</v>
      </c>
      <c r="G369" t="s">
        <v>54</v>
      </c>
      <c r="H369" t="s">
        <v>143</v>
      </c>
      <c r="I369" t="s">
        <v>27</v>
      </c>
      <c r="J369" t="s">
        <v>520</v>
      </c>
      <c r="L369">
        <f t="shared" si="21"/>
        <v>202012</v>
      </c>
      <c r="M369">
        <f t="shared" si="22"/>
        <v>12</v>
      </c>
      <c r="N369">
        <f t="shared" si="23"/>
        <v>2020</v>
      </c>
      <c r="O369" t="str">
        <f>VLOOKUP(M369,month_lookup!A:B,2,FALSE)</f>
        <v>Dec</v>
      </c>
      <c r="P369">
        <f t="shared" si="24"/>
        <v>234340.31</v>
      </c>
    </row>
    <row r="370" spans="1:16" x14ac:dyDescent="0.25">
      <c r="A370" t="s">
        <v>83</v>
      </c>
      <c r="B370" s="1">
        <v>95575.75</v>
      </c>
      <c r="C370">
        <v>75504.84</v>
      </c>
      <c r="D370" s="2">
        <v>44188</v>
      </c>
      <c r="E370" t="s">
        <v>10</v>
      </c>
      <c r="F370" t="s">
        <v>30</v>
      </c>
      <c r="G370" t="s">
        <v>84</v>
      </c>
      <c r="H370" t="s">
        <v>85</v>
      </c>
      <c r="I370" t="s">
        <v>27</v>
      </c>
      <c r="J370" t="s">
        <v>521</v>
      </c>
      <c r="L370">
        <f t="shared" si="21"/>
        <v>202012</v>
      </c>
      <c r="M370">
        <f t="shared" si="22"/>
        <v>12</v>
      </c>
      <c r="N370">
        <f t="shared" si="23"/>
        <v>2020</v>
      </c>
      <c r="O370" t="str">
        <f>VLOOKUP(M370,month_lookup!A:B,2,FALSE)</f>
        <v>Dec</v>
      </c>
      <c r="P370">
        <f t="shared" si="24"/>
        <v>95575.75</v>
      </c>
    </row>
    <row r="371" spans="1:16" x14ac:dyDescent="0.25">
      <c r="A371" t="s">
        <v>16</v>
      </c>
      <c r="B371" s="1">
        <v>125280.28</v>
      </c>
      <c r="C371">
        <v>99372.32</v>
      </c>
      <c r="D371" s="2">
        <v>43756</v>
      </c>
      <c r="E371" t="s">
        <v>29</v>
      </c>
      <c r="F371" t="s">
        <v>88</v>
      </c>
      <c r="G371" t="s">
        <v>19</v>
      </c>
      <c r="H371" t="s">
        <v>20</v>
      </c>
      <c r="I371" t="s">
        <v>27</v>
      </c>
      <c r="J371" t="s">
        <v>522</v>
      </c>
      <c r="L371">
        <f t="shared" si="21"/>
        <v>201910</v>
      </c>
      <c r="M371">
        <f t="shared" si="22"/>
        <v>10</v>
      </c>
      <c r="N371">
        <f t="shared" si="23"/>
        <v>2019</v>
      </c>
      <c r="O371" t="str">
        <f>VLOOKUP(M371,month_lookup!A:B,2,FALSE)</f>
        <v>Oct</v>
      </c>
      <c r="P371">
        <f t="shared" si="24"/>
        <v>-125280.28</v>
      </c>
    </row>
    <row r="372" spans="1:16" x14ac:dyDescent="0.25">
      <c r="A372" t="s">
        <v>22</v>
      </c>
      <c r="B372" s="1">
        <v>127482.28</v>
      </c>
      <c r="C372">
        <v>108614.9</v>
      </c>
      <c r="D372" s="2">
        <v>44069</v>
      </c>
      <c r="E372" t="s">
        <v>29</v>
      </c>
      <c r="F372" t="s">
        <v>18</v>
      </c>
      <c r="G372" t="s">
        <v>25</v>
      </c>
      <c r="H372" t="s">
        <v>31</v>
      </c>
      <c r="I372" t="s">
        <v>27</v>
      </c>
      <c r="J372" t="s">
        <v>523</v>
      </c>
      <c r="L372">
        <f t="shared" si="21"/>
        <v>202008</v>
      </c>
      <c r="M372">
        <f t="shared" si="22"/>
        <v>8</v>
      </c>
      <c r="N372">
        <f t="shared" si="23"/>
        <v>2020</v>
      </c>
      <c r="O372" t="str">
        <f>VLOOKUP(M372,month_lookup!A:B,2,FALSE)</f>
        <v>Aug</v>
      </c>
      <c r="P372">
        <f t="shared" si="24"/>
        <v>127482.28</v>
      </c>
    </row>
    <row r="373" spans="1:16" x14ac:dyDescent="0.25">
      <c r="A373" t="s">
        <v>22</v>
      </c>
      <c r="B373" s="1">
        <v>120453.52</v>
      </c>
      <c r="C373">
        <v>97218.04</v>
      </c>
      <c r="D373" s="2">
        <v>43507</v>
      </c>
      <c r="E373" t="s">
        <v>29</v>
      </c>
      <c r="F373" t="s">
        <v>236</v>
      </c>
      <c r="G373" t="s">
        <v>25</v>
      </c>
      <c r="H373" t="s">
        <v>218</v>
      </c>
      <c r="I373" t="s">
        <v>27</v>
      </c>
      <c r="J373" t="s">
        <v>524</v>
      </c>
      <c r="L373">
        <f t="shared" si="21"/>
        <v>201902</v>
      </c>
      <c r="M373">
        <f t="shared" si="22"/>
        <v>2</v>
      </c>
      <c r="N373">
        <f t="shared" si="23"/>
        <v>2019</v>
      </c>
      <c r="O373" t="str">
        <f>VLOOKUP(M373,month_lookup!A:B,2,FALSE)</f>
        <v>Feb</v>
      </c>
      <c r="P373">
        <f t="shared" si="24"/>
        <v>-120453.52</v>
      </c>
    </row>
    <row r="374" spans="1:16" x14ac:dyDescent="0.25">
      <c r="A374" t="s">
        <v>22</v>
      </c>
      <c r="B374" s="1">
        <v>120152.33</v>
      </c>
      <c r="C374">
        <v>97527.65</v>
      </c>
      <c r="D374" s="2">
        <v>43737</v>
      </c>
      <c r="E374" t="s">
        <v>61</v>
      </c>
      <c r="F374" t="s">
        <v>88</v>
      </c>
      <c r="G374" t="s">
        <v>25</v>
      </c>
      <c r="H374" t="s">
        <v>26</v>
      </c>
      <c r="I374" t="s">
        <v>27</v>
      </c>
      <c r="J374" t="s">
        <v>525</v>
      </c>
      <c r="L374">
        <f t="shared" si="21"/>
        <v>201909</v>
      </c>
      <c r="M374">
        <f t="shared" si="22"/>
        <v>9</v>
      </c>
      <c r="N374">
        <f t="shared" si="23"/>
        <v>2019</v>
      </c>
      <c r="O374" t="str">
        <f>VLOOKUP(M374,month_lookup!A:B,2,FALSE)</f>
        <v>Sep</v>
      </c>
      <c r="P374">
        <f t="shared" si="24"/>
        <v>-120152.33</v>
      </c>
    </row>
    <row r="375" spans="1:16" x14ac:dyDescent="0.25">
      <c r="A375" t="s">
        <v>22</v>
      </c>
      <c r="B375" s="1">
        <v>95410.97</v>
      </c>
      <c r="C375">
        <v>80593.649999999994</v>
      </c>
      <c r="D375" s="2">
        <v>44096</v>
      </c>
      <c r="E375" t="s">
        <v>10</v>
      </c>
      <c r="F375" t="s">
        <v>101</v>
      </c>
      <c r="G375" t="s">
        <v>25</v>
      </c>
      <c r="H375" t="s">
        <v>89</v>
      </c>
      <c r="I375" t="s">
        <v>14</v>
      </c>
      <c r="J375" t="s">
        <v>526</v>
      </c>
      <c r="L375">
        <f t="shared" si="21"/>
        <v>202009</v>
      </c>
      <c r="M375">
        <f t="shared" si="22"/>
        <v>9</v>
      </c>
      <c r="N375">
        <f t="shared" si="23"/>
        <v>2020</v>
      </c>
      <c r="O375" t="str">
        <f>VLOOKUP(M375,month_lookup!A:B,2,FALSE)</f>
        <v>Sep</v>
      </c>
      <c r="P375">
        <f t="shared" si="24"/>
        <v>95410.97</v>
      </c>
    </row>
    <row r="376" spans="1:16" x14ac:dyDescent="0.25">
      <c r="A376" t="s">
        <v>52</v>
      </c>
      <c r="B376" s="1">
        <v>128804.51</v>
      </c>
      <c r="C376">
        <v>105709.86</v>
      </c>
      <c r="D376" s="2">
        <v>43721</v>
      </c>
      <c r="E376" t="s">
        <v>50</v>
      </c>
      <c r="F376" t="s">
        <v>394</v>
      </c>
      <c r="G376" t="s">
        <v>54</v>
      </c>
      <c r="H376" t="s">
        <v>71</v>
      </c>
      <c r="I376" t="s">
        <v>37</v>
      </c>
      <c r="J376" t="s">
        <v>527</v>
      </c>
      <c r="L376">
        <f t="shared" si="21"/>
        <v>201909</v>
      </c>
      <c r="M376">
        <f t="shared" si="22"/>
        <v>9</v>
      </c>
      <c r="N376">
        <f t="shared" si="23"/>
        <v>2019</v>
      </c>
      <c r="O376" t="str">
        <f>VLOOKUP(M376,month_lookup!A:B,2,FALSE)</f>
        <v>Sep</v>
      </c>
      <c r="P376">
        <f t="shared" si="24"/>
        <v>-128804.51</v>
      </c>
    </row>
    <row r="377" spans="1:16" x14ac:dyDescent="0.25">
      <c r="A377" t="s">
        <v>137</v>
      </c>
      <c r="B377" s="1">
        <v>26899.97</v>
      </c>
      <c r="C377">
        <v>23198.53</v>
      </c>
      <c r="D377" s="2">
        <v>43543</v>
      </c>
      <c r="E377" t="s">
        <v>17</v>
      </c>
      <c r="F377" t="s">
        <v>30</v>
      </c>
      <c r="G377" t="s">
        <v>139</v>
      </c>
      <c r="H377" t="s">
        <v>140</v>
      </c>
      <c r="I377" t="s">
        <v>27</v>
      </c>
      <c r="J377" t="s">
        <v>528</v>
      </c>
      <c r="L377">
        <f t="shared" si="21"/>
        <v>201903</v>
      </c>
      <c r="M377">
        <f t="shared" si="22"/>
        <v>3</v>
      </c>
      <c r="N377">
        <f t="shared" si="23"/>
        <v>2019</v>
      </c>
      <c r="O377" t="str">
        <f>VLOOKUP(M377,month_lookup!A:B,2,FALSE)</f>
        <v>Mar</v>
      </c>
      <c r="P377">
        <f t="shared" si="24"/>
        <v>-26899.97</v>
      </c>
    </row>
    <row r="378" spans="1:16" x14ac:dyDescent="0.25">
      <c r="A378" t="s">
        <v>44</v>
      </c>
      <c r="B378" s="1">
        <v>123751.91</v>
      </c>
      <c r="C378">
        <v>102590.33</v>
      </c>
      <c r="D378" s="2">
        <v>43787</v>
      </c>
      <c r="E378" t="s">
        <v>59</v>
      </c>
      <c r="F378" t="s">
        <v>34</v>
      </c>
      <c r="G378" t="s">
        <v>47</v>
      </c>
      <c r="H378" t="s">
        <v>73</v>
      </c>
      <c r="I378" t="s">
        <v>27</v>
      </c>
      <c r="J378" t="s">
        <v>529</v>
      </c>
      <c r="L378">
        <f t="shared" si="21"/>
        <v>201911</v>
      </c>
      <c r="M378">
        <f t="shared" si="22"/>
        <v>11</v>
      </c>
      <c r="N378">
        <f t="shared" si="23"/>
        <v>2019</v>
      </c>
      <c r="O378" t="str">
        <f>VLOOKUP(M378,month_lookup!A:B,2,FALSE)</f>
        <v>Nov</v>
      </c>
      <c r="P378">
        <f t="shared" si="24"/>
        <v>-123751.91</v>
      </c>
    </row>
    <row r="379" spans="1:16" x14ac:dyDescent="0.25">
      <c r="A379" t="s">
        <v>9</v>
      </c>
      <c r="B379" s="1">
        <v>37081.31</v>
      </c>
      <c r="C379">
        <v>31304.04</v>
      </c>
      <c r="D379" s="2">
        <v>43535</v>
      </c>
      <c r="E379" t="s">
        <v>29</v>
      </c>
      <c r="F379" t="s">
        <v>181</v>
      </c>
      <c r="G379" t="s">
        <v>12</v>
      </c>
      <c r="H379" t="s">
        <v>68</v>
      </c>
      <c r="I379" t="s">
        <v>27</v>
      </c>
      <c r="J379" t="s">
        <v>530</v>
      </c>
      <c r="L379">
        <f t="shared" si="21"/>
        <v>201903</v>
      </c>
      <c r="M379">
        <f t="shared" si="22"/>
        <v>3</v>
      </c>
      <c r="N379">
        <f t="shared" si="23"/>
        <v>2019</v>
      </c>
      <c r="O379" t="str">
        <f>VLOOKUP(M379,month_lookup!A:B,2,FALSE)</f>
        <v>Mar</v>
      </c>
      <c r="P379">
        <f t="shared" si="24"/>
        <v>-37081.31</v>
      </c>
    </row>
    <row r="380" spans="1:16" x14ac:dyDescent="0.25">
      <c r="A380" t="s">
        <v>52</v>
      </c>
      <c r="B380" s="1">
        <v>133905.54999999999</v>
      </c>
      <c r="C380">
        <v>116886.15</v>
      </c>
      <c r="D380" s="2">
        <v>44044</v>
      </c>
      <c r="E380" t="s">
        <v>10</v>
      </c>
      <c r="F380" t="s">
        <v>115</v>
      </c>
      <c r="G380" t="s">
        <v>54</v>
      </c>
      <c r="H380" t="s">
        <v>143</v>
      </c>
      <c r="I380" t="s">
        <v>14</v>
      </c>
      <c r="J380" t="s">
        <v>531</v>
      </c>
      <c r="L380">
        <f t="shared" si="21"/>
        <v>202008</v>
      </c>
      <c r="M380">
        <f t="shared" si="22"/>
        <v>8</v>
      </c>
      <c r="N380">
        <f t="shared" si="23"/>
        <v>2020</v>
      </c>
      <c r="O380" t="str">
        <f>VLOOKUP(M380,month_lookup!A:B,2,FALSE)</f>
        <v>Aug</v>
      </c>
      <c r="P380">
        <f t="shared" si="24"/>
        <v>133905.54999999999</v>
      </c>
    </row>
    <row r="381" spans="1:16" x14ac:dyDescent="0.25">
      <c r="A381" t="s">
        <v>52</v>
      </c>
      <c r="B381" s="1">
        <v>63298.61</v>
      </c>
      <c r="C381">
        <v>53645.57</v>
      </c>
      <c r="D381" s="2">
        <v>43931</v>
      </c>
      <c r="E381" t="s">
        <v>50</v>
      </c>
      <c r="F381" t="s">
        <v>236</v>
      </c>
      <c r="G381" t="s">
        <v>54</v>
      </c>
      <c r="H381" t="s">
        <v>143</v>
      </c>
      <c r="I381" t="s">
        <v>14</v>
      </c>
      <c r="J381" t="s">
        <v>532</v>
      </c>
      <c r="L381">
        <f t="shared" si="21"/>
        <v>202004</v>
      </c>
      <c r="M381">
        <f t="shared" si="22"/>
        <v>4</v>
      </c>
      <c r="N381">
        <f t="shared" si="23"/>
        <v>2020</v>
      </c>
      <c r="O381" t="str">
        <f>VLOOKUP(M381,month_lookup!A:B,2,FALSE)</f>
        <v>Apr</v>
      </c>
      <c r="P381">
        <f t="shared" si="24"/>
        <v>63298.61</v>
      </c>
    </row>
    <row r="382" spans="1:16" x14ac:dyDescent="0.25">
      <c r="A382" t="s">
        <v>52</v>
      </c>
      <c r="B382" s="1">
        <v>274242.36</v>
      </c>
      <c r="C382">
        <v>227950.25</v>
      </c>
      <c r="D382" s="2">
        <v>44174</v>
      </c>
      <c r="E382" t="s">
        <v>61</v>
      </c>
      <c r="F382" t="s">
        <v>30</v>
      </c>
      <c r="G382" t="s">
        <v>54</v>
      </c>
      <c r="H382" t="s">
        <v>71</v>
      </c>
      <c r="I382" t="s">
        <v>14</v>
      </c>
      <c r="J382" t="s">
        <v>533</v>
      </c>
      <c r="L382">
        <f t="shared" si="21"/>
        <v>202012</v>
      </c>
      <c r="M382">
        <f t="shared" si="22"/>
        <v>12</v>
      </c>
      <c r="N382">
        <f t="shared" si="23"/>
        <v>2020</v>
      </c>
      <c r="O382" t="str">
        <f>VLOOKUP(M382,month_lookup!A:B,2,FALSE)</f>
        <v>Dec</v>
      </c>
      <c r="P382">
        <f t="shared" si="24"/>
        <v>274242.36</v>
      </c>
    </row>
    <row r="383" spans="1:16" x14ac:dyDescent="0.25">
      <c r="A383" t="s">
        <v>105</v>
      </c>
      <c r="B383" s="1">
        <v>312928.71999999997</v>
      </c>
      <c r="C383">
        <v>270401.71000000002</v>
      </c>
      <c r="D383" s="2">
        <v>43811</v>
      </c>
      <c r="E383" t="s">
        <v>29</v>
      </c>
      <c r="F383" t="s">
        <v>159</v>
      </c>
      <c r="G383" t="s">
        <v>106</v>
      </c>
      <c r="H383" t="s">
        <v>107</v>
      </c>
      <c r="I383" t="s">
        <v>37</v>
      </c>
      <c r="J383" t="s">
        <v>534</v>
      </c>
      <c r="L383">
        <f t="shared" si="21"/>
        <v>201912</v>
      </c>
      <c r="M383">
        <f t="shared" si="22"/>
        <v>12</v>
      </c>
      <c r="N383">
        <f t="shared" si="23"/>
        <v>2019</v>
      </c>
      <c r="O383" t="str">
        <f>VLOOKUP(M383,month_lookup!A:B,2,FALSE)</f>
        <v>Dec</v>
      </c>
      <c r="P383">
        <f t="shared" si="24"/>
        <v>-312928.71999999997</v>
      </c>
    </row>
    <row r="384" spans="1:16" x14ac:dyDescent="0.25">
      <c r="A384" t="s">
        <v>52</v>
      </c>
      <c r="B384" s="1">
        <v>119156.18</v>
      </c>
      <c r="C384">
        <v>100710.8</v>
      </c>
      <c r="D384" s="2">
        <v>43697</v>
      </c>
      <c r="E384" t="s">
        <v>29</v>
      </c>
      <c r="F384" t="s">
        <v>34</v>
      </c>
      <c r="G384" t="s">
        <v>54</v>
      </c>
      <c r="H384" t="s">
        <v>132</v>
      </c>
      <c r="I384" t="s">
        <v>27</v>
      </c>
      <c r="J384" t="s">
        <v>535</v>
      </c>
      <c r="L384">
        <f t="shared" si="21"/>
        <v>201908</v>
      </c>
      <c r="M384">
        <f t="shared" si="22"/>
        <v>8</v>
      </c>
      <c r="N384">
        <f t="shared" si="23"/>
        <v>2019</v>
      </c>
      <c r="O384" t="str">
        <f>VLOOKUP(M384,month_lookup!A:B,2,FALSE)</f>
        <v>Aug</v>
      </c>
      <c r="P384">
        <f t="shared" si="24"/>
        <v>-119156.18</v>
      </c>
    </row>
    <row r="385" spans="1:16" x14ac:dyDescent="0.25">
      <c r="A385" t="s">
        <v>52</v>
      </c>
      <c r="B385" s="1">
        <v>162123.74</v>
      </c>
      <c r="C385">
        <v>133979.06</v>
      </c>
      <c r="D385" s="2">
        <v>43935</v>
      </c>
      <c r="E385" t="s">
        <v>29</v>
      </c>
      <c r="F385" t="s">
        <v>34</v>
      </c>
      <c r="G385" t="s">
        <v>54</v>
      </c>
      <c r="H385" t="s">
        <v>55</v>
      </c>
      <c r="I385" t="s">
        <v>27</v>
      </c>
      <c r="J385" t="s">
        <v>536</v>
      </c>
      <c r="L385">
        <f t="shared" si="21"/>
        <v>202004</v>
      </c>
      <c r="M385">
        <f t="shared" si="22"/>
        <v>4</v>
      </c>
      <c r="N385">
        <f t="shared" si="23"/>
        <v>2020</v>
      </c>
      <c r="O385" t="str">
        <f>VLOOKUP(M385,month_lookup!A:B,2,FALSE)</f>
        <v>Apr</v>
      </c>
      <c r="P385">
        <f t="shared" si="24"/>
        <v>162123.74</v>
      </c>
    </row>
    <row r="386" spans="1:16" x14ac:dyDescent="0.25">
      <c r="A386" t="s">
        <v>172</v>
      </c>
      <c r="B386" s="1">
        <v>65831.42</v>
      </c>
      <c r="C386">
        <v>52487.39</v>
      </c>
      <c r="D386" s="2">
        <v>43477</v>
      </c>
      <c r="E386" t="s">
        <v>79</v>
      </c>
      <c r="F386" t="s">
        <v>157</v>
      </c>
      <c r="G386" t="s">
        <v>174</v>
      </c>
      <c r="H386" t="s">
        <v>211</v>
      </c>
      <c r="I386" t="s">
        <v>27</v>
      </c>
      <c r="J386" t="s">
        <v>537</v>
      </c>
      <c r="L386">
        <f t="shared" si="21"/>
        <v>201901</v>
      </c>
      <c r="M386">
        <f t="shared" si="22"/>
        <v>1</v>
      </c>
      <c r="N386">
        <f t="shared" si="23"/>
        <v>2019</v>
      </c>
      <c r="O386" t="str">
        <f>VLOOKUP(M386,month_lookup!A:B,2,FALSE)</f>
        <v>Jan</v>
      </c>
      <c r="P386">
        <f t="shared" si="24"/>
        <v>-65831.42</v>
      </c>
    </row>
    <row r="387" spans="1:16" x14ac:dyDescent="0.25">
      <c r="A387" t="s">
        <v>52</v>
      </c>
      <c r="B387" s="1">
        <v>180515.09</v>
      </c>
      <c r="C387">
        <v>148852.74</v>
      </c>
      <c r="D387" s="2">
        <v>43825</v>
      </c>
      <c r="E387" t="s">
        <v>10</v>
      </c>
      <c r="F387" t="s">
        <v>91</v>
      </c>
      <c r="G387" t="s">
        <v>54</v>
      </c>
      <c r="H387" t="s">
        <v>71</v>
      </c>
      <c r="I387" t="s">
        <v>27</v>
      </c>
      <c r="J387" t="s">
        <v>538</v>
      </c>
      <c r="L387">
        <f t="shared" ref="L387:L450" si="25">YEAR(D387)*100+MONTH(D387)</f>
        <v>201912</v>
      </c>
      <c r="M387">
        <f t="shared" ref="M387:M450" si="26">MONTH(D387)</f>
        <v>12</v>
      </c>
      <c r="N387">
        <f t="shared" ref="N387:N450" si="27">YEAR(D387)</f>
        <v>2019</v>
      </c>
      <c r="O387" t="str">
        <f>VLOOKUP(M387,month_lookup!A:B,2,FALSE)</f>
        <v>Dec</v>
      </c>
      <c r="P387">
        <f t="shared" si="24"/>
        <v>-180515.09</v>
      </c>
    </row>
    <row r="388" spans="1:16" x14ac:dyDescent="0.25">
      <c r="A388" t="s">
        <v>44</v>
      </c>
      <c r="B388" s="1">
        <v>99114.91</v>
      </c>
      <c r="C388">
        <v>84217.94</v>
      </c>
      <c r="D388" s="2">
        <v>43925</v>
      </c>
      <c r="E388" t="s">
        <v>23</v>
      </c>
      <c r="F388" t="s">
        <v>34</v>
      </c>
      <c r="G388" t="s">
        <v>47</v>
      </c>
      <c r="H388" t="s">
        <v>48</v>
      </c>
      <c r="I388" t="s">
        <v>27</v>
      </c>
      <c r="J388" t="s">
        <v>539</v>
      </c>
      <c r="L388">
        <f t="shared" si="25"/>
        <v>202004</v>
      </c>
      <c r="M388">
        <f t="shared" si="26"/>
        <v>4</v>
      </c>
      <c r="N388">
        <f t="shared" si="27"/>
        <v>2020</v>
      </c>
      <c r="O388" t="str">
        <f>VLOOKUP(M388,month_lookup!A:B,2,FALSE)</f>
        <v>Apr</v>
      </c>
      <c r="P388">
        <f t="shared" si="24"/>
        <v>99114.91</v>
      </c>
    </row>
    <row r="389" spans="1:16" x14ac:dyDescent="0.25">
      <c r="A389" t="s">
        <v>22</v>
      </c>
      <c r="B389" s="1">
        <v>171884</v>
      </c>
      <c r="C389">
        <v>146702.99</v>
      </c>
      <c r="D389" s="2">
        <v>43751</v>
      </c>
      <c r="E389" t="s">
        <v>17</v>
      </c>
      <c r="F389" t="s">
        <v>34</v>
      </c>
      <c r="G389" t="s">
        <v>25</v>
      </c>
      <c r="H389" t="s">
        <v>26</v>
      </c>
      <c r="I389" t="s">
        <v>27</v>
      </c>
      <c r="J389" t="s">
        <v>540</v>
      </c>
      <c r="L389">
        <f t="shared" si="25"/>
        <v>201910</v>
      </c>
      <c r="M389">
        <f t="shared" si="26"/>
        <v>10</v>
      </c>
      <c r="N389">
        <f t="shared" si="27"/>
        <v>2019</v>
      </c>
      <c r="O389" t="str">
        <f>VLOOKUP(M389,month_lookup!A:B,2,FALSE)</f>
        <v>Oct</v>
      </c>
      <c r="P389">
        <f t="shared" si="24"/>
        <v>-171884</v>
      </c>
    </row>
    <row r="390" spans="1:16" x14ac:dyDescent="0.25">
      <c r="A390" t="s">
        <v>345</v>
      </c>
      <c r="B390" s="1">
        <v>26745.94</v>
      </c>
      <c r="C390">
        <v>22600.32</v>
      </c>
      <c r="D390" s="2">
        <v>43779</v>
      </c>
      <c r="E390" t="s">
        <v>50</v>
      </c>
      <c r="F390" t="s">
        <v>24</v>
      </c>
      <c r="G390" t="s">
        <v>346</v>
      </c>
      <c r="H390" t="s">
        <v>347</v>
      </c>
      <c r="I390" t="s">
        <v>27</v>
      </c>
      <c r="J390" t="s">
        <v>541</v>
      </c>
      <c r="L390">
        <f t="shared" si="25"/>
        <v>201911</v>
      </c>
      <c r="M390">
        <f t="shared" si="26"/>
        <v>11</v>
      </c>
      <c r="N390">
        <f t="shared" si="27"/>
        <v>2019</v>
      </c>
      <c r="O390" t="str">
        <f>VLOOKUP(M390,month_lookup!A:B,2,FALSE)</f>
        <v>Nov</v>
      </c>
      <c r="P390">
        <f t="shared" si="24"/>
        <v>-26745.94</v>
      </c>
    </row>
    <row r="391" spans="1:16" x14ac:dyDescent="0.25">
      <c r="A391" t="s">
        <v>22</v>
      </c>
      <c r="B391" s="1">
        <v>77087.839999999997</v>
      </c>
      <c r="C391">
        <v>65894.69</v>
      </c>
      <c r="D391" s="2">
        <v>43968</v>
      </c>
      <c r="E391" t="s">
        <v>138</v>
      </c>
      <c r="F391" t="s">
        <v>70</v>
      </c>
      <c r="G391" t="s">
        <v>25</v>
      </c>
      <c r="H391" t="s">
        <v>31</v>
      </c>
      <c r="I391" t="s">
        <v>27</v>
      </c>
      <c r="J391" t="s">
        <v>542</v>
      </c>
      <c r="L391">
        <f t="shared" si="25"/>
        <v>202005</v>
      </c>
      <c r="M391">
        <f t="shared" si="26"/>
        <v>5</v>
      </c>
      <c r="N391">
        <f t="shared" si="27"/>
        <v>2020</v>
      </c>
      <c r="O391" t="str">
        <f>VLOOKUP(M391,month_lookup!A:B,2,FALSE)</f>
        <v>May</v>
      </c>
      <c r="P391">
        <f t="shared" ref="P391:P454" si="28">IF(N391=2020,B391,-B391)</f>
        <v>77087.839999999997</v>
      </c>
    </row>
    <row r="392" spans="1:16" x14ac:dyDescent="0.25">
      <c r="A392" t="s">
        <v>52</v>
      </c>
      <c r="B392" s="1">
        <v>87404</v>
      </c>
      <c r="C392">
        <v>69363.81</v>
      </c>
      <c r="D392" s="2">
        <v>43825</v>
      </c>
      <c r="E392" t="s">
        <v>79</v>
      </c>
      <c r="F392" t="s">
        <v>34</v>
      </c>
      <c r="G392" t="s">
        <v>54</v>
      </c>
      <c r="H392" t="s">
        <v>55</v>
      </c>
      <c r="I392" t="s">
        <v>27</v>
      </c>
      <c r="J392" t="s">
        <v>543</v>
      </c>
      <c r="L392">
        <f t="shared" si="25"/>
        <v>201912</v>
      </c>
      <c r="M392">
        <f t="shared" si="26"/>
        <v>12</v>
      </c>
      <c r="N392">
        <f t="shared" si="27"/>
        <v>2019</v>
      </c>
      <c r="O392" t="str">
        <f>VLOOKUP(M392,month_lookup!A:B,2,FALSE)</f>
        <v>Dec</v>
      </c>
      <c r="P392">
        <f t="shared" si="28"/>
        <v>-87404</v>
      </c>
    </row>
    <row r="393" spans="1:16" x14ac:dyDescent="0.25">
      <c r="A393" t="s">
        <v>52</v>
      </c>
      <c r="B393" s="1">
        <v>47680.2</v>
      </c>
      <c r="C393">
        <v>40575.85</v>
      </c>
      <c r="D393" s="2">
        <v>43654</v>
      </c>
      <c r="E393" t="s">
        <v>23</v>
      </c>
      <c r="F393" t="s">
        <v>120</v>
      </c>
      <c r="G393" t="s">
        <v>54</v>
      </c>
      <c r="H393" t="s">
        <v>127</v>
      </c>
      <c r="I393" t="s">
        <v>27</v>
      </c>
      <c r="J393" t="s">
        <v>544</v>
      </c>
      <c r="L393">
        <f t="shared" si="25"/>
        <v>201907</v>
      </c>
      <c r="M393">
        <f t="shared" si="26"/>
        <v>7</v>
      </c>
      <c r="N393">
        <f t="shared" si="27"/>
        <v>2019</v>
      </c>
      <c r="O393" t="str">
        <f>VLOOKUP(M393,month_lookup!A:B,2,FALSE)</f>
        <v>Jul</v>
      </c>
      <c r="P393">
        <f t="shared" si="28"/>
        <v>-47680.2</v>
      </c>
    </row>
    <row r="394" spans="1:16" x14ac:dyDescent="0.25">
      <c r="A394" t="s">
        <v>16</v>
      </c>
      <c r="B394" s="1">
        <v>27824.83</v>
      </c>
      <c r="C394">
        <v>23517.55</v>
      </c>
      <c r="D394" s="2">
        <v>43714</v>
      </c>
      <c r="E394" t="s">
        <v>17</v>
      </c>
      <c r="F394" t="s">
        <v>223</v>
      </c>
      <c r="G394" t="s">
        <v>19</v>
      </c>
      <c r="H394" t="s">
        <v>20</v>
      </c>
      <c r="I394" t="s">
        <v>27</v>
      </c>
      <c r="J394" t="s">
        <v>545</v>
      </c>
      <c r="L394">
        <f t="shared" si="25"/>
        <v>201909</v>
      </c>
      <c r="M394">
        <f t="shared" si="26"/>
        <v>9</v>
      </c>
      <c r="N394">
        <f t="shared" si="27"/>
        <v>2019</v>
      </c>
      <c r="O394" t="str">
        <f>VLOOKUP(M394,month_lookup!A:B,2,FALSE)</f>
        <v>Sep</v>
      </c>
      <c r="P394">
        <f t="shared" si="28"/>
        <v>-27824.83</v>
      </c>
    </row>
    <row r="395" spans="1:16" x14ac:dyDescent="0.25">
      <c r="A395" t="s">
        <v>22</v>
      </c>
      <c r="B395" s="1">
        <v>106516.4</v>
      </c>
      <c r="C395">
        <v>86928.03</v>
      </c>
      <c r="D395" s="2">
        <v>43545</v>
      </c>
      <c r="E395" t="s">
        <v>23</v>
      </c>
      <c r="F395" t="s">
        <v>433</v>
      </c>
      <c r="G395" t="s">
        <v>25</v>
      </c>
      <c r="H395" t="s">
        <v>26</v>
      </c>
      <c r="I395" t="s">
        <v>27</v>
      </c>
      <c r="J395" t="s">
        <v>546</v>
      </c>
      <c r="L395">
        <f t="shared" si="25"/>
        <v>201903</v>
      </c>
      <c r="M395">
        <f t="shared" si="26"/>
        <v>3</v>
      </c>
      <c r="N395">
        <f t="shared" si="27"/>
        <v>2019</v>
      </c>
      <c r="O395" t="str">
        <f>VLOOKUP(M395,month_lookup!A:B,2,FALSE)</f>
        <v>Mar</v>
      </c>
      <c r="P395">
        <f t="shared" si="28"/>
        <v>-106516.4</v>
      </c>
    </row>
    <row r="396" spans="1:16" x14ac:dyDescent="0.25">
      <c r="A396" t="s">
        <v>52</v>
      </c>
      <c r="B396" s="1">
        <v>141948.10999999999</v>
      </c>
      <c r="C396">
        <v>112948.11</v>
      </c>
      <c r="D396" s="2">
        <v>43946</v>
      </c>
      <c r="E396" t="s">
        <v>10</v>
      </c>
      <c r="F396" t="s">
        <v>326</v>
      </c>
      <c r="G396" t="s">
        <v>54</v>
      </c>
      <c r="H396" t="s">
        <v>55</v>
      </c>
      <c r="I396" t="s">
        <v>27</v>
      </c>
      <c r="J396" t="s">
        <v>547</v>
      </c>
      <c r="L396">
        <f t="shared" si="25"/>
        <v>202004</v>
      </c>
      <c r="M396">
        <f t="shared" si="26"/>
        <v>4</v>
      </c>
      <c r="N396">
        <f t="shared" si="27"/>
        <v>2020</v>
      </c>
      <c r="O396" t="str">
        <f>VLOOKUP(M396,month_lookup!A:B,2,FALSE)</f>
        <v>Apr</v>
      </c>
      <c r="P396">
        <f t="shared" si="28"/>
        <v>141948.10999999999</v>
      </c>
    </row>
    <row r="397" spans="1:16" x14ac:dyDescent="0.25">
      <c r="A397" t="s">
        <v>172</v>
      </c>
      <c r="B397" s="1">
        <v>226021.18</v>
      </c>
      <c r="C397">
        <v>180455.31</v>
      </c>
      <c r="D397" s="2">
        <v>43664</v>
      </c>
      <c r="E397" t="s">
        <v>45</v>
      </c>
      <c r="F397" t="s">
        <v>236</v>
      </c>
      <c r="G397" t="s">
        <v>174</v>
      </c>
      <c r="H397" t="s">
        <v>211</v>
      </c>
      <c r="I397" t="s">
        <v>27</v>
      </c>
      <c r="J397" t="s">
        <v>548</v>
      </c>
      <c r="L397">
        <f t="shared" si="25"/>
        <v>201907</v>
      </c>
      <c r="M397">
        <f t="shared" si="26"/>
        <v>7</v>
      </c>
      <c r="N397">
        <f t="shared" si="27"/>
        <v>2019</v>
      </c>
      <c r="O397" t="str">
        <f>VLOOKUP(M397,month_lookup!A:B,2,FALSE)</f>
        <v>Jul</v>
      </c>
      <c r="P397">
        <f t="shared" si="28"/>
        <v>-226021.18</v>
      </c>
    </row>
    <row r="398" spans="1:16" x14ac:dyDescent="0.25">
      <c r="A398" t="s">
        <v>137</v>
      </c>
      <c r="B398" s="1">
        <v>44232.84</v>
      </c>
      <c r="C398">
        <v>38880.67</v>
      </c>
      <c r="D398" s="2">
        <v>43881</v>
      </c>
      <c r="E398" t="s">
        <v>10</v>
      </c>
      <c r="F398" t="s">
        <v>34</v>
      </c>
      <c r="G398" t="s">
        <v>139</v>
      </c>
      <c r="H398" t="s">
        <v>140</v>
      </c>
      <c r="I398" t="s">
        <v>37</v>
      </c>
      <c r="J398" t="s">
        <v>549</v>
      </c>
      <c r="L398">
        <f t="shared" si="25"/>
        <v>202002</v>
      </c>
      <c r="M398">
        <f t="shared" si="26"/>
        <v>2</v>
      </c>
      <c r="N398">
        <f t="shared" si="27"/>
        <v>2020</v>
      </c>
      <c r="O398" t="str">
        <f>VLOOKUP(M398,month_lookup!A:B,2,FALSE)</f>
        <v>Feb</v>
      </c>
      <c r="P398">
        <f t="shared" si="28"/>
        <v>44232.84</v>
      </c>
    </row>
    <row r="399" spans="1:16" x14ac:dyDescent="0.25">
      <c r="A399" t="s">
        <v>172</v>
      </c>
      <c r="B399" s="1">
        <v>135344.51999999999</v>
      </c>
      <c r="C399">
        <v>117492.58</v>
      </c>
      <c r="D399" s="2">
        <v>43482</v>
      </c>
      <c r="E399" t="s">
        <v>17</v>
      </c>
      <c r="F399" t="s">
        <v>67</v>
      </c>
      <c r="G399" t="s">
        <v>174</v>
      </c>
      <c r="H399" t="s">
        <v>211</v>
      </c>
      <c r="I399" t="s">
        <v>27</v>
      </c>
      <c r="J399" t="s">
        <v>550</v>
      </c>
      <c r="L399">
        <f t="shared" si="25"/>
        <v>201901</v>
      </c>
      <c r="M399">
        <f t="shared" si="26"/>
        <v>1</v>
      </c>
      <c r="N399">
        <f t="shared" si="27"/>
        <v>2019</v>
      </c>
      <c r="O399" t="str">
        <f>VLOOKUP(M399,month_lookup!A:B,2,FALSE)</f>
        <v>Jan</v>
      </c>
      <c r="P399">
        <f t="shared" si="28"/>
        <v>-135344.51999999999</v>
      </c>
    </row>
    <row r="400" spans="1:16" x14ac:dyDescent="0.25">
      <c r="A400" t="s">
        <v>52</v>
      </c>
      <c r="B400" s="1">
        <v>271411.92</v>
      </c>
      <c r="C400">
        <v>231514.37</v>
      </c>
      <c r="D400" s="2">
        <v>43808</v>
      </c>
      <c r="E400" t="s">
        <v>23</v>
      </c>
      <c r="F400" t="s">
        <v>30</v>
      </c>
      <c r="G400" t="s">
        <v>54</v>
      </c>
      <c r="H400" t="s">
        <v>71</v>
      </c>
      <c r="I400" t="s">
        <v>37</v>
      </c>
      <c r="J400" t="s">
        <v>551</v>
      </c>
      <c r="L400">
        <f t="shared" si="25"/>
        <v>201912</v>
      </c>
      <c r="M400">
        <f t="shared" si="26"/>
        <v>12</v>
      </c>
      <c r="N400">
        <f t="shared" si="27"/>
        <v>2019</v>
      </c>
      <c r="O400" t="str">
        <f>VLOOKUP(M400,month_lookup!A:B,2,FALSE)</f>
        <v>Dec</v>
      </c>
      <c r="P400">
        <f t="shared" si="28"/>
        <v>-271411.92</v>
      </c>
    </row>
    <row r="401" spans="1:16" x14ac:dyDescent="0.25">
      <c r="A401" t="s">
        <v>22</v>
      </c>
      <c r="B401" s="1">
        <v>125253.59</v>
      </c>
      <c r="C401">
        <v>108269.2</v>
      </c>
      <c r="D401" s="2">
        <v>43878</v>
      </c>
      <c r="E401" t="s">
        <v>59</v>
      </c>
      <c r="F401" t="s">
        <v>101</v>
      </c>
      <c r="G401" t="s">
        <v>25</v>
      </c>
      <c r="H401" t="s">
        <v>75</v>
      </c>
      <c r="I401" t="s">
        <v>27</v>
      </c>
      <c r="J401" t="s">
        <v>552</v>
      </c>
      <c r="L401">
        <f t="shared" si="25"/>
        <v>202002</v>
      </c>
      <c r="M401">
        <f t="shared" si="26"/>
        <v>2</v>
      </c>
      <c r="N401">
        <f t="shared" si="27"/>
        <v>2020</v>
      </c>
      <c r="O401" t="str">
        <f>VLOOKUP(M401,month_lookup!A:B,2,FALSE)</f>
        <v>Feb</v>
      </c>
      <c r="P401">
        <f t="shared" si="28"/>
        <v>125253.59</v>
      </c>
    </row>
    <row r="402" spans="1:16" x14ac:dyDescent="0.25">
      <c r="A402" t="s">
        <v>9</v>
      </c>
      <c r="B402" s="1">
        <v>15100.57</v>
      </c>
      <c r="C402">
        <v>12113.68</v>
      </c>
      <c r="D402" s="2">
        <v>43516</v>
      </c>
      <c r="E402" t="s">
        <v>17</v>
      </c>
      <c r="F402" t="s">
        <v>101</v>
      </c>
      <c r="G402" t="s">
        <v>12</v>
      </c>
      <c r="H402" t="s">
        <v>169</v>
      </c>
      <c r="I402" t="s">
        <v>27</v>
      </c>
      <c r="J402" t="s">
        <v>553</v>
      </c>
      <c r="L402">
        <f t="shared" si="25"/>
        <v>201902</v>
      </c>
      <c r="M402">
        <f t="shared" si="26"/>
        <v>2</v>
      </c>
      <c r="N402">
        <f t="shared" si="27"/>
        <v>2019</v>
      </c>
      <c r="O402" t="str">
        <f>VLOOKUP(M402,month_lookup!A:B,2,FALSE)</f>
        <v>Feb</v>
      </c>
      <c r="P402">
        <f t="shared" si="28"/>
        <v>-15100.57</v>
      </c>
    </row>
    <row r="403" spans="1:16" x14ac:dyDescent="0.25">
      <c r="A403" t="s">
        <v>52</v>
      </c>
      <c r="B403" s="1">
        <v>157932.84</v>
      </c>
      <c r="C403">
        <v>134148.15</v>
      </c>
      <c r="D403" s="2">
        <v>43861</v>
      </c>
      <c r="E403" t="s">
        <v>17</v>
      </c>
      <c r="F403" t="s">
        <v>236</v>
      </c>
      <c r="G403" t="s">
        <v>54</v>
      </c>
      <c r="H403" t="s">
        <v>71</v>
      </c>
      <c r="I403" t="s">
        <v>27</v>
      </c>
      <c r="J403" t="s">
        <v>554</v>
      </c>
      <c r="L403">
        <f t="shared" si="25"/>
        <v>202001</v>
      </c>
      <c r="M403">
        <f t="shared" si="26"/>
        <v>1</v>
      </c>
      <c r="N403">
        <f t="shared" si="27"/>
        <v>2020</v>
      </c>
      <c r="O403" t="str">
        <f>VLOOKUP(M403,month_lookup!A:B,2,FALSE)</f>
        <v>Jan</v>
      </c>
      <c r="P403">
        <f t="shared" si="28"/>
        <v>157932.84</v>
      </c>
    </row>
    <row r="404" spans="1:16" x14ac:dyDescent="0.25">
      <c r="A404" t="s">
        <v>22</v>
      </c>
      <c r="B404" s="1">
        <v>64192.86</v>
      </c>
      <c r="C404">
        <v>52837.14</v>
      </c>
      <c r="D404" s="2">
        <v>43933</v>
      </c>
      <c r="E404" t="s">
        <v>50</v>
      </c>
      <c r="F404" t="s">
        <v>34</v>
      </c>
      <c r="G404" t="s">
        <v>25</v>
      </c>
      <c r="H404" t="s">
        <v>218</v>
      </c>
      <c r="I404" t="s">
        <v>27</v>
      </c>
      <c r="J404" t="s">
        <v>555</v>
      </c>
      <c r="L404">
        <f t="shared" si="25"/>
        <v>202004</v>
      </c>
      <c r="M404">
        <f t="shared" si="26"/>
        <v>4</v>
      </c>
      <c r="N404">
        <f t="shared" si="27"/>
        <v>2020</v>
      </c>
      <c r="O404" t="str">
        <f>VLOOKUP(M404,month_lookup!A:B,2,FALSE)</f>
        <v>Apr</v>
      </c>
      <c r="P404">
        <f t="shared" si="28"/>
        <v>64192.86</v>
      </c>
    </row>
    <row r="405" spans="1:16" x14ac:dyDescent="0.25">
      <c r="A405" t="s">
        <v>9</v>
      </c>
      <c r="B405" s="1">
        <v>156453.01</v>
      </c>
      <c r="C405">
        <v>128494.86</v>
      </c>
      <c r="D405" s="2">
        <v>44108</v>
      </c>
      <c r="E405" t="s">
        <v>23</v>
      </c>
      <c r="F405" t="s">
        <v>34</v>
      </c>
      <c r="G405" t="s">
        <v>12</v>
      </c>
      <c r="H405" t="s">
        <v>13</v>
      </c>
      <c r="I405" t="s">
        <v>27</v>
      </c>
      <c r="J405" t="s">
        <v>556</v>
      </c>
      <c r="L405">
        <f t="shared" si="25"/>
        <v>202010</v>
      </c>
      <c r="M405">
        <f t="shared" si="26"/>
        <v>10</v>
      </c>
      <c r="N405">
        <f t="shared" si="27"/>
        <v>2020</v>
      </c>
      <c r="O405" t="str">
        <f>VLOOKUP(M405,month_lookup!A:B,2,FALSE)</f>
        <v>Oct</v>
      </c>
      <c r="P405">
        <f t="shared" si="28"/>
        <v>156453.01</v>
      </c>
    </row>
    <row r="406" spans="1:16" x14ac:dyDescent="0.25">
      <c r="A406" t="s">
        <v>16</v>
      </c>
      <c r="B406" s="1">
        <v>53616.06</v>
      </c>
      <c r="C406">
        <v>45589.74</v>
      </c>
      <c r="D406" s="2">
        <v>43833</v>
      </c>
      <c r="E406" t="s">
        <v>50</v>
      </c>
      <c r="F406" t="s">
        <v>233</v>
      </c>
      <c r="G406" t="s">
        <v>19</v>
      </c>
      <c r="H406" t="s">
        <v>20</v>
      </c>
      <c r="I406" t="s">
        <v>27</v>
      </c>
      <c r="J406" t="s">
        <v>557</v>
      </c>
      <c r="L406">
        <f t="shared" si="25"/>
        <v>202001</v>
      </c>
      <c r="M406">
        <f t="shared" si="26"/>
        <v>1</v>
      </c>
      <c r="N406">
        <f t="shared" si="27"/>
        <v>2020</v>
      </c>
      <c r="O406" t="str">
        <f>VLOOKUP(M406,month_lookup!A:B,2,FALSE)</f>
        <v>Jan</v>
      </c>
      <c r="P406">
        <f t="shared" si="28"/>
        <v>53616.06</v>
      </c>
    </row>
    <row r="407" spans="1:16" x14ac:dyDescent="0.25">
      <c r="A407" t="s">
        <v>16</v>
      </c>
      <c r="B407" s="1">
        <v>163967.89000000001</v>
      </c>
      <c r="C407">
        <v>138208.53</v>
      </c>
      <c r="D407" s="2">
        <v>43615</v>
      </c>
      <c r="E407" t="s">
        <v>50</v>
      </c>
      <c r="F407" t="s">
        <v>113</v>
      </c>
      <c r="G407" t="s">
        <v>19</v>
      </c>
      <c r="H407" t="s">
        <v>20</v>
      </c>
      <c r="I407" t="s">
        <v>37</v>
      </c>
      <c r="J407" t="s">
        <v>558</v>
      </c>
      <c r="L407">
        <f t="shared" si="25"/>
        <v>201905</v>
      </c>
      <c r="M407">
        <f t="shared" si="26"/>
        <v>5</v>
      </c>
      <c r="N407">
        <f t="shared" si="27"/>
        <v>2019</v>
      </c>
      <c r="O407" t="str">
        <f>VLOOKUP(M407,month_lookup!A:B,2,FALSE)</f>
        <v>May</v>
      </c>
      <c r="P407">
        <f t="shared" si="28"/>
        <v>-163967.89000000001</v>
      </c>
    </row>
    <row r="408" spans="1:16" x14ac:dyDescent="0.25">
      <c r="A408" t="s">
        <v>9</v>
      </c>
      <c r="B408" s="1">
        <v>171748.56</v>
      </c>
      <c r="C408">
        <v>136574.45000000001</v>
      </c>
      <c r="D408" s="2">
        <v>44155</v>
      </c>
      <c r="E408" t="s">
        <v>17</v>
      </c>
      <c r="F408" t="s">
        <v>154</v>
      </c>
      <c r="G408" t="s">
        <v>12</v>
      </c>
      <c r="H408" t="s">
        <v>13</v>
      </c>
      <c r="I408" t="s">
        <v>27</v>
      </c>
      <c r="J408" t="s">
        <v>559</v>
      </c>
      <c r="L408">
        <f t="shared" si="25"/>
        <v>202011</v>
      </c>
      <c r="M408">
        <f t="shared" si="26"/>
        <v>11</v>
      </c>
      <c r="N408">
        <f t="shared" si="27"/>
        <v>2020</v>
      </c>
      <c r="O408" t="str">
        <f>VLOOKUP(M408,month_lookup!A:B,2,FALSE)</f>
        <v>Nov</v>
      </c>
      <c r="P408">
        <f t="shared" si="28"/>
        <v>171748.56</v>
      </c>
    </row>
    <row r="409" spans="1:16" x14ac:dyDescent="0.25">
      <c r="A409" t="s">
        <v>52</v>
      </c>
      <c r="B409" s="1">
        <v>26103.94</v>
      </c>
      <c r="C409">
        <v>22339.75</v>
      </c>
      <c r="D409" s="2">
        <v>44074</v>
      </c>
      <c r="E409" t="s">
        <v>50</v>
      </c>
      <c r="F409" t="s">
        <v>145</v>
      </c>
      <c r="G409" t="s">
        <v>54</v>
      </c>
      <c r="H409" t="s">
        <v>132</v>
      </c>
      <c r="I409" t="s">
        <v>37</v>
      </c>
      <c r="J409" t="s">
        <v>560</v>
      </c>
      <c r="L409">
        <f t="shared" si="25"/>
        <v>202008</v>
      </c>
      <c r="M409">
        <f t="shared" si="26"/>
        <v>8</v>
      </c>
      <c r="N409">
        <f t="shared" si="27"/>
        <v>2020</v>
      </c>
      <c r="O409" t="str">
        <f>VLOOKUP(M409,month_lookup!A:B,2,FALSE)</f>
        <v>Aug</v>
      </c>
      <c r="P409">
        <f t="shared" si="28"/>
        <v>26103.94</v>
      </c>
    </row>
    <row r="410" spans="1:16" x14ac:dyDescent="0.25">
      <c r="A410" t="s">
        <v>22</v>
      </c>
      <c r="B410" s="1">
        <v>140337.34</v>
      </c>
      <c r="C410">
        <v>115708.14</v>
      </c>
      <c r="D410" s="2">
        <v>44078</v>
      </c>
      <c r="E410" t="s">
        <v>50</v>
      </c>
      <c r="F410" t="s">
        <v>165</v>
      </c>
      <c r="G410" t="s">
        <v>25</v>
      </c>
      <c r="H410" t="s">
        <v>75</v>
      </c>
      <c r="I410" t="s">
        <v>27</v>
      </c>
      <c r="J410" t="s">
        <v>561</v>
      </c>
      <c r="L410">
        <f t="shared" si="25"/>
        <v>202009</v>
      </c>
      <c r="M410">
        <f t="shared" si="26"/>
        <v>9</v>
      </c>
      <c r="N410">
        <f t="shared" si="27"/>
        <v>2020</v>
      </c>
      <c r="O410" t="str">
        <f>VLOOKUP(M410,month_lookup!A:B,2,FALSE)</f>
        <v>Sep</v>
      </c>
      <c r="P410">
        <f t="shared" si="28"/>
        <v>140337.34</v>
      </c>
    </row>
    <row r="411" spans="1:16" x14ac:dyDescent="0.25">
      <c r="A411" t="s">
        <v>9</v>
      </c>
      <c r="B411" s="1">
        <v>33617.03</v>
      </c>
      <c r="C411">
        <v>26614.6</v>
      </c>
      <c r="D411" s="2">
        <v>43928</v>
      </c>
      <c r="E411" t="s">
        <v>50</v>
      </c>
      <c r="F411" t="s">
        <v>159</v>
      </c>
      <c r="G411" t="s">
        <v>12</v>
      </c>
      <c r="H411" t="s">
        <v>13</v>
      </c>
      <c r="I411" t="s">
        <v>27</v>
      </c>
      <c r="J411" t="s">
        <v>562</v>
      </c>
      <c r="L411">
        <f t="shared" si="25"/>
        <v>202004</v>
      </c>
      <c r="M411">
        <f t="shared" si="26"/>
        <v>4</v>
      </c>
      <c r="N411">
        <f t="shared" si="27"/>
        <v>2020</v>
      </c>
      <c r="O411" t="str">
        <f>VLOOKUP(M411,month_lookup!A:B,2,FALSE)</f>
        <v>Apr</v>
      </c>
      <c r="P411">
        <f t="shared" si="28"/>
        <v>33617.03</v>
      </c>
    </row>
    <row r="412" spans="1:16" x14ac:dyDescent="0.25">
      <c r="A412" t="s">
        <v>22</v>
      </c>
      <c r="B412" s="1">
        <v>187874.45</v>
      </c>
      <c r="C412">
        <v>160031.46</v>
      </c>
      <c r="D412" s="2">
        <v>43642</v>
      </c>
      <c r="E412" t="s">
        <v>45</v>
      </c>
      <c r="F412" t="s">
        <v>34</v>
      </c>
      <c r="G412" t="s">
        <v>25</v>
      </c>
      <c r="H412" t="s">
        <v>89</v>
      </c>
      <c r="I412" t="s">
        <v>27</v>
      </c>
      <c r="J412" t="s">
        <v>563</v>
      </c>
      <c r="L412">
        <f t="shared" si="25"/>
        <v>201906</v>
      </c>
      <c r="M412">
        <f t="shared" si="26"/>
        <v>6</v>
      </c>
      <c r="N412">
        <f t="shared" si="27"/>
        <v>2019</v>
      </c>
      <c r="O412" t="str">
        <f>VLOOKUP(M412,month_lookup!A:B,2,FALSE)</f>
        <v>Jun</v>
      </c>
      <c r="P412">
        <f t="shared" si="28"/>
        <v>-187874.45</v>
      </c>
    </row>
    <row r="413" spans="1:16" x14ac:dyDescent="0.25">
      <c r="A413" t="s">
        <v>16</v>
      </c>
      <c r="B413" s="1">
        <v>41675.01</v>
      </c>
      <c r="C413">
        <v>33765.089999999997</v>
      </c>
      <c r="D413" s="2">
        <v>43641</v>
      </c>
      <c r="E413" t="s">
        <v>29</v>
      </c>
      <c r="F413" t="s">
        <v>134</v>
      </c>
      <c r="G413" t="s">
        <v>19</v>
      </c>
      <c r="H413" t="s">
        <v>20</v>
      </c>
      <c r="I413" t="s">
        <v>27</v>
      </c>
      <c r="J413" t="s">
        <v>564</v>
      </c>
      <c r="L413">
        <f t="shared" si="25"/>
        <v>201906</v>
      </c>
      <c r="M413">
        <f t="shared" si="26"/>
        <v>6</v>
      </c>
      <c r="N413">
        <f t="shared" si="27"/>
        <v>2019</v>
      </c>
      <c r="O413" t="str">
        <f>VLOOKUP(M413,month_lookup!A:B,2,FALSE)</f>
        <v>Jun</v>
      </c>
      <c r="P413">
        <f t="shared" si="28"/>
        <v>-41675.01</v>
      </c>
    </row>
    <row r="414" spans="1:16" x14ac:dyDescent="0.25">
      <c r="A414" t="s">
        <v>22</v>
      </c>
      <c r="B414" s="1">
        <v>34930.080000000002</v>
      </c>
      <c r="C414">
        <v>28017.42</v>
      </c>
      <c r="D414" s="2">
        <v>43770</v>
      </c>
      <c r="E414" t="s">
        <v>50</v>
      </c>
      <c r="F414" t="s">
        <v>233</v>
      </c>
      <c r="G414" t="s">
        <v>25</v>
      </c>
      <c r="H414" t="s">
        <v>26</v>
      </c>
      <c r="I414" t="s">
        <v>27</v>
      </c>
      <c r="J414" t="s">
        <v>565</v>
      </c>
      <c r="L414">
        <f t="shared" si="25"/>
        <v>201911</v>
      </c>
      <c r="M414">
        <f t="shared" si="26"/>
        <v>11</v>
      </c>
      <c r="N414">
        <f t="shared" si="27"/>
        <v>2019</v>
      </c>
      <c r="O414" t="str">
        <f>VLOOKUP(M414,month_lookup!A:B,2,FALSE)</f>
        <v>Nov</v>
      </c>
      <c r="P414">
        <f t="shared" si="28"/>
        <v>-34930.080000000002</v>
      </c>
    </row>
    <row r="415" spans="1:16" x14ac:dyDescent="0.25">
      <c r="A415" t="s">
        <v>16</v>
      </c>
      <c r="B415" s="1">
        <v>127994.87</v>
      </c>
      <c r="C415">
        <v>105800.56</v>
      </c>
      <c r="D415" s="2">
        <v>44075</v>
      </c>
      <c r="E415" t="s">
        <v>10</v>
      </c>
      <c r="F415" t="s">
        <v>165</v>
      </c>
      <c r="G415" t="s">
        <v>19</v>
      </c>
      <c r="H415" t="s">
        <v>352</v>
      </c>
      <c r="I415" t="s">
        <v>27</v>
      </c>
      <c r="J415" t="s">
        <v>566</v>
      </c>
      <c r="L415">
        <f t="shared" si="25"/>
        <v>202009</v>
      </c>
      <c r="M415">
        <f t="shared" si="26"/>
        <v>9</v>
      </c>
      <c r="N415">
        <f t="shared" si="27"/>
        <v>2020</v>
      </c>
      <c r="O415" t="str">
        <f>VLOOKUP(M415,month_lookup!A:B,2,FALSE)</f>
        <v>Sep</v>
      </c>
      <c r="P415">
        <f t="shared" si="28"/>
        <v>127994.87</v>
      </c>
    </row>
    <row r="416" spans="1:16" x14ac:dyDescent="0.25">
      <c r="A416" t="s">
        <v>22</v>
      </c>
      <c r="B416" s="1">
        <v>162637.68</v>
      </c>
      <c r="C416">
        <v>130402.89</v>
      </c>
      <c r="D416" s="2">
        <v>43735</v>
      </c>
      <c r="E416" t="s">
        <v>23</v>
      </c>
      <c r="F416" t="s">
        <v>24</v>
      </c>
      <c r="G416" t="s">
        <v>25</v>
      </c>
      <c r="H416" t="s">
        <v>75</v>
      </c>
      <c r="I416" t="s">
        <v>27</v>
      </c>
      <c r="J416" t="s">
        <v>567</v>
      </c>
      <c r="L416">
        <f t="shared" si="25"/>
        <v>201909</v>
      </c>
      <c r="M416">
        <f t="shared" si="26"/>
        <v>9</v>
      </c>
      <c r="N416">
        <f t="shared" si="27"/>
        <v>2019</v>
      </c>
      <c r="O416" t="str">
        <f>VLOOKUP(M416,month_lookup!A:B,2,FALSE)</f>
        <v>Sep</v>
      </c>
      <c r="P416">
        <f t="shared" si="28"/>
        <v>-162637.68</v>
      </c>
    </row>
    <row r="417" spans="1:16" x14ac:dyDescent="0.25">
      <c r="A417" t="s">
        <v>22</v>
      </c>
      <c r="B417" s="1">
        <v>40728.28</v>
      </c>
      <c r="C417">
        <v>35669.83</v>
      </c>
      <c r="D417" s="2">
        <v>43730</v>
      </c>
      <c r="E417" t="s">
        <v>29</v>
      </c>
      <c r="F417" t="s">
        <v>301</v>
      </c>
      <c r="G417" t="s">
        <v>25</v>
      </c>
      <c r="H417" t="s">
        <v>89</v>
      </c>
      <c r="I417" t="s">
        <v>14</v>
      </c>
      <c r="J417" t="s">
        <v>568</v>
      </c>
      <c r="L417">
        <f t="shared" si="25"/>
        <v>201909</v>
      </c>
      <c r="M417">
        <f t="shared" si="26"/>
        <v>9</v>
      </c>
      <c r="N417">
        <f t="shared" si="27"/>
        <v>2019</v>
      </c>
      <c r="O417" t="str">
        <f>VLOOKUP(M417,month_lookup!A:B,2,FALSE)</f>
        <v>Sep</v>
      </c>
      <c r="P417">
        <f t="shared" si="28"/>
        <v>-40728.28</v>
      </c>
    </row>
    <row r="418" spans="1:16" x14ac:dyDescent="0.25">
      <c r="A418" t="s">
        <v>16</v>
      </c>
      <c r="B418" s="1">
        <v>293767.28000000003</v>
      </c>
      <c r="C418">
        <v>254079.32</v>
      </c>
      <c r="D418" s="2">
        <v>43987</v>
      </c>
      <c r="E418" t="s">
        <v>17</v>
      </c>
      <c r="F418" t="s">
        <v>187</v>
      </c>
      <c r="G418" t="s">
        <v>19</v>
      </c>
      <c r="H418" t="s">
        <v>20</v>
      </c>
      <c r="I418" t="s">
        <v>27</v>
      </c>
      <c r="J418" t="s">
        <v>569</v>
      </c>
      <c r="L418">
        <f t="shared" si="25"/>
        <v>202006</v>
      </c>
      <c r="M418">
        <f t="shared" si="26"/>
        <v>6</v>
      </c>
      <c r="N418">
        <f t="shared" si="27"/>
        <v>2020</v>
      </c>
      <c r="O418" t="str">
        <f>VLOOKUP(M418,month_lookup!A:B,2,FALSE)</f>
        <v>Jun</v>
      </c>
      <c r="P418">
        <f t="shared" si="28"/>
        <v>293767.28000000003</v>
      </c>
    </row>
    <row r="419" spans="1:16" x14ac:dyDescent="0.25">
      <c r="A419" t="s">
        <v>9</v>
      </c>
      <c r="B419" s="1">
        <v>57913.36</v>
      </c>
      <c r="C419">
        <v>48693.55</v>
      </c>
      <c r="D419" s="2">
        <v>43719</v>
      </c>
      <c r="E419" t="s">
        <v>17</v>
      </c>
      <c r="F419" t="s">
        <v>101</v>
      </c>
      <c r="G419" t="s">
        <v>12</v>
      </c>
      <c r="H419" t="s">
        <v>81</v>
      </c>
      <c r="I419" t="s">
        <v>27</v>
      </c>
      <c r="J419" t="s">
        <v>570</v>
      </c>
      <c r="L419">
        <f t="shared" si="25"/>
        <v>201909</v>
      </c>
      <c r="M419">
        <f t="shared" si="26"/>
        <v>9</v>
      </c>
      <c r="N419">
        <f t="shared" si="27"/>
        <v>2019</v>
      </c>
      <c r="O419" t="str">
        <f>VLOOKUP(M419,month_lookup!A:B,2,FALSE)</f>
        <v>Sep</v>
      </c>
      <c r="P419">
        <f t="shared" si="28"/>
        <v>-57913.36</v>
      </c>
    </row>
    <row r="420" spans="1:16" x14ac:dyDescent="0.25">
      <c r="A420" t="s">
        <v>44</v>
      </c>
      <c r="B420" s="1">
        <v>63979.040000000001</v>
      </c>
      <c r="C420">
        <v>56032.84</v>
      </c>
      <c r="D420" s="2">
        <v>43760</v>
      </c>
      <c r="E420" t="s">
        <v>17</v>
      </c>
      <c r="F420" t="s">
        <v>42</v>
      </c>
      <c r="G420" t="s">
        <v>47</v>
      </c>
      <c r="H420" t="s">
        <v>65</v>
      </c>
      <c r="I420" t="s">
        <v>27</v>
      </c>
      <c r="J420" t="s">
        <v>571</v>
      </c>
      <c r="L420">
        <f t="shared" si="25"/>
        <v>201910</v>
      </c>
      <c r="M420">
        <f t="shared" si="26"/>
        <v>10</v>
      </c>
      <c r="N420">
        <f t="shared" si="27"/>
        <v>2019</v>
      </c>
      <c r="O420" t="str">
        <f>VLOOKUP(M420,month_lookup!A:B,2,FALSE)</f>
        <v>Oct</v>
      </c>
      <c r="P420">
        <f t="shared" si="28"/>
        <v>-63979.040000000001</v>
      </c>
    </row>
    <row r="421" spans="1:16" x14ac:dyDescent="0.25">
      <c r="A421" t="s">
        <v>52</v>
      </c>
      <c r="B421" s="1">
        <v>102255.86</v>
      </c>
      <c r="C421">
        <v>83379.429999999993</v>
      </c>
      <c r="D421" s="2">
        <v>44147</v>
      </c>
      <c r="E421" t="s">
        <v>59</v>
      </c>
      <c r="F421" t="s">
        <v>204</v>
      </c>
      <c r="G421" t="s">
        <v>54</v>
      </c>
      <c r="H421" t="s">
        <v>143</v>
      </c>
      <c r="I421" t="s">
        <v>27</v>
      </c>
      <c r="J421" t="s">
        <v>572</v>
      </c>
      <c r="L421">
        <f t="shared" si="25"/>
        <v>202011</v>
      </c>
      <c r="M421">
        <f t="shared" si="26"/>
        <v>11</v>
      </c>
      <c r="N421">
        <f t="shared" si="27"/>
        <v>2020</v>
      </c>
      <c r="O421" t="str">
        <f>VLOOKUP(M421,month_lookup!A:B,2,FALSE)</f>
        <v>Nov</v>
      </c>
      <c r="P421">
        <f t="shared" si="28"/>
        <v>102255.86</v>
      </c>
    </row>
    <row r="422" spans="1:16" x14ac:dyDescent="0.25">
      <c r="A422" t="s">
        <v>16</v>
      </c>
      <c r="B422" s="1">
        <v>107271.94</v>
      </c>
      <c r="C422">
        <v>86665</v>
      </c>
      <c r="D422" s="2">
        <v>44066</v>
      </c>
      <c r="E422" t="s">
        <v>17</v>
      </c>
      <c r="F422" t="s">
        <v>34</v>
      </c>
      <c r="G422" t="s">
        <v>19</v>
      </c>
      <c r="H422" t="s">
        <v>20</v>
      </c>
      <c r="I422" t="s">
        <v>27</v>
      </c>
      <c r="J422" t="s">
        <v>573</v>
      </c>
      <c r="L422">
        <f t="shared" si="25"/>
        <v>202008</v>
      </c>
      <c r="M422">
        <f t="shared" si="26"/>
        <v>8</v>
      </c>
      <c r="N422">
        <f t="shared" si="27"/>
        <v>2020</v>
      </c>
      <c r="O422" t="str">
        <f>VLOOKUP(M422,month_lookup!A:B,2,FALSE)</f>
        <v>Aug</v>
      </c>
      <c r="P422">
        <f t="shared" si="28"/>
        <v>107271.94</v>
      </c>
    </row>
    <row r="423" spans="1:16" x14ac:dyDescent="0.25">
      <c r="A423" t="s">
        <v>407</v>
      </c>
      <c r="B423" s="1">
        <v>51090.76</v>
      </c>
      <c r="C423">
        <v>40739.769999999997</v>
      </c>
      <c r="D423" s="2">
        <v>43902</v>
      </c>
      <c r="E423" t="s">
        <v>79</v>
      </c>
      <c r="F423" t="s">
        <v>173</v>
      </c>
      <c r="G423" t="s">
        <v>408</v>
      </c>
      <c r="H423" t="s">
        <v>409</v>
      </c>
      <c r="I423" t="s">
        <v>27</v>
      </c>
      <c r="J423" t="s">
        <v>574</v>
      </c>
      <c r="L423">
        <f t="shared" si="25"/>
        <v>202003</v>
      </c>
      <c r="M423">
        <f t="shared" si="26"/>
        <v>3</v>
      </c>
      <c r="N423">
        <f t="shared" si="27"/>
        <v>2020</v>
      </c>
      <c r="O423" t="str">
        <f>VLOOKUP(M423,month_lookup!A:B,2,FALSE)</f>
        <v>Mar</v>
      </c>
      <c r="P423">
        <f t="shared" si="28"/>
        <v>51090.76</v>
      </c>
    </row>
    <row r="424" spans="1:16" x14ac:dyDescent="0.25">
      <c r="A424" t="s">
        <v>9</v>
      </c>
      <c r="B424" s="1">
        <v>102299.92</v>
      </c>
      <c r="C424">
        <v>81706.95</v>
      </c>
      <c r="D424" s="2">
        <v>43699</v>
      </c>
      <c r="E424" t="s">
        <v>29</v>
      </c>
      <c r="F424" t="s">
        <v>70</v>
      </c>
      <c r="G424" t="s">
        <v>12</v>
      </c>
      <c r="H424" t="s">
        <v>81</v>
      </c>
      <c r="I424" t="s">
        <v>27</v>
      </c>
      <c r="J424" t="s">
        <v>575</v>
      </c>
      <c r="L424">
        <f t="shared" si="25"/>
        <v>201908</v>
      </c>
      <c r="M424">
        <f t="shared" si="26"/>
        <v>8</v>
      </c>
      <c r="N424">
        <f t="shared" si="27"/>
        <v>2019</v>
      </c>
      <c r="O424" t="str">
        <f>VLOOKUP(M424,month_lookup!A:B,2,FALSE)</f>
        <v>Aug</v>
      </c>
      <c r="P424">
        <f t="shared" si="28"/>
        <v>-102299.92</v>
      </c>
    </row>
    <row r="425" spans="1:16" x14ac:dyDescent="0.25">
      <c r="A425" t="s">
        <v>52</v>
      </c>
      <c r="B425" s="1">
        <v>144204.85999999999</v>
      </c>
      <c r="C425">
        <v>115262.94</v>
      </c>
      <c r="D425" s="2">
        <v>44143</v>
      </c>
      <c r="E425" t="s">
        <v>10</v>
      </c>
      <c r="F425" t="s">
        <v>223</v>
      </c>
      <c r="G425" t="s">
        <v>54</v>
      </c>
      <c r="H425" t="s">
        <v>71</v>
      </c>
      <c r="I425" t="s">
        <v>27</v>
      </c>
      <c r="J425" t="s">
        <v>576</v>
      </c>
      <c r="L425">
        <f t="shared" si="25"/>
        <v>202011</v>
      </c>
      <c r="M425">
        <f t="shared" si="26"/>
        <v>11</v>
      </c>
      <c r="N425">
        <f t="shared" si="27"/>
        <v>2020</v>
      </c>
      <c r="O425" t="str">
        <f>VLOOKUP(M425,month_lookup!A:B,2,FALSE)</f>
        <v>Nov</v>
      </c>
      <c r="P425">
        <f t="shared" si="28"/>
        <v>144204.85999999999</v>
      </c>
    </row>
    <row r="426" spans="1:16" x14ac:dyDescent="0.25">
      <c r="A426" t="s">
        <v>52</v>
      </c>
      <c r="B426" s="1">
        <v>36183.97</v>
      </c>
      <c r="C426">
        <v>30579.07</v>
      </c>
      <c r="D426" s="2">
        <v>44052</v>
      </c>
      <c r="E426" t="s">
        <v>10</v>
      </c>
      <c r="F426" t="s">
        <v>179</v>
      </c>
      <c r="G426" t="s">
        <v>54</v>
      </c>
      <c r="H426" t="s">
        <v>143</v>
      </c>
      <c r="I426" t="s">
        <v>14</v>
      </c>
      <c r="J426" t="s">
        <v>577</v>
      </c>
      <c r="L426">
        <f t="shared" si="25"/>
        <v>202008</v>
      </c>
      <c r="M426">
        <f t="shared" si="26"/>
        <v>8</v>
      </c>
      <c r="N426">
        <f t="shared" si="27"/>
        <v>2020</v>
      </c>
      <c r="O426" t="str">
        <f>VLOOKUP(M426,month_lookup!A:B,2,FALSE)</f>
        <v>Aug</v>
      </c>
      <c r="P426">
        <f t="shared" si="28"/>
        <v>36183.97</v>
      </c>
    </row>
    <row r="427" spans="1:16" x14ac:dyDescent="0.25">
      <c r="A427" t="s">
        <v>44</v>
      </c>
      <c r="B427" s="1">
        <v>47771.76</v>
      </c>
      <c r="C427">
        <v>39234.949999999997</v>
      </c>
      <c r="D427" s="2">
        <v>43614</v>
      </c>
      <c r="E427" t="s">
        <v>29</v>
      </c>
      <c r="F427" t="s">
        <v>120</v>
      </c>
      <c r="G427" t="s">
        <v>47</v>
      </c>
      <c r="H427" t="s">
        <v>65</v>
      </c>
      <c r="I427" t="s">
        <v>27</v>
      </c>
      <c r="J427" t="s">
        <v>578</v>
      </c>
      <c r="L427">
        <f t="shared" si="25"/>
        <v>201905</v>
      </c>
      <c r="M427">
        <f t="shared" si="26"/>
        <v>5</v>
      </c>
      <c r="N427">
        <f t="shared" si="27"/>
        <v>2019</v>
      </c>
      <c r="O427" t="str">
        <f>VLOOKUP(M427,month_lookup!A:B,2,FALSE)</f>
        <v>May</v>
      </c>
      <c r="P427">
        <f t="shared" si="28"/>
        <v>-47771.76</v>
      </c>
    </row>
    <row r="428" spans="1:16" x14ac:dyDescent="0.25">
      <c r="A428" t="s">
        <v>33</v>
      </c>
      <c r="B428" s="1">
        <v>44038.31</v>
      </c>
      <c r="C428">
        <v>36252.339999999997</v>
      </c>
      <c r="D428" s="2">
        <v>43854</v>
      </c>
      <c r="E428" t="s">
        <v>79</v>
      </c>
      <c r="F428" t="s">
        <v>253</v>
      </c>
      <c r="G428" t="s">
        <v>35</v>
      </c>
      <c r="H428" t="s">
        <v>424</v>
      </c>
      <c r="I428" t="s">
        <v>27</v>
      </c>
      <c r="J428" t="s">
        <v>579</v>
      </c>
      <c r="L428">
        <f t="shared" si="25"/>
        <v>202001</v>
      </c>
      <c r="M428">
        <f t="shared" si="26"/>
        <v>1</v>
      </c>
      <c r="N428">
        <f t="shared" si="27"/>
        <v>2020</v>
      </c>
      <c r="O428" t="str">
        <f>VLOOKUP(M428,month_lookup!A:B,2,FALSE)</f>
        <v>Jan</v>
      </c>
      <c r="P428">
        <f t="shared" si="28"/>
        <v>44038.31</v>
      </c>
    </row>
    <row r="429" spans="1:16" x14ac:dyDescent="0.25">
      <c r="A429" t="s">
        <v>9</v>
      </c>
      <c r="B429" s="1">
        <v>116469.33</v>
      </c>
      <c r="C429">
        <v>95190.38</v>
      </c>
      <c r="D429" s="2">
        <v>43861</v>
      </c>
      <c r="E429" t="s">
        <v>61</v>
      </c>
      <c r="F429" t="s">
        <v>46</v>
      </c>
      <c r="G429" t="s">
        <v>12</v>
      </c>
      <c r="H429" t="s">
        <v>117</v>
      </c>
      <c r="I429" t="s">
        <v>27</v>
      </c>
      <c r="J429" t="s">
        <v>580</v>
      </c>
      <c r="L429">
        <f t="shared" si="25"/>
        <v>202001</v>
      </c>
      <c r="M429">
        <f t="shared" si="26"/>
        <v>1</v>
      </c>
      <c r="N429">
        <f t="shared" si="27"/>
        <v>2020</v>
      </c>
      <c r="O429" t="str">
        <f>VLOOKUP(M429,month_lookup!A:B,2,FALSE)</f>
        <v>Jan</v>
      </c>
      <c r="P429">
        <f t="shared" si="28"/>
        <v>116469.33</v>
      </c>
    </row>
    <row r="430" spans="1:16" x14ac:dyDescent="0.25">
      <c r="A430" t="s">
        <v>44</v>
      </c>
      <c r="B430" s="1">
        <v>227856.66</v>
      </c>
      <c r="C430">
        <v>199010.01</v>
      </c>
      <c r="D430" s="2">
        <v>44032</v>
      </c>
      <c r="E430" t="s">
        <v>79</v>
      </c>
      <c r="F430" t="s">
        <v>115</v>
      </c>
      <c r="G430" t="s">
        <v>47</v>
      </c>
      <c r="H430" t="s">
        <v>73</v>
      </c>
      <c r="I430" t="s">
        <v>27</v>
      </c>
      <c r="J430" t="s">
        <v>581</v>
      </c>
      <c r="L430">
        <f t="shared" si="25"/>
        <v>202007</v>
      </c>
      <c r="M430">
        <f t="shared" si="26"/>
        <v>7</v>
      </c>
      <c r="N430">
        <f t="shared" si="27"/>
        <v>2020</v>
      </c>
      <c r="O430" t="str">
        <f>VLOOKUP(M430,month_lookup!A:B,2,FALSE)</f>
        <v>Jul</v>
      </c>
      <c r="P430">
        <f t="shared" si="28"/>
        <v>227856.66</v>
      </c>
    </row>
    <row r="431" spans="1:16" x14ac:dyDescent="0.25">
      <c r="A431" t="s">
        <v>9</v>
      </c>
      <c r="B431" s="1">
        <v>67161.990000000005</v>
      </c>
      <c r="C431">
        <v>55764.6</v>
      </c>
      <c r="D431" s="2">
        <v>43728</v>
      </c>
      <c r="E431" t="s">
        <v>79</v>
      </c>
      <c r="F431" t="s">
        <v>202</v>
      </c>
      <c r="G431" t="s">
        <v>12</v>
      </c>
      <c r="H431" t="s">
        <v>169</v>
      </c>
      <c r="I431" t="s">
        <v>27</v>
      </c>
      <c r="J431" t="s">
        <v>582</v>
      </c>
      <c r="L431">
        <f t="shared" si="25"/>
        <v>201909</v>
      </c>
      <c r="M431">
        <f t="shared" si="26"/>
        <v>9</v>
      </c>
      <c r="N431">
        <f t="shared" si="27"/>
        <v>2019</v>
      </c>
      <c r="O431" t="str">
        <f>VLOOKUP(M431,month_lookup!A:B,2,FALSE)</f>
        <v>Sep</v>
      </c>
      <c r="P431">
        <f t="shared" si="28"/>
        <v>-67161.990000000005</v>
      </c>
    </row>
    <row r="432" spans="1:16" x14ac:dyDescent="0.25">
      <c r="A432" t="s">
        <v>172</v>
      </c>
      <c r="B432" s="1">
        <v>168178.03</v>
      </c>
      <c r="C432">
        <v>142665.42000000001</v>
      </c>
      <c r="D432" s="2">
        <v>43950</v>
      </c>
      <c r="E432" t="s">
        <v>23</v>
      </c>
      <c r="F432" t="s">
        <v>154</v>
      </c>
      <c r="G432" t="s">
        <v>174</v>
      </c>
      <c r="H432" t="s">
        <v>175</v>
      </c>
      <c r="I432" t="s">
        <v>27</v>
      </c>
      <c r="J432" t="s">
        <v>583</v>
      </c>
      <c r="L432">
        <f t="shared" si="25"/>
        <v>202004</v>
      </c>
      <c r="M432">
        <f t="shared" si="26"/>
        <v>4</v>
      </c>
      <c r="N432">
        <f t="shared" si="27"/>
        <v>2020</v>
      </c>
      <c r="O432" t="str">
        <f>VLOOKUP(M432,month_lookup!A:B,2,FALSE)</f>
        <v>Apr</v>
      </c>
      <c r="P432">
        <f t="shared" si="28"/>
        <v>168178.03</v>
      </c>
    </row>
    <row r="433" spans="1:16" x14ac:dyDescent="0.25">
      <c r="A433" t="s">
        <v>9</v>
      </c>
      <c r="B433" s="1">
        <v>42611.78</v>
      </c>
      <c r="C433">
        <v>35755.54</v>
      </c>
      <c r="D433" s="2">
        <v>43902</v>
      </c>
      <c r="E433" t="s">
        <v>23</v>
      </c>
      <c r="F433" t="s">
        <v>154</v>
      </c>
      <c r="G433" t="s">
        <v>12</v>
      </c>
      <c r="H433" t="s">
        <v>169</v>
      </c>
      <c r="I433" t="s">
        <v>14</v>
      </c>
      <c r="J433" t="s">
        <v>584</v>
      </c>
      <c r="L433">
        <f t="shared" si="25"/>
        <v>202003</v>
      </c>
      <c r="M433">
        <f t="shared" si="26"/>
        <v>3</v>
      </c>
      <c r="N433">
        <f t="shared" si="27"/>
        <v>2020</v>
      </c>
      <c r="O433" t="str">
        <f>VLOOKUP(M433,month_lookup!A:B,2,FALSE)</f>
        <v>Mar</v>
      </c>
      <c r="P433">
        <f t="shared" si="28"/>
        <v>42611.78</v>
      </c>
    </row>
    <row r="434" spans="1:16" x14ac:dyDescent="0.25">
      <c r="A434" t="s">
        <v>9</v>
      </c>
      <c r="B434" s="1">
        <v>166507.76</v>
      </c>
      <c r="C434">
        <v>143896.01</v>
      </c>
      <c r="D434" s="2">
        <v>44070</v>
      </c>
      <c r="E434" t="s">
        <v>45</v>
      </c>
      <c r="F434" t="s">
        <v>122</v>
      </c>
      <c r="G434" t="s">
        <v>12</v>
      </c>
      <c r="H434" t="s">
        <v>13</v>
      </c>
      <c r="I434" t="s">
        <v>27</v>
      </c>
      <c r="J434" t="s">
        <v>585</v>
      </c>
      <c r="L434">
        <f t="shared" si="25"/>
        <v>202008</v>
      </c>
      <c r="M434">
        <f t="shared" si="26"/>
        <v>8</v>
      </c>
      <c r="N434">
        <f t="shared" si="27"/>
        <v>2020</v>
      </c>
      <c r="O434" t="str">
        <f>VLOOKUP(M434,month_lookup!A:B,2,FALSE)</f>
        <v>Aug</v>
      </c>
      <c r="P434">
        <f t="shared" si="28"/>
        <v>166507.76</v>
      </c>
    </row>
    <row r="435" spans="1:16" x14ac:dyDescent="0.25">
      <c r="A435" t="s">
        <v>33</v>
      </c>
      <c r="B435" s="1">
        <v>131409.9</v>
      </c>
      <c r="C435">
        <v>115325.33</v>
      </c>
      <c r="D435" s="2">
        <v>44150</v>
      </c>
      <c r="E435" t="s">
        <v>79</v>
      </c>
      <c r="F435" t="s">
        <v>223</v>
      </c>
      <c r="G435" t="s">
        <v>35</v>
      </c>
      <c r="H435" t="s">
        <v>36</v>
      </c>
      <c r="I435" t="s">
        <v>27</v>
      </c>
      <c r="J435" t="s">
        <v>586</v>
      </c>
      <c r="L435">
        <f t="shared" si="25"/>
        <v>202011</v>
      </c>
      <c r="M435">
        <f t="shared" si="26"/>
        <v>11</v>
      </c>
      <c r="N435">
        <f t="shared" si="27"/>
        <v>2020</v>
      </c>
      <c r="O435" t="str">
        <f>VLOOKUP(M435,month_lookup!A:B,2,FALSE)</f>
        <v>Nov</v>
      </c>
      <c r="P435">
        <f t="shared" si="28"/>
        <v>131409.9</v>
      </c>
    </row>
    <row r="436" spans="1:16" x14ac:dyDescent="0.25">
      <c r="A436" t="s">
        <v>22</v>
      </c>
      <c r="B436" s="1">
        <v>133072</v>
      </c>
      <c r="C436">
        <v>108600.06</v>
      </c>
      <c r="D436" s="2">
        <v>44132</v>
      </c>
      <c r="E436" t="s">
        <v>61</v>
      </c>
      <c r="F436" t="s">
        <v>184</v>
      </c>
      <c r="G436" t="s">
        <v>25</v>
      </c>
      <c r="H436" t="s">
        <v>75</v>
      </c>
      <c r="I436" t="s">
        <v>27</v>
      </c>
      <c r="J436" t="s">
        <v>587</v>
      </c>
      <c r="L436">
        <f t="shared" si="25"/>
        <v>202010</v>
      </c>
      <c r="M436">
        <f t="shared" si="26"/>
        <v>10</v>
      </c>
      <c r="N436">
        <f t="shared" si="27"/>
        <v>2020</v>
      </c>
      <c r="O436" t="str">
        <f>VLOOKUP(M436,month_lookup!A:B,2,FALSE)</f>
        <v>Oct</v>
      </c>
      <c r="P436">
        <f t="shared" si="28"/>
        <v>133072</v>
      </c>
    </row>
    <row r="437" spans="1:16" x14ac:dyDescent="0.25">
      <c r="A437" t="s">
        <v>16</v>
      </c>
      <c r="B437" s="1">
        <v>180250.02</v>
      </c>
      <c r="C437">
        <v>147354.39000000001</v>
      </c>
      <c r="D437" s="2">
        <v>43619</v>
      </c>
      <c r="E437" t="s">
        <v>79</v>
      </c>
      <c r="F437" t="s">
        <v>433</v>
      </c>
      <c r="G437" t="s">
        <v>19</v>
      </c>
      <c r="H437" t="s">
        <v>352</v>
      </c>
      <c r="I437" t="s">
        <v>27</v>
      </c>
      <c r="J437" t="s">
        <v>588</v>
      </c>
      <c r="L437">
        <f t="shared" si="25"/>
        <v>201906</v>
      </c>
      <c r="M437">
        <f t="shared" si="26"/>
        <v>6</v>
      </c>
      <c r="N437">
        <f t="shared" si="27"/>
        <v>2019</v>
      </c>
      <c r="O437" t="str">
        <f>VLOOKUP(M437,month_lookup!A:B,2,FALSE)</f>
        <v>Jun</v>
      </c>
      <c r="P437">
        <f t="shared" si="28"/>
        <v>-180250.02</v>
      </c>
    </row>
    <row r="438" spans="1:16" x14ac:dyDescent="0.25">
      <c r="A438" t="s">
        <v>22</v>
      </c>
      <c r="B438" s="1">
        <v>48090.78</v>
      </c>
      <c r="C438">
        <v>42040.959999999999</v>
      </c>
      <c r="D438" s="2">
        <v>43909</v>
      </c>
      <c r="E438" t="s">
        <v>10</v>
      </c>
      <c r="F438" t="s">
        <v>233</v>
      </c>
      <c r="G438" t="s">
        <v>25</v>
      </c>
      <c r="H438" t="s">
        <v>75</v>
      </c>
      <c r="I438" t="s">
        <v>27</v>
      </c>
      <c r="J438" t="s">
        <v>589</v>
      </c>
      <c r="L438">
        <f t="shared" si="25"/>
        <v>202003</v>
      </c>
      <c r="M438">
        <f t="shared" si="26"/>
        <v>3</v>
      </c>
      <c r="N438">
        <f t="shared" si="27"/>
        <v>2020</v>
      </c>
      <c r="O438" t="str">
        <f>VLOOKUP(M438,month_lookup!A:B,2,FALSE)</f>
        <v>Mar</v>
      </c>
      <c r="P438">
        <f t="shared" si="28"/>
        <v>48090.78</v>
      </c>
    </row>
    <row r="439" spans="1:16" x14ac:dyDescent="0.25">
      <c r="A439" t="s">
        <v>9</v>
      </c>
      <c r="B439" s="1">
        <v>168530.22</v>
      </c>
      <c r="C439">
        <v>136981.35999999999</v>
      </c>
      <c r="D439" s="2">
        <v>43967</v>
      </c>
      <c r="E439" t="s">
        <v>50</v>
      </c>
      <c r="F439" t="s">
        <v>187</v>
      </c>
      <c r="G439" t="s">
        <v>12</v>
      </c>
      <c r="H439" t="s">
        <v>169</v>
      </c>
      <c r="I439" t="s">
        <v>27</v>
      </c>
      <c r="J439" t="s">
        <v>590</v>
      </c>
      <c r="L439">
        <f t="shared" si="25"/>
        <v>202005</v>
      </c>
      <c r="M439">
        <f t="shared" si="26"/>
        <v>5</v>
      </c>
      <c r="N439">
        <f t="shared" si="27"/>
        <v>2020</v>
      </c>
      <c r="O439" t="str">
        <f>VLOOKUP(M439,month_lookup!A:B,2,FALSE)</f>
        <v>May</v>
      </c>
      <c r="P439">
        <f t="shared" si="28"/>
        <v>168530.22</v>
      </c>
    </row>
    <row r="440" spans="1:16" x14ac:dyDescent="0.25">
      <c r="A440" t="s">
        <v>9</v>
      </c>
      <c r="B440" s="1">
        <v>36785.279999999999</v>
      </c>
      <c r="C440">
        <v>30546.5</v>
      </c>
      <c r="D440" s="2">
        <v>43708</v>
      </c>
      <c r="E440" t="s">
        <v>50</v>
      </c>
      <c r="F440" t="s">
        <v>34</v>
      </c>
      <c r="G440" t="s">
        <v>12</v>
      </c>
      <c r="H440" t="s">
        <v>68</v>
      </c>
      <c r="I440" t="s">
        <v>27</v>
      </c>
      <c r="J440" t="s">
        <v>591</v>
      </c>
      <c r="L440">
        <f t="shared" si="25"/>
        <v>201908</v>
      </c>
      <c r="M440">
        <f t="shared" si="26"/>
        <v>8</v>
      </c>
      <c r="N440">
        <f t="shared" si="27"/>
        <v>2019</v>
      </c>
      <c r="O440" t="str">
        <f>VLOOKUP(M440,month_lookup!A:B,2,FALSE)</f>
        <v>Aug</v>
      </c>
      <c r="P440">
        <f t="shared" si="28"/>
        <v>-36785.279999999999</v>
      </c>
    </row>
    <row r="441" spans="1:16" x14ac:dyDescent="0.25">
      <c r="A441" t="s">
        <v>172</v>
      </c>
      <c r="B441" s="1">
        <v>126409.18</v>
      </c>
      <c r="C441">
        <v>104692.08</v>
      </c>
      <c r="D441" s="2">
        <v>44108</v>
      </c>
      <c r="E441" t="s">
        <v>59</v>
      </c>
      <c r="F441" t="s">
        <v>120</v>
      </c>
      <c r="G441" t="s">
        <v>174</v>
      </c>
      <c r="H441" t="s">
        <v>175</v>
      </c>
      <c r="I441" t="s">
        <v>27</v>
      </c>
      <c r="J441" t="s">
        <v>592</v>
      </c>
      <c r="L441">
        <f t="shared" si="25"/>
        <v>202010</v>
      </c>
      <c r="M441">
        <f t="shared" si="26"/>
        <v>10</v>
      </c>
      <c r="N441">
        <f t="shared" si="27"/>
        <v>2020</v>
      </c>
      <c r="O441" t="str">
        <f>VLOOKUP(M441,month_lookup!A:B,2,FALSE)</f>
        <v>Oct</v>
      </c>
      <c r="P441">
        <f t="shared" si="28"/>
        <v>126409.18</v>
      </c>
    </row>
    <row r="442" spans="1:16" x14ac:dyDescent="0.25">
      <c r="A442" t="s">
        <v>22</v>
      </c>
      <c r="B442" s="1">
        <v>49990.720000000001</v>
      </c>
      <c r="C442">
        <v>42927.03</v>
      </c>
      <c r="D442" s="2">
        <v>43834</v>
      </c>
      <c r="E442" t="s">
        <v>79</v>
      </c>
      <c r="F442" t="s">
        <v>70</v>
      </c>
      <c r="G442" t="s">
        <v>25</v>
      </c>
      <c r="H442" t="s">
        <v>26</v>
      </c>
      <c r="I442" t="s">
        <v>27</v>
      </c>
      <c r="J442" t="s">
        <v>593</v>
      </c>
      <c r="L442">
        <f t="shared" si="25"/>
        <v>202001</v>
      </c>
      <c r="M442">
        <f t="shared" si="26"/>
        <v>1</v>
      </c>
      <c r="N442">
        <f t="shared" si="27"/>
        <v>2020</v>
      </c>
      <c r="O442" t="str">
        <f>VLOOKUP(M442,month_lookup!A:B,2,FALSE)</f>
        <v>Jan</v>
      </c>
      <c r="P442">
        <f t="shared" si="28"/>
        <v>49990.720000000001</v>
      </c>
    </row>
    <row r="443" spans="1:16" x14ac:dyDescent="0.25">
      <c r="A443" t="s">
        <v>9</v>
      </c>
      <c r="B443" s="1">
        <v>36644.050000000003</v>
      </c>
      <c r="C443">
        <v>30491.51</v>
      </c>
      <c r="D443" s="2">
        <v>44155</v>
      </c>
      <c r="E443" t="s">
        <v>23</v>
      </c>
      <c r="F443" t="s">
        <v>24</v>
      </c>
      <c r="G443" t="s">
        <v>12</v>
      </c>
      <c r="H443" t="s">
        <v>117</v>
      </c>
      <c r="I443" t="s">
        <v>27</v>
      </c>
      <c r="J443" t="s">
        <v>594</v>
      </c>
      <c r="L443">
        <f t="shared" si="25"/>
        <v>202011</v>
      </c>
      <c r="M443">
        <f t="shared" si="26"/>
        <v>11</v>
      </c>
      <c r="N443">
        <f t="shared" si="27"/>
        <v>2020</v>
      </c>
      <c r="O443" t="str">
        <f>VLOOKUP(M443,month_lookup!A:B,2,FALSE)</f>
        <v>Nov</v>
      </c>
      <c r="P443">
        <f t="shared" si="28"/>
        <v>36644.050000000003</v>
      </c>
    </row>
    <row r="444" spans="1:16" x14ac:dyDescent="0.25">
      <c r="A444" t="s">
        <v>9</v>
      </c>
      <c r="B444" s="1">
        <v>115226.8</v>
      </c>
      <c r="C444">
        <v>94336.18</v>
      </c>
      <c r="D444" s="2">
        <v>43600</v>
      </c>
      <c r="E444" t="s">
        <v>29</v>
      </c>
      <c r="F444" t="s">
        <v>63</v>
      </c>
      <c r="G444" t="s">
        <v>12</v>
      </c>
      <c r="H444" t="s">
        <v>169</v>
      </c>
      <c r="I444" t="s">
        <v>27</v>
      </c>
      <c r="J444" t="s">
        <v>595</v>
      </c>
      <c r="L444">
        <f t="shared" si="25"/>
        <v>201905</v>
      </c>
      <c r="M444">
        <f t="shared" si="26"/>
        <v>5</v>
      </c>
      <c r="N444">
        <f t="shared" si="27"/>
        <v>2019</v>
      </c>
      <c r="O444" t="str">
        <f>VLOOKUP(M444,month_lookup!A:B,2,FALSE)</f>
        <v>May</v>
      </c>
      <c r="P444">
        <f t="shared" si="28"/>
        <v>-115226.8</v>
      </c>
    </row>
    <row r="445" spans="1:16" x14ac:dyDescent="0.25">
      <c r="A445" t="s">
        <v>16</v>
      </c>
      <c r="B445" s="1">
        <v>154078.75</v>
      </c>
      <c r="C445">
        <v>131336.73000000001</v>
      </c>
      <c r="D445" s="2">
        <v>44079</v>
      </c>
      <c r="E445" t="s">
        <v>10</v>
      </c>
      <c r="F445" t="s">
        <v>264</v>
      </c>
      <c r="G445" t="s">
        <v>19</v>
      </c>
      <c r="H445" t="s">
        <v>20</v>
      </c>
      <c r="I445" t="s">
        <v>27</v>
      </c>
      <c r="J445" t="s">
        <v>596</v>
      </c>
      <c r="L445">
        <f t="shared" si="25"/>
        <v>202009</v>
      </c>
      <c r="M445">
        <f t="shared" si="26"/>
        <v>9</v>
      </c>
      <c r="N445">
        <f t="shared" si="27"/>
        <v>2020</v>
      </c>
      <c r="O445" t="str">
        <f>VLOOKUP(M445,month_lookup!A:B,2,FALSE)</f>
        <v>Sep</v>
      </c>
      <c r="P445">
        <f t="shared" si="28"/>
        <v>154078.75</v>
      </c>
    </row>
    <row r="446" spans="1:16" x14ac:dyDescent="0.25">
      <c r="A446" t="s">
        <v>100</v>
      </c>
      <c r="B446" s="1">
        <v>80328.160000000003</v>
      </c>
      <c r="C446">
        <v>65836.960000000006</v>
      </c>
      <c r="D446" s="2">
        <v>44097</v>
      </c>
      <c r="E446" t="s">
        <v>17</v>
      </c>
      <c r="F446" t="s">
        <v>46</v>
      </c>
      <c r="G446" t="s">
        <v>102</v>
      </c>
      <c r="H446" t="s">
        <v>161</v>
      </c>
      <c r="I446" t="s">
        <v>27</v>
      </c>
      <c r="J446" t="s">
        <v>597</v>
      </c>
      <c r="L446">
        <f t="shared" si="25"/>
        <v>202009</v>
      </c>
      <c r="M446">
        <f t="shared" si="26"/>
        <v>9</v>
      </c>
      <c r="N446">
        <f t="shared" si="27"/>
        <v>2020</v>
      </c>
      <c r="O446" t="str">
        <f>VLOOKUP(M446,month_lookup!A:B,2,FALSE)</f>
        <v>Sep</v>
      </c>
      <c r="P446">
        <f t="shared" si="28"/>
        <v>80328.160000000003</v>
      </c>
    </row>
    <row r="447" spans="1:16" x14ac:dyDescent="0.25">
      <c r="A447" t="s">
        <v>22</v>
      </c>
      <c r="B447" s="1">
        <v>99832.12</v>
      </c>
      <c r="C447">
        <v>84128.53</v>
      </c>
      <c r="D447" s="2">
        <v>43600</v>
      </c>
      <c r="E447" t="s">
        <v>50</v>
      </c>
      <c r="F447" t="s">
        <v>301</v>
      </c>
      <c r="G447" t="s">
        <v>25</v>
      </c>
      <c r="H447" t="s">
        <v>31</v>
      </c>
      <c r="I447" t="s">
        <v>27</v>
      </c>
      <c r="J447" t="s">
        <v>598</v>
      </c>
      <c r="L447">
        <f t="shared" si="25"/>
        <v>201905</v>
      </c>
      <c r="M447">
        <f t="shared" si="26"/>
        <v>5</v>
      </c>
      <c r="N447">
        <f t="shared" si="27"/>
        <v>2019</v>
      </c>
      <c r="O447" t="str">
        <f>VLOOKUP(M447,month_lookup!A:B,2,FALSE)</f>
        <v>May</v>
      </c>
      <c r="P447">
        <f t="shared" si="28"/>
        <v>-99832.12</v>
      </c>
    </row>
    <row r="448" spans="1:16" x14ac:dyDescent="0.25">
      <c r="A448" t="s">
        <v>16</v>
      </c>
      <c r="B448" s="1">
        <v>133057.07</v>
      </c>
      <c r="C448">
        <v>113351.32</v>
      </c>
      <c r="D448" s="2">
        <v>43954</v>
      </c>
      <c r="E448" t="s">
        <v>138</v>
      </c>
      <c r="F448" t="s">
        <v>88</v>
      </c>
      <c r="G448" t="s">
        <v>19</v>
      </c>
      <c r="H448" t="s">
        <v>20</v>
      </c>
      <c r="I448" t="s">
        <v>27</v>
      </c>
      <c r="J448" t="s">
        <v>599</v>
      </c>
      <c r="L448">
        <f t="shared" si="25"/>
        <v>202005</v>
      </c>
      <c r="M448">
        <f t="shared" si="26"/>
        <v>5</v>
      </c>
      <c r="N448">
        <f t="shared" si="27"/>
        <v>2020</v>
      </c>
      <c r="O448" t="str">
        <f>VLOOKUP(M448,month_lookup!A:B,2,FALSE)</f>
        <v>May</v>
      </c>
      <c r="P448">
        <f t="shared" si="28"/>
        <v>133057.07</v>
      </c>
    </row>
    <row r="449" spans="1:16" x14ac:dyDescent="0.25">
      <c r="A449" t="s">
        <v>172</v>
      </c>
      <c r="B449" s="1">
        <v>80719.44</v>
      </c>
      <c r="C449">
        <v>64422.19</v>
      </c>
      <c r="D449" s="2">
        <v>43505</v>
      </c>
      <c r="E449" t="s">
        <v>50</v>
      </c>
      <c r="F449" t="s">
        <v>34</v>
      </c>
      <c r="G449" t="s">
        <v>174</v>
      </c>
      <c r="H449" t="s">
        <v>175</v>
      </c>
      <c r="I449" t="s">
        <v>27</v>
      </c>
      <c r="J449" t="s">
        <v>600</v>
      </c>
      <c r="L449">
        <f t="shared" si="25"/>
        <v>201902</v>
      </c>
      <c r="M449">
        <f t="shared" si="26"/>
        <v>2</v>
      </c>
      <c r="N449">
        <f t="shared" si="27"/>
        <v>2019</v>
      </c>
      <c r="O449" t="str">
        <f>VLOOKUP(M449,month_lookup!A:B,2,FALSE)</f>
        <v>Feb</v>
      </c>
      <c r="P449">
        <f t="shared" si="28"/>
        <v>-80719.44</v>
      </c>
    </row>
    <row r="450" spans="1:16" x14ac:dyDescent="0.25">
      <c r="A450" t="s">
        <v>52</v>
      </c>
      <c r="B450" s="1">
        <v>124534.96</v>
      </c>
      <c r="C450">
        <v>107012.89</v>
      </c>
      <c r="D450" s="2">
        <v>44030</v>
      </c>
      <c r="E450" t="s">
        <v>10</v>
      </c>
      <c r="F450" t="s">
        <v>209</v>
      </c>
      <c r="G450" t="s">
        <v>54</v>
      </c>
      <c r="H450" t="s">
        <v>55</v>
      </c>
      <c r="I450" t="s">
        <v>27</v>
      </c>
      <c r="J450" t="s">
        <v>601</v>
      </c>
      <c r="L450">
        <f t="shared" si="25"/>
        <v>202007</v>
      </c>
      <c r="M450">
        <f t="shared" si="26"/>
        <v>7</v>
      </c>
      <c r="N450">
        <f t="shared" si="27"/>
        <v>2020</v>
      </c>
      <c r="O450" t="str">
        <f>VLOOKUP(M450,month_lookup!A:B,2,FALSE)</f>
        <v>Jul</v>
      </c>
      <c r="P450">
        <f t="shared" si="28"/>
        <v>124534.96</v>
      </c>
    </row>
    <row r="451" spans="1:16" x14ac:dyDescent="0.25">
      <c r="A451" t="s">
        <v>9</v>
      </c>
      <c r="B451" s="1">
        <v>67611.539999999994</v>
      </c>
      <c r="C451">
        <v>56191.95</v>
      </c>
      <c r="D451" s="2">
        <v>43768</v>
      </c>
      <c r="E451" t="s">
        <v>23</v>
      </c>
      <c r="F451" t="s">
        <v>233</v>
      </c>
      <c r="G451" t="s">
        <v>12</v>
      </c>
      <c r="H451" t="s">
        <v>117</v>
      </c>
      <c r="I451" t="s">
        <v>27</v>
      </c>
      <c r="J451" t="s">
        <v>602</v>
      </c>
      <c r="L451">
        <f t="shared" ref="L451:L514" si="29">YEAR(D451)*100+MONTH(D451)</f>
        <v>201910</v>
      </c>
      <c r="M451">
        <f t="shared" ref="M451:M514" si="30">MONTH(D451)</f>
        <v>10</v>
      </c>
      <c r="N451">
        <f t="shared" ref="N451:N514" si="31">YEAR(D451)</f>
        <v>2019</v>
      </c>
      <c r="O451" t="str">
        <f>VLOOKUP(M451,month_lookup!A:B,2,FALSE)</f>
        <v>Oct</v>
      </c>
      <c r="P451">
        <f t="shared" si="28"/>
        <v>-67611.539999999994</v>
      </c>
    </row>
    <row r="452" spans="1:16" x14ac:dyDescent="0.25">
      <c r="A452" t="s">
        <v>52</v>
      </c>
      <c r="B452" s="1">
        <v>132760.25</v>
      </c>
      <c r="C452">
        <v>105039.91</v>
      </c>
      <c r="D452" s="2">
        <v>43837</v>
      </c>
      <c r="E452" t="s">
        <v>29</v>
      </c>
      <c r="F452" t="s">
        <v>57</v>
      </c>
      <c r="G452" t="s">
        <v>54</v>
      </c>
      <c r="H452" t="s">
        <v>127</v>
      </c>
      <c r="I452" t="s">
        <v>27</v>
      </c>
      <c r="J452" t="s">
        <v>603</v>
      </c>
      <c r="L452">
        <f t="shared" si="29"/>
        <v>202001</v>
      </c>
      <c r="M452">
        <f t="shared" si="30"/>
        <v>1</v>
      </c>
      <c r="N452">
        <f t="shared" si="31"/>
        <v>2020</v>
      </c>
      <c r="O452" t="str">
        <f>VLOOKUP(M452,month_lookup!A:B,2,FALSE)</f>
        <v>Jan</v>
      </c>
      <c r="P452">
        <f t="shared" si="28"/>
        <v>132760.25</v>
      </c>
    </row>
    <row r="453" spans="1:16" x14ac:dyDescent="0.25">
      <c r="A453" t="s">
        <v>52</v>
      </c>
      <c r="B453" s="1">
        <v>177802.7</v>
      </c>
      <c r="C453">
        <v>155079.51</v>
      </c>
      <c r="D453" s="2">
        <v>43664</v>
      </c>
      <c r="E453" t="s">
        <v>138</v>
      </c>
      <c r="F453" t="s">
        <v>24</v>
      </c>
      <c r="G453" t="s">
        <v>54</v>
      </c>
      <c r="H453" t="s">
        <v>71</v>
      </c>
      <c r="I453" t="s">
        <v>27</v>
      </c>
      <c r="J453" t="s">
        <v>604</v>
      </c>
      <c r="L453">
        <f t="shared" si="29"/>
        <v>201907</v>
      </c>
      <c r="M453">
        <f t="shared" si="30"/>
        <v>7</v>
      </c>
      <c r="N453">
        <f t="shared" si="31"/>
        <v>2019</v>
      </c>
      <c r="O453" t="str">
        <f>VLOOKUP(M453,month_lookup!A:B,2,FALSE)</f>
        <v>Jul</v>
      </c>
      <c r="P453">
        <f t="shared" si="28"/>
        <v>-177802.7</v>
      </c>
    </row>
    <row r="454" spans="1:16" x14ac:dyDescent="0.25">
      <c r="A454" t="s">
        <v>100</v>
      </c>
      <c r="B454" s="1">
        <v>98963.03</v>
      </c>
      <c r="C454">
        <v>80367.88</v>
      </c>
      <c r="D454" s="2">
        <v>44116</v>
      </c>
      <c r="E454" t="s">
        <v>45</v>
      </c>
      <c r="F454" t="s">
        <v>605</v>
      </c>
      <c r="G454" t="s">
        <v>102</v>
      </c>
      <c r="H454" t="s">
        <v>161</v>
      </c>
      <c r="I454" t="s">
        <v>27</v>
      </c>
      <c r="J454" t="s">
        <v>606</v>
      </c>
      <c r="L454">
        <f t="shared" si="29"/>
        <v>202010</v>
      </c>
      <c r="M454">
        <f t="shared" si="30"/>
        <v>10</v>
      </c>
      <c r="N454">
        <f t="shared" si="31"/>
        <v>2020</v>
      </c>
      <c r="O454" t="str">
        <f>VLOOKUP(M454,month_lookup!A:B,2,FALSE)</f>
        <v>Oct</v>
      </c>
      <c r="P454">
        <f t="shared" si="28"/>
        <v>98963.03</v>
      </c>
    </row>
    <row r="455" spans="1:16" x14ac:dyDescent="0.25">
      <c r="A455" t="s">
        <v>100</v>
      </c>
      <c r="B455" s="1">
        <v>126582.5</v>
      </c>
      <c r="C455">
        <v>103683.73</v>
      </c>
      <c r="D455" s="2">
        <v>43878</v>
      </c>
      <c r="E455" t="s">
        <v>29</v>
      </c>
      <c r="F455" t="s">
        <v>70</v>
      </c>
      <c r="G455" t="s">
        <v>102</v>
      </c>
      <c r="H455" t="s">
        <v>161</v>
      </c>
      <c r="I455" t="s">
        <v>27</v>
      </c>
      <c r="J455" t="s">
        <v>607</v>
      </c>
      <c r="L455">
        <f t="shared" si="29"/>
        <v>202002</v>
      </c>
      <c r="M455">
        <f t="shared" si="30"/>
        <v>2</v>
      </c>
      <c r="N455">
        <f t="shared" si="31"/>
        <v>2020</v>
      </c>
      <c r="O455" t="str">
        <f>VLOOKUP(M455,month_lookup!A:B,2,FALSE)</f>
        <v>Feb</v>
      </c>
      <c r="P455">
        <f t="shared" ref="P455:P518" si="32">IF(N455=2020,B455,-B455)</f>
        <v>126582.5</v>
      </c>
    </row>
    <row r="456" spans="1:16" x14ac:dyDescent="0.25">
      <c r="A456" t="s">
        <v>22</v>
      </c>
      <c r="B456" s="1">
        <v>141965.10999999999</v>
      </c>
      <c r="C456">
        <v>119193.91</v>
      </c>
      <c r="D456" s="2">
        <v>43726</v>
      </c>
      <c r="E456" t="s">
        <v>29</v>
      </c>
      <c r="F456" t="s">
        <v>367</v>
      </c>
      <c r="G456" t="s">
        <v>25</v>
      </c>
      <c r="H456" t="s">
        <v>89</v>
      </c>
      <c r="I456" t="s">
        <v>27</v>
      </c>
      <c r="J456" t="s">
        <v>608</v>
      </c>
      <c r="L456">
        <f t="shared" si="29"/>
        <v>201909</v>
      </c>
      <c r="M456">
        <f t="shared" si="30"/>
        <v>9</v>
      </c>
      <c r="N456">
        <f t="shared" si="31"/>
        <v>2019</v>
      </c>
      <c r="O456" t="str">
        <f>VLOOKUP(M456,month_lookup!A:B,2,FALSE)</f>
        <v>Sep</v>
      </c>
      <c r="P456">
        <f t="shared" si="32"/>
        <v>-141965.10999999999</v>
      </c>
    </row>
    <row r="457" spans="1:16" x14ac:dyDescent="0.25">
      <c r="A457" t="s">
        <v>172</v>
      </c>
      <c r="B457" s="1">
        <v>167301.51999999999</v>
      </c>
      <c r="C457">
        <v>147074.76999999999</v>
      </c>
      <c r="D457" s="2">
        <v>43591</v>
      </c>
      <c r="E457" t="s">
        <v>61</v>
      </c>
      <c r="F457" t="s">
        <v>157</v>
      </c>
      <c r="G457" t="s">
        <v>174</v>
      </c>
      <c r="H457" t="s">
        <v>175</v>
      </c>
      <c r="I457" t="s">
        <v>27</v>
      </c>
      <c r="J457" t="s">
        <v>609</v>
      </c>
      <c r="L457">
        <f t="shared" si="29"/>
        <v>201905</v>
      </c>
      <c r="M457">
        <f t="shared" si="30"/>
        <v>5</v>
      </c>
      <c r="N457">
        <f t="shared" si="31"/>
        <v>2019</v>
      </c>
      <c r="O457" t="str">
        <f>VLOOKUP(M457,month_lookup!A:B,2,FALSE)</f>
        <v>May</v>
      </c>
      <c r="P457">
        <f t="shared" si="32"/>
        <v>-167301.51999999999</v>
      </c>
    </row>
    <row r="458" spans="1:16" x14ac:dyDescent="0.25">
      <c r="A458" t="s">
        <v>52</v>
      </c>
      <c r="B458" s="1">
        <v>133985.91</v>
      </c>
      <c r="C458">
        <v>116741.92</v>
      </c>
      <c r="D458" s="2">
        <v>43480</v>
      </c>
      <c r="E458" t="s">
        <v>23</v>
      </c>
      <c r="F458" t="s">
        <v>233</v>
      </c>
      <c r="G458" t="s">
        <v>54</v>
      </c>
      <c r="H458" t="s">
        <v>71</v>
      </c>
      <c r="I458" t="s">
        <v>27</v>
      </c>
      <c r="J458" t="s">
        <v>610</v>
      </c>
      <c r="L458">
        <f t="shared" si="29"/>
        <v>201901</v>
      </c>
      <c r="M458">
        <f t="shared" si="30"/>
        <v>1</v>
      </c>
      <c r="N458">
        <f t="shared" si="31"/>
        <v>2019</v>
      </c>
      <c r="O458" t="str">
        <f>VLOOKUP(M458,month_lookup!A:B,2,FALSE)</f>
        <v>Jan</v>
      </c>
      <c r="P458">
        <f t="shared" si="32"/>
        <v>-133985.91</v>
      </c>
    </row>
    <row r="459" spans="1:16" x14ac:dyDescent="0.25">
      <c r="A459" t="s">
        <v>52</v>
      </c>
      <c r="B459" s="1">
        <v>91540.03</v>
      </c>
      <c r="C459">
        <v>74916.36</v>
      </c>
      <c r="D459" s="2">
        <v>43717</v>
      </c>
      <c r="E459" t="s">
        <v>23</v>
      </c>
      <c r="F459" t="s">
        <v>233</v>
      </c>
      <c r="G459" t="s">
        <v>54</v>
      </c>
      <c r="H459" t="s">
        <v>132</v>
      </c>
      <c r="I459" t="s">
        <v>27</v>
      </c>
      <c r="J459" t="s">
        <v>611</v>
      </c>
      <c r="L459">
        <f t="shared" si="29"/>
        <v>201909</v>
      </c>
      <c r="M459">
        <f t="shared" si="30"/>
        <v>9</v>
      </c>
      <c r="N459">
        <f t="shared" si="31"/>
        <v>2019</v>
      </c>
      <c r="O459" t="str">
        <f>VLOOKUP(M459,month_lookup!A:B,2,FALSE)</f>
        <v>Sep</v>
      </c>
      <c r="P459">
        <f t="shared" si="32"/>
        <v>-91540.03</v>
      </c>
    </row>
    <row r="460" spans="1:16" x14ac:dyDescent="0.25">
      <c r="A460" t="s">
        <v>44</v>
      </c>
      <c r="B460" s="1">
        <v>146055.04999999999</v>
      </c>
      <c r="C460">
        <v>117822.61</v>
      </c>
      <c r="D460" s="2">
        <v>43745</v>
      </c>
      <c r="E460" t="s">
        <v>23</v>
      </c>
      <c r="F460" t="s">
        <v>433</v>
      </c>
      <c r="G460" t="s">
        <v>47</v>
      </c>
      <c r="H460" t="s">
        <v>48</v>
      </c>
      <c r="I460" t="s">
        <v>37</v>
      </c>
      <c r="J460" t="s">
        <v>612</v>
      </c>
      <c r="L460">
        <f t="shared" si="29"/>
        <v>201910</v>
      </c>
      <c r="M460">
        <f t="shared" si="30"/>
        <v>10</v>
      </c>
      <c r="N460">
        <f t="shared" si="31"/>
        <v>2019</v>
      </c>
      <c r="O460" t="str">
        <f>VLOOKUP(M460,month_lookup!A:B,2,FALSE)</f>
        <v>Oct</v>
      </c>
      <c r="P460">
        <f t="shared" si="32"/>
        <v>-146055.04999999999</v>
      </c>
    </row>
    <row r="461" spans="1:16" x14ac:dyDescent="0.25">
      <c r="A461" t="s">
        <v>9</v>
      </c>
      <c r="B461" s="1">
        <v>113586.11</v>
      </c>
      <c r="C461">
        <v>91641.27</v>
      </c>
      <c r="D461" s="2">
        <v>43515</v>
      </c>
      <c r="E461" t="s">
        <v>61</v>
      </c>
      <c r="F461" t="s">
        <v>122</v>
      </c>
      <c r="G461" t="s">
        <v>12</v>
      </c>
      <c r="H461" t="s">
        <v>169</v>
      </c>
      <c r="I461" t="s">
        <v>14</v>
      </c>
      <c r="J461" t="s">
        <v>613</v>
      </c>
      <c r="L461">
        <f t="shared" si="29"/>
        <v>201902</v>
      </c>
      <c r="M461">
        <f t="shared" si="30"/>
        <v>2</v>
      </c>
      <c r="N461">
        <f t="shared" si="31"/>
        <v>2019</v>
      </c>
      <c r="O461" t="str">
        <f>VLOOKUP(M461,month_lookup!A:B,2,FALSE)</f>
        <v>Feb</v>
      </c>
      <c r="P461">
        <f t="shared" si="32"/>
        <v>-113586.11</v>
      </c>
    </row>
    <row r="462" spans="1:16" x14ac:dyDescent="0.25">
      <c r="A462" t="s">
        <v>172</v>
      </c>
      <c r="B462" s="1">
        <v>135662.46</v>
      </c>
      <c r="C462">
        <v>116764.68</v>
      </c>
      <c r="D462" s="2">
        <v>43953</v>
      </c>
      <c r="E462" t="s">
        <v>29</v>
      </c>
      <c r="F462" t="s">
        <v>253</v>
      </c>
      <c r="G462" t="s">
        <v>174</v>
      </c>
      <c r="H462" t="s">
        <v>211</v>
      </c>
      <c r="I462" t="s">
        <v>27</v>
      </c>
      <c r="J462" t="s">
        <v>614</v>
      </c>
      <c r="L462">
        <f t="shared" si="29"/>
        <v>202005</v>
      </c>
      <c r="M462">
        <f t="shared" si="30"/>
        <v>5</v>
      </c>
      <c r="N462">
        <f t="shared" si="31"/>
        <v>2020</v>
      </c>
      <c r="O462" t="str">
        <f>VLOOKUP(M462,month_lookup!A:B,2,FALSE)</f>
        <v>May</v>
      </c>
      <c r="P462">
        <f t="shared" si="32"/>
        <v>135662.46</v>
      </c>
    </row>
    <row r="463" spans="1:16" x14ac:dyDescent="0.25">
      <c r="A463" t="s">
        <v>22</v>
      </c>
      <c r="B463" s="1">
        <v>113781.45</v>
      </c>
      <c r="C463">
        <v>91104.81</v>
      </c>
      <c r="D463" s="2">
        <v>43746</v>
      </c>
      <c r="E463" t="s">
        <v>10</v>
      </c>
      <c r="F463" t="s">
        <v>179</v>
      </c>
      <c r="G463" t="s">
        <v>25</v>
      </c>
      <c r="H463" t="s">
        <v>31</v>
      </c>
      <c r="I463" t="s">
        <v>27</v>
      </c>
      <c r="J463" t="s">
        <v>615</v>
      </c>
      <c r="L463">
        <f t="shared" si="29"/>
        <v>201910</v>
      </c>
      <c r="M463">
        <f t="shared" si="30"/>
        <v>10</v>
      </c>
      <c r="N463">
        <f t="shared" si="31"/>
        <v>2019</v>
      </c>
      <c r="O463" t="str">
        <f>VLOOKUP(M463,month_lookup!A:B,2,FALSE)</f>
        <v>Oct</v>
      </c>
      <c r="P463">
        <f t="shared" si="32"/>
        <v>-113781.45</v>
      </c>
    </row>
    <row r="464" spans="1:16" x14ac:dyDescent="0.25">
      <c r="A464" t="s">
        <v>52</v>
      </c>
      <c r="B464" s="1">
        <v>111462.88</v>
      </c>
      <c r="C464">
        <v>94130.4</v>
      </c>
      <c r="D464" s="2">
        <v>44077</v>
      </c>
      <c r="E464" t="s">
        <v>61</v>
      </c>
      <c r="F464" t="s">
        <v>88</v>
      </c>
      <c r="G464" t="s">
        <v>54</v>
      </c>
      <c r="H464" t="s">
        <v>143</v>
      </c>
      <c r="I464" t="s">
        <v>37</v>
      </c>
      <c r="J464" t="s">
        <v>616</v>
      </c>
      <c r="L464">
        <f t="shared" si="29"/>
        <v>202009</v>
      </c>
      <c r="M464">
        <f t="shared" si="30"/>
        <v>9</v>
      </c>
      <c r="N464">
        <f t="shared" si="31"/>
        <v>2020</v>
      </c>
      <c r="O464" t="str">
        <f>VLOOKUP(M464,month_lookup!A:B,2,FALSE)</f>
        <v>Sep</v>
      </c>
      <c r="P464">
        <f t="shared" si="32"/>
        <v>111462.88</v>
      </c>
    </row>
    <row r="465" spans="1:16" x14ac:dyDescent="0.25">
      <c r="A465" t="s">
        <v>44</v>
      </c>
      <c r="B465" s="1">
        <v>34748.75</v>
      </c>
      <c r="C465">
        <v>27475.84</v>
      </c>
      <c r="D465" s="2">
        <v>44101</v>
      </c>
      <c r="E465" t="s">
        <v>59</v>
      </c>
      <c r="F465" t="s">
        <v>125</v>
      </c>
      <c r="G465" t="s">
        <v>47</v>
      </c>
      <c r="H465" t="s">
        <v>65</v>
      </c>
      <c r="I465" t="s">
        <v>37</v>
      </c>
      <c r="J465" t="s">
        <v>617</v>
      </c>
      <c r="L465">
        <f t="shared" si="29"/>
        <v>202009</v>
      </c>
      <c r="M465">
        <f t="shared" si="30"/>
        <v>9</v>
      </c>
      <c r="N465">
        <f t="shared" si="31"/>
        <v>2020</v>
      </c>
      <c r="O465" t="str">
        <f>VLOOKUP(M465,month_lookup!A:B,2,FALSE)</f>
        <v>Sep</v>
      </c>
      <c r="P465">
        <f t="shared" si="32"/>
        <v>34748.75</v>
      </c>
    </row>
    <row r="466" spans="1:16" x14ac:dyDescent="0.25">
      <c r="A466" t="s">
        <v>44</v>
      </c>
      <c r="B466" s="1">
        <v>137306.45000000001</v>
      </c>
      <c r="C466">
        <v>108732.98</v>
      </c>
      <c r="D466" s="2">
        <v>44078</v>
      </c>
      <c r="E466" t="s">
        <v>10</v>
      </c>
      <c r="F466" t="s">
        <v>53</v>
      </c>
      <c r="G466" t="s">
        <v>47</v>
      </c>
      <c r="H466" t="s">
        <v>48</v>
      </c>
      <c r="I466" t="s">
        <v>27</v>
      </c>
      <c r="J466" t="s">
        <v>618</v>
      </c>
      <c r="L466">
        <f t="shared" si="29"/>
        <v>202009</v>
      </c>
      <c r="M466">
        <f t="shared" si="30"/>
        <v>9</v>
      </c>
      <c r="N466">
        <f t="shared" si="31"/>
        <v>2020</v>
      </c>
      <c r="O466" t="str">
        <f>VLOOKUP(M466,month_lookup!A:B,2,FALSE)</f>
        <v>Sep</v>
      </c>
      <c r="P466">
        <f t="shared" si="32"/>
        <v>137306.45000000001</v>
      </c>
    </row>
    <row r="467" spans="1:16" x14ac:dyDescent="0.25">
      <c r="A467" t="s">
        <v>22</v>
      </c>
      <c r="B467" s="1">
        <v>148212.23000000001</v>
      </c>
      <c r="C467">
        <v>123030.97</v>
      </c>
      <c r="D467" s="2">
        <v>43718</v>
      </c>
      <c r="E467" t="s">
        <v>23</v>
      </c>
      <c r="F467" t="s">
        <v>253</v>
      </c>
      <c r="G467" t="s">
        <v>25</v>
      </c>
      <c r="H467" t="s">
        <v>218</v>
      </c>
      <c r="I467" t="s">
        <v>27</v>
      </c>
      <c r="J467" t="s">
        <v>619</v>
      </c>
      <c r="L467">
        <f t="shared" si="29"/>
        <v>201909</v>
      </c>
      <c r="M467">
        <f t="shared" si="30"/>
        <v>9</v>
      </c>
      <c r="N467">
        <f t="shared" si="31"/>
        <v>2019</v>
      </c>
      <c r="O467" t="str">
        <f>VLOOKUP(M467,month_lookup!A:B,2,FALSE)</f>
        <v>Sep</v>
      </c>
      <c r="P467">
        <f t="shared" si="32"/>
        <v>-148212.23000000001</v>
      </c>
    </row>
    <row r="468" spans="1:16" x14ac:dyDescent="0.25">
      <c r="A468" t="s">
        <v>22</v>
      </c>
      <c r="B468" s="1">
        <v>159057.92000000001</v>
      </c>
      <c r="C468">
        <v>139923.25</v>
      </c>
      <c r="D468" s="2">
        <v>44128</v>
      </c>
      <c r="E468" t="s">
        <v>59</v>
      </c>
      <c r="F468" t="s">
        <v>34</v>
      </c>
      <c r="G468" t="s">
        <v>25</v>
      </c>
      <c r="H468" t="s">
        <v>218</v>
      </c>
      <c r="I468" t="s">
        <v>27</v>
      </c>
      <c r="J468" t="s">
        <v>620</v>
      </c>
      <c r="L468">
        <f t="shared" si="29"/>
        <v>202010</v>
      </c>
      <c r="M468">
        <f t="shared" si="30"/>
        <v>10</v>
      </c>
      <c r="N468">
        <f t="shared" si="31"/>
        <v>2020</v>
      </c>
      <c r="O468" t="str">
        <f>VLOOKUP(M468,month_lookup!A:B,2,FALSE)</f>
        <v>Oct</v>
      </c>
      <c r="P468">
        <f t="shared" si="32"/>
        <v>159057.92000000001</v>
      </c>
    </row>
    <row r="469" spans="1:16" x14ac:dyDescent="0.25">
      <c r="A469" t="s">
        <v>9</v>
      </c>
      <c r="B469" s="1">
        <v>146226.35999999999</v>
      </c>
      <c r="C469">
        <v>117916.94</v>
      </c>
      <c r="D469" s="2">
        <v>44122</v>
      </c>
      <c r="E469" t="s">
        <v>59</v>
      </c>
      <c r="F469" t="s">
        <v>39</v>
      </c>
      <c r="G469" t="s">
        <v>12</v>
      </c>
      <c r="H469" t="s">
        <v>81</v>
      </c>
      <c r="I469" t="s">
        <v>27</v>
      </c>
      <c r="J469" t="s">
        <v>621</v>
      </c>
      <c r="L469">
        <f t="shared" si="29"/>
        <v>202010</v>
      </c>
      <c r="M469">
        <f t="shared" si="30"/>
        <v>10</v>
      </c>
      <c r="N469">
        <f t="shared" si="31"/>
        <v>2020</v>
      </c>
      <c r="O469" t="str">
        <f>VLOOKUP(M469,month_lookup!A:B,2,FALSE)</f>
        <v>Oct</v>
      </c>
      <c r="P469">
        <f t="shared" si="32"/>
        <v>146226.35999999999</v>
      </c>
    </row>
    <row r="470" spans="1:16" x14ac:dyDescent="0.25">
      <c r="A470" t="s">
        <v>22</v>
      </c>
      <c r="B470" s="1">
        <v>201537.12</v>
      </c>
      <c r="C470">
        <v>166127.04999999999</v>
      </c>
      <c r="D470" s="2">
        <v>43992</v>
      </c>
      <c r="E470" t="s">
        <v>61</v>
      </c>
      <c r="F470" t="s">
        <v>394</v>
      </c>
      <c r="G470" t="s">
        <v>25</v>
      </c>
      <c r="H470" t="s">
        <v>218</v>
      </c>
      <c r="I470" t="s">
        <v>27</v>
      </c>
      <c r="J470" t="s">
        <v>622</v>
      </c>
      <c r="L470">
        <f t="shared" si="29"/>
        <v>202006</v>
      </c>
      <c r="M470">
        <f t="shared" si="30"/>
        <v>6</v>
      </c>
      <c r="N470">
        <f t="shared" si="31"/>
        <v>2020</v>
      </c>
      <c r="O470" t="str">
        <f>VLOOKUP(M470,month_lookup!A:B,2,FALSE)</f>
        <v>Jun</v>
      </c>
      <c r="P470">
        <f t="shared" si="32"/>
        <v>201537.12</v>
      </c>
    </row>
    <row r="471" spans="1:16" x14ac:dyDescent="0.25">
      <c r="A471" t="s">
        <v>22</v>
      </c>
      <c r="B471" s="1">
        <v>242192.19</v>
      </c>
      <c r="C471">
        <v>213104.91</v>
      </c>
      <c r="D471" s="2">
        <v>43648</v>
      </c>
      <c r="E471" t="s">
        <v>45</v>
      </c>
      <c r="F471" t="s">
        <v>236</v>
      </c>
      <c r="G471" t="s">
        <v>25</v>
      </c>
      <c r="H471" t="s">
        <v>26</v>
      </c>
      <c r="I471" t="s">
        <v>27</v>
      </c>
      <c r="J471" t="s">
        <v>623</v>
      </c>
      <c r="L471">
        <f t="shared" si="29"/>
        <v>201907</v>
      </c>
      <c r="M471">
        <f t="shared" si="30"/>
        <v>7</v>
      </c>
      <c r="N471">
        <f t="shared" si="31"/>
        <v>2019</v>
      </c>
      <c r="O471" t="str">
        <f>VLOOKUP(M471,month_lookup!A:B,2,FALSE)</f>
        <v>Jul</v>
      </c>
      <c r="P471">
        <f t="shared" si="32"/>
        <v>-242192.19</v>
      </c>
    </row>
    <row r="472" spans="1:16" x14ac:dyDescent="0.25">
      <c r="A472" t="s">
        <v>105</v>
      </c>
      <c r="B472" s="1">
        <v>172397.66</v>
      </c>
      <c r="C472">
        <v>139986.9</v>
      </c>
      <c r="D472" s="2">
        <v>43492</v>
      </c>
      <c r="E472" t="s">
        <v>23</v>
      </c>
      <c r="F472" t="s">
        <v>34</v>
      </c>
      <c r="G472" t="s">
        <v>106</v>
      </c>
      <c r="H472" t="s">
        <v>107</v>
      </c>
      <c r="I472" t="s">
        <v>27</v>
      </c>
      <c r="J472" t="s">
        <v>624</v>
      </c>
      <c r="L472">
        <f t="shared" si="29"/>
        <v>201901</v>
      </c>
      <c r="M472">
        <f t="shared" si="30"/>
        <v>1</v>
      </c>
      <c r="N472">
        <f t="shared" si="31"/>
        <v>2019</v>
      </c>
      <c r="O472" t="str">
        <f>VLOOKUP(M472,month_lookup!A:B,2,FALSE)</f>
        <v>Jan</v>
      </c>
      <c r="P472">
        <f t="shared" si="32"/>
        <v>-172397.66</v>
      </c>
    </row>
    <row r="473" spans="1:16" x14ac:dyDescent="0.25">
      <c r="A473" t="s">
        <v>95</v>
      </c>
      <c r="B473" s="1">
        <v>152370.57</v>
      </c>
      <c r="C473">
        <v>128478.86</v>
      </c>
      <c r="D473" s="2">
        <v>43789</v>
      </c>
      <c r="E473" t="s">
        <v>17</v>
      </c>
      <c r="F473" t="s">
        <v>57</v>
      </c>
      <c r="G473" t="s">
        <v>97</v>
      </c>
      <c r="H473" t="s">
        <v>98</v>
      </c>
      <c r="I473" t="s">
        <v>27</v>
      </c>
      <c r="J473" t="s">
        <v>625</v>
      </c>
      <c r="L473">
        <f t="shared" si="29"/>
        <v>201911</v>
      </c>
      <c r="M473">
        <f t="shared" si="30"/>
        <v>11</v>
      </c>
      <c r="N473">
        <f t="shared" si="31"/>
        <v>2019</v>
      </c>
      <c r="O473" t="str">
        <f>VLOOKUP(M473,month_lookup!A:B,2,FALSE)</f>
        <v>Nov</v>
      </c>
      <c r="P473">
        <f t="shared" si="32"/>
        <v>-152370.57</v>
      </c>
    </row>
    <row r="474" spans="1:16" x14ac:dyDescent="0.25">
      <c r="A474" t="s">
        <v>22</v>
      </c>
      <c r="B474" s="1">
        <v>137419.29999999999</v>
      </c>
      <c r="C474">
        <v>117658.4</v>
      </c>
      <c r="D474" s="2">
        <v>43966</v>
      </c>
      <c r="E474" t="s">
        <v>17</v>
      </c>
      <c r="F474" t="s">
        <v>230</v>
      </c>
      <c r="G474" t="s">
        <v>25</v>
      </c>
      <c r="H474" t="s">
        <v>26</v>
      </c>
      <c r="I474" t="s">
        <v>14</v>
      </c>
      <c r="J474" t="s">
        <v>626</v>
      </c>
      <c r="L474">
        <f t="shared" si="29"/>
        <v>202005</v>
      </c>
      <c r="M474">
        <f t="shared" si="30"/>
        <v>5</v>
      </c>
      <c r="N474">
        <f t="shared" si="31"/>
        <v>2020</v>
      </c>
      <c r="O474" t="str">
        <f>VLOOKUP(M474,month_lookup!A:B,2,FALSE)</f>
        <v>May</v>
      </c>
      <c r="P474">
        <f t="shared" si="32"/>
        <v>137419.29999999999</v>
      </c>
    </row>
    <row r="475" spans="1:16" x14ac:dyDescent="0.25">
      <c r="A475" t="s">
        <v>52</v>
      </c>
      <c r="B475" s="1">
        <v>67594.100000000006</v>
      </c>
      <c r="C475">
        <v>54920.21</v>
      </c>
      <c r="D475" s="2">
        <v>43734</v>
      </c>
      <c r="E475" t="s">
        <v>138</v>
      </c>
      <c r="F475" t="s">
        <v>70</v>
      </c>
      <c r="G475" t="s">
        <v>54</v>
      </c>
      <c r="H475" t="s">
        <v>71</v>
      </c>
      <c r="I475" t="s">
        <v>27</v>
      </c>
      <c r="J475" t="s">
        <v>627</v>
      </c>
      <c r="L475">
        <f t="shared" si="29"/>
        <v>201909</v>
      </c>
      <c r="M475">
        <f t="shared" si="30"/>
        <v>9</v>
      </c>
      <c r="N475">
        <f t="shared" si="31"/>
        <v>2019</v>
      </c>
      <c r="O475" t="str">
        <f>VLOOKUP(M475,month_lookup!A:B,2,FALSE)</f>
        <v>Sep</v>
      </c>
      <c r="P475">
        <f t="shared" si="32"/>
        <v>-67594.100000000006</v>
      </c>
    </row>
    <row r="476" spans="1:16" x14ac:dyDescent="0.25">
      <c r="A476" t="s">
        <v>105</v>
      </c>
      <c r="B476" s="1">
        <v>72002.259999999995</v>
      </c>
      <c r="C476">
        <v>56996.99</v>
      </c>
      <c r="D476" s="2">
        <v>43482</v>
      </c>
      <c r="E476" t="s">
        <v>50</v>
      </c>
      <c r="F476" t="s">
        <v>181</v>
      </c>
      <c r="G476" t="s">
        <v>106</v>
      </c>
      <c r="H476" t="s">
        <v>107</v>
      </c>
      <c r="I476" t="s">
        <v>27</v>
      </c>
      <c r="J476" t="s">
        <v>628</v>
      </c>
      <c r="L476">
        <f t="shared" si="29"/>
        <v>201901</v>
      </c>
      <c r="M476">
        <f t="shared" si="30"/>
        <v>1</v>
      </c>
      <c r="N476">
        <f t="shared" si="31"/>
        <v>2019</v>
      </c>
      <c r="O476" t="str">
        <f>VLOOKUP(M476,month_lookup!A:B,2,FALSE)</f>
        <v>Jan</v>
      </c>
      <c r="P476">
        <f t="shared" si="32"/>
        <v>-72002.259999999995</v>
      </c>
    </row>
    <row r="477" spans="1:16" x14ac:dyDescent="0.25">
      <c r="A477" t="s">
        <v>52</v>
      </c>
      <c r="B477" s="1">
        <v>159926.16</v>
      </c>
      <c r="C477">
        <v>126453.61</v>
      </c>
      <c r="D477" s="2">
        <v>44086</v>
      </c>
      <c r="E477" t="s">
        <v>29</v>
      </c>
      <c r="F477" t="s">
        <v>181</v>
      </c>
      <c r="G477" t="s">
        <v>54</v>
      </c>
      <c r="H477" t="s">
        <v>132</v>
      </c>
      <c r="I477" t="s">
        <v>14</v>
      </c>
      <c r="J477" t="s">
        <v>629</v>
      </c>
      <c r="L477">
        <f t="shared" si="29"/>
        <v>202009</v>
      </c>
      <c r="M477">
        <f t="shared" si="30"/>
        <v>9</v>
      </c>
      <c r="N477">
        <f t="shared" si="31"/>
        <v>2020</v>
      </c>
      <c r="O477" t="str">
        <f>VLOOKUP(M477,month_lookup!A:B,2,FALSE)</f>
        <v>Sep</v>
      </c>
      <c r="P477">
        <f t="shared" si="32"/>
        <v>159926.16</v>
      </c>
    </row>
    <row r="478" spans="1:16" x14ac:dyDescent="0.25">
      <c r="A478" t="s">
        <v>52</v>
      </c>
      <c r="B478" s="1">
        <v>65193.88</v>
      </c>
      <c r="C478">
        <v>53113.45</v>
      </c>
      <c r="D478" s="2">
        <v>43742</v>
      </c>
      <c r="E478" t="s">
        <v>29</v>
      </c>
      <c r="F478" t="s">
        <v>367</v>
      </c>
      <c r="G478" t="s">
        <v>54</v>
      </c>
      <c r="H478" t="s">
        <v>55</v>
      </c>
      <c r="I478" t="s">
        <v>27</v>
      </c>
      <c r="J478" t="s">
        <v>630</v>
      </c>
      <c r="L478">
        <f t="shared" si="29"/>
        <v>201910</v>
      </c>
      <c r="M478">
        <f t="shared" si="30"/>
        <v>10</v>
      </c>
      <c r="N478">
        <f t="shared" si="31"/>
        <v>2019</v>
      </c>
      <c r="O478" t="str">
        <f>VLOOKUP(M478,month_lookup!A:B,2,FALSE)</f>
        <v>Oct</v>
      </c>
      <c r="P478">
        <f t="shared" si="32"/>
        <v>-65193.88</v>
      </c>
    </row>
    <row r="479" spans="1:16" x14ac:dyDescent="0.25">
      <c r="A479" t="s">
        <v>22</v>
      </c>
      <c r="B479" s="1">
        <v>105374.44</v>
      </c>
      <c r="C479">
        <v>89779.02</v>
      </c>
      <c r="D479" s="2">
        <v>43879</v>
      </c>
      <c r="E479" t="s">
        <v>79</v>
      </c>
      <c r="F479" t="s">
        <v>326</v>
      </c>
      <c r="G479" t="s">
        <v>25</v>
      </c>
      <c r="H479" t="s">
        <v>218</v>
      </c>
      <c r="I479" t="s">
        <v>27</v>
      </c>
      <c r="J479" t="s">
        <v>631</v>
      </c>
      <c r="L479">
        <f t="shared" si="29"/>
        <v>202002</v>
      </c>
      <c r="M479">
        <f t="shared" si="30"/>
        <v>2</v>
      </c>
      <c r="N479">
        <f t="shared" si="31"/>
        <v>2020</v>
      </c>
      <c r="O479" t="str">
        <f>VLOOKUP(M479,month_lookup!A:B,2,FALSE)</f>
        <v>Feb</v>
      </c>
      <c r="P479">
        <f t="shared" si="32"/>
        <v>105374.44</v>
      </c>
    </row>
    <row r="480" spans="1:16" x14ac:dyDescent="0.25">
      <c r="A480" t="s">
        <v>44</v>
      </c>
      <c r="B480" s="1">
        <v>83097.399999999994</v>
      </c>
      <c r="C480">
        <v>68148.179999999993</v>
      </c>
      <c r="D480" s="2">
        <v>43546</v>
      </c>
      <c r="E480" t="s">
        <v>23</v>
      </c>
      <c r="F480" t="s">
        <v>253</v>
      </c>
      <c r="G480" t="s">
        <v>47</v>
      </c>
      <c r="H480" t="s">
        <v>73</v>
      </c>
      <c r="I480" t="s">
        <v>37</v>
      </c>
      <c r="J480" t="s">
        <v>632</v>
      </c>
      <c r="L480">
        <f t="shared" si="29"/>
        <v>201903</v>
      </c>
      <c r="M480">
        <f t="shared" si="30"/>
        <v>3</v>
      </c>
      <c r="N480">
        <f t="shared" si="31"/>
        <v>2019</v>
      </c>
      <c r="O480" t="str">
        <f>VLOOKUP(M480,month_lookup!A:B,2,FALSE)</f>
        <v>Mar</v>
      </c>
      <c r="P480">
        <f t="shared" si="32"/>
        <v>-83097.399999999994</v>
      </c>
    </row>
    <row r="481" spans="1:16" x14ac:dyDescent="0.25">
      <c r="A481" t="s">
        <v>9</v>
      </c>
      <c r="B481" s="1">
        <v>139682.07</v>
      </c>
      <c r="C481">
        <v>113212.32</v>
      </c>
      <c r="D481" s="2">
        <v>43848</v>
      </c>
      <c r="E481" t="s">
        <v>17</v>
      </c>
      <c r="F481" t="s">
        <v>290</v>
      </c>
      <c r="G481" t="s">
        <v>12</v>
      </c>
      <c r="H481" t="s">
        <v>68</v>
      </c>
      <c r="I481" t="s">
        <v>27</v>
      </c>
      <c r="J481" t="s">
        <v>633</v>
      </c>
      <c r="L481">
        <f t="shared" si="29"/>
        <v>202001</v>
      </c>
      <c r="M481">
        <f t="shared" si="30"/>
        <v>1</v>
      </c>
      <c r="N481">
        <f t="shared" si="31"/>
        <v>2020</v>
      </c>
      <c r="O481" t="str">
        <f>VLOOKUP(M481,month_lookup!A:B,2,FALSE)</f>
        <v>Jan</v>
      </c>
      <c r="P481">
        <f t="shared" si="32"/>
        <v>139682.07</v>
      </c>
    </row>
    <row r="482" spans="1:16" x14ac:dyDescent="0.25">
      <c r="A482" t="s">
        <v>52</v>
      </c>
      <c r="B482" s="1">
        <v>81095.39</v>
      </c>
      <c r="C482">
        <v>64316.75</v>
      </c>
      <c r="D482" s="2">
        <v>44082</v>
      </c>
      <c r="E482" t="s">
        <v>17</v>
      </c>
      <c r="F482" t="s">
        <v>101</v>
      </c>
      <c r="G482" t="s">
        <v>54</v>
      </c>
      <c r="H482" t="s">
        <v>143</v>
      </c>
      <c r="I482" t="s">
        <v>27</v>
      </c>
      <c r="J482" t="s">
        <v>634</v>
      </c>
      <c r="L482">
        <f t="shared" si="29"/>
        <v>202009</v>
      </c>
      <c r="M482">
        <f t="shared" si="30"/>
        <v>9</v>
      </c>
      <c r="N482">
        <f t="shared" si="31"/>
        <v>2020</v>
      </c>
      <c r="O482" t="str">
        <f>VLOOKUP(M482,month_lookup!A:B,2,FALSE)</f>
        <v>Sep</v>
      </c>
      <c r="P482">
        <f t="shared" si="32"/>
        <v>81095.39</v>
      </c>
    </row>
    <row r="483" spans="1:16" x14ac:dyDescent="0.25">
      <c r="A483" t="s">
        <v>100</v>
      </c>
      <c r="B483" s="1">
        <v>91108.56</v>
      </c>
      <c r="C483">
        <v>74089.48</v>
      </c>
      <c r="D483" s="2">
        <v>44006</v>
      </c>
      <c r="E483" t="s">
        <v>50</v>
      </c>
      <c r="F483" t="s">
        <v>326</v>
      </c>
      <c r="G483" t="s">
        <v>102</v>
      </c>
      <c r="H483" t="s">
        <v>103</v>
      </c>
      <c r="I483" t="s">
        <v>27</v>
      </c>
      <c r="J483" t="s">
        <v>635</v>
      </c>
      <c r="L483">
        <f t="shared" si="29"/>
        <v>202006</v>
      </c>
      <c r="M483">
        <f t="shared" si="30"/>
        <v>6</v>
      </c>
      <c r="N483">
        <f t="shared" si="31"/>
        <v>2020</v>
      </c>
      <c r="O483" t="str">
        <f>VLOOKUP(M483,month_lookup!A:B,2,FALSE)</f>
        <v>Jun</v>
      </c>
      <c r="P483">
        <f t="shared" si="32"/>
        <v>91108.56</v>
      </c>
    </row>
    <row r="484" spans="1:16" x14ac:dyDescent="0.25">
      <c r="A484" t="s">
        <v>105</v>
      </c>
      <c r="B484" s="1">
        <v>47182.43</v>
      </c>
      <c r="C484">
        <v>40576.89</v>
      </c>
      <c r="D484" s="2">
        <v>43882</v>
      </c>
      <c r="E484" t="s">
        <v>59</v>
      </c>
      <c r="F484" t="s">
        <v>111</v>
      </c>
      <c r="G484" t="s">
        <v>106</v>
      </c>
      <c r="H484" t="s">
        <v>107</v>
      </c>
      <c r="I484" t="s">
        <v>27</v>
      </c>
      <c r="J484" t="s">
        <v>636</v>
      </c>
      <c r="L484">
        <f t="shared" si="29"/>
        <v>202002</v>
      </c>
      <c r="M484">
        <f t="shared" si="30"/>
        <v>2</v>
      </c>
      <c r="N484">
        <f t="shared" si="31"/>
        <v>2020</v>
      </c>
      <c r="O484" t="str">
        <f>VLOOKUP(M484,month_lookup!A:B,2,FALSE)</f>
        <v>Feb</v>
      </c>
      <c r="P484">
        <f t="shared" si="32"/>
        <v>47182.43</v>
      </c>
    </row>
    <row r="485" spans="1:16" x14ac:dyDescent="0.25">
      <c r="A485" t="s">
        <v>16</v>
      </c>
      <c r="B485" s="1">
        <v>161984.91</v>
      </c>
      <c r="C485">
        <v>138237.92000000001</v>
      </c>
      <c r="D485" s="2">
        <v>43990</v>
      </c>
      <c r="E485" t="s">
        <v>50</v>
      </c>
      <c r="F485" t="s">
        <v>88</v>
      </c>
      <c r="G485" t="s">
        <v>19</v>
      </c>
      <c r="H485" t="s">
        <v>352</v>
      </c>
      <c r="I485" t="s">
        <v>27</v>
      </c>
      <c r="J485" t="s">
        <v>637</v>
      </c>
      <c r="L485">
        <f t="shared" si="29"/>
        <v>202006</v>
      </c>
      <c r="M485">
        <f t="shared" si="30"/>
        <v>6</v>
      </c>
      <c r="N485">
        <f t="shared" si="31"/>
        <v>2020</v>
      </c>
      <c r="O485" t="str">
        <f>VLOOKUP(M485,month_lookup!A:B,2,FALSE)</f>
        <v>Jun</v>
      </c>
      <c r="P485">
        <f t="shared" si="32"/>
        <v>161984.91</v>
      </c>
    </row>
    <row r="486" spans="1:16" x14ac:dyDescent="0.25">
      <c r="A486" t="s">
        <v>9</v>
      </c>
      <c r="B486" s="1">
        <v>116548.17</v>
      </c>
      <c r="C486">
        <v>92119.67</v>
      </c>
      <c r="D486" s="2">
        <v>43956</v>
      </c>
      <c r="E486" t="s">
        <v>23</v>
      </c>
      <c r="F486" t="s">
        <v>34</v>
      </c>
      <c r="G486" t="s">
        <v>12</v>
      </c>
      <c r="H486" t="s">
        <v>68</v>
      </c>
      <c r="I486" t="s">
        <v>27</v>
      </c>
      <c r="J486" t="s">
        <v>638</v>
      </c>
      <c r="L486">
        <f t="shared" si="29"/>
        <v>202005</v>
      </c>
      <c r="M486">
        <f t="shared" si="30"/>
        <v>5</v>
      </c>
      <c r="N486">
        <f t="shared" si="31"/>
        <v>2020</v>
      </c>
      <c r="O486" t="str">
        <f>VLOOKUP(M486,month_lookup!A:B,2,FALSE)</f>
        <v>May</v>
      </c>
      <c r="P486">
        <f t="shared" si="32"/>
        <v>116548.17</v>
      </c>
    </row>
    <row r="487" spans="1:16" x14ac:dyDescent="0.25">
      <c r="A487" t="s">
        <v>22</v>
      </c>
      <c r="B487" s="1">
        <v>138764.6</v>
      </c>
      <c r="C487">
        <v>111414.1</v>
      </c>
      <c r="D487" s="2">
        <v>43961</v>
      </c>
      <c r="E487" t="s">
        <v>50</v>
      </c>
      <c r="F487" t="s">
        <v>34</v>
      </c>
      <c r="G487" t="s">
        <v>25</v>
      </c>
      <c r="H487" t="s">
        <v>218</v>
      </c>
      <c r="I487" t="s">
        <v>27</v>
      </c>
      <c r="J487" t="s">
        <v>639</v>
      </c>
      <c r="L487">
        <f t="shared" si="29"/>
        <v>202005</v>
      </c>
      <c r="M487">
        <f t="shared" si="30"/>
        <v>5</v>
      </c>
      <c r="N487">
        <f t="shared" si="31"/>
        <v>2020</v>
      </c>
      <c r="O487" t="str">
        <f>VLOOKUP(M487,month_lookup!A:B,2,FALSE)</f>
        <v>May</v>
      </c>
      <c r="P487">
        <f t="shared" si="32"/>
        <v>138764.6</v>
      </c>
    </row>
    <row r="488" spans="1:16" x14ac:dyDescent="0.25">
      <c r="A488" t="s">
        <v>52</v>
      </c>
      <c r="B488" s="1">
        <v>148405.47</v>
      </c>
      <c r="C488">
        <v>128845.63</v>
      </c>
      <c r="D488" s="2">
        <v>43765</v>
      </c>
      <c r="E488" t="s">
        <v>79</v>
      </c>
      <c r="F488" t="s">
        <v>34</v>
      </c>
      <c r="G488" t="s">
        <v>54</v>
      </c>
      <c r="H488" t="s">
        <v>71</v>
      </c>
      <c r="I488" t="s">
        <v>27</v>
      </c>
      <c r="J488" t="s">
        <v>640</v>
      </c>
      <c r="L488">
        <f t="shared" si="29"/>
        <v>201910</v>
      </c>
      <c r="M488">
        <f t="shared" si="30"/>
        <v>10</v>
      </c>
      <c r="N488">
        <f t="shared" si="31"/>
        <v>2019</v>
      </c>
      <c r="O488" t="str">
        <f>VLOOKUP(M488,month_lookup!A:B,2,FALSE)</f>
        <v>Oct</v>
      </c>
      <c r="P488">
        <f t="shared" si="32"/>
        <v>-148405.47</v>
      </c>
    </row>
    <row r="489" spans="1:16" x14ac:dyDescent="0.25">
      <c r="A489" t="s">
        <v>83</v>
      </c>
      <c r="B489" s="1">
        <v>138249.76999999999</v>
      </c>
      <c r="C489">
        <v>120277.3</v>
      </c>
      <c r="D489" s="2">
        <v>43686</v>
      </c>
      <c r="E489" t="s">
        <v>17</v>
      </c>
      <c r="F489" t="s">
        <v>30</v>
      </c>
      <c r="G489" t="s">
        <v>84</v>
      </c>
      <c r="H489" t="s">
        <v>85</v>
      </c>
      <c r="I489" t="s">
        <v>27</v>
      </c>
      <c r="J489" t="s">
        <v>641</v>
      </c>
      <c r="L489">
        <f t="shared" si="29"/>
        <v>201908</v>
      </c>
      <c r="M489">
        <f t="shared" si="30"/>
        <v>8</v>
      </c>
      <c r="N489">
        <f t="shared" si="31"/>
        <v>2019</v>
      </c>
      <c r="O489" t="str">
        <f>VLOOKUP(M489,month_lookup!A:B,2,FALSE)</f>
        <v>Aug</v>
      </c>
      <c r="P489">
        <f t="shared" si="32"/>
        <v>-138249.76999999999</v>
      </c>
    </row>
    <row r="490" spans="1:16" x14ac:dyDescent="0.25">
      <c r="A490" t="s">
        <v>22</v>
      </c>
      <c r="B490" s="1">
        <v>115718.87</v>
      </c>
      <c r="C490">
        <v>100640.7</v>
      </c>
      <c r="D490" s="2">
        <v>43579</v>
      </c>
      <c r="E490" t="s">
        <v>79</v>
      </c>
      <c r="F490" t="s">
        <v>18</v>
      </c>
      <c r="G490" t="s">
        <v>25</v>
      </c>
      <c r="H490" t="s">
        <v>31</v>
      </c>
      <c r="I490" t="s">
        <v>27</v>
      </c>
      <c r="J490" t="s">
        <v>642</v>
      </c>
      <c r="L490">
        <f t="shared" si="29"/>
        <v>201904</v>
      </c>
      <c r="M490">
        <f t="shared" si="30"/>
        <v>4</v>
      </c>
      <c r="N490">
        <f t="shared" si="31"/>
        <v>2019</v>
      </c>
      <c r="O490" t="str">
        <f>VLOOKUP(M490,month_lookup!A:B,2,FALSE)</f>
        <v>Apr</v>
      </c>
      <c r="P490">
        <f t="shared" si="32"/>
        <v>-115718.87</v>
      </c>
    </row>
    <row r="491" spans="1:16" x14ac:dyDescent="0.25">
      <c r="A491" t="s">
        <v>22</v>
      </c>
      <c r="B491" s="1">
        <v>194326.7</v>
      </c>
      <c r="C491">
        <v>169005.93</v>
      </c>
      <c r="D491" s="2">
        <v>43653</v>
      </c>
      <c r="E491" t="s">
        <v>10</v>
      </c>
      <c r="F491" t="s">
        <v>34</v>
      </c>
      <c r="G491" t="s">
        <v>25</v>
      </c>
      <c r="H491" t="s">
        <v>89</v>
      </c>
      <c r="I491" t="s">
        <v>14</v>
      </c>
      <c r="J491" t="s">
        <v>643</v>
      </c>
      <c r="L491">
        <f t="shared" si="29"/>
        <v>201907</v>
      </c>
      <c r="M491">
        <f t="shared" si="30"/>
        <v>7</v>
      </c>
      <c r="N491">
        <f t="shared" si="31"/>
        <v>2019</v>
      </c>
      <c r="O491" t="str">
        <f>VLOOKUP(M491,month_lookup!A:B,2,FALSE)</f>
        <v>Jul</v>
      </c>
      <c r="P491">
        <f t="shared" si="32"/>
        <v>-194326.7</v>
      </c>
    </row>
    <row r="492" spans="1:16" x14ac:dyDescent="0.25">
      <c r="A492" t="s">
        <v>52</v>
      </c>
      <c r="B492" s="1">
        <v>38648.720000000001</v>
      </c>
      <c r="C492">
        <v>32368.3</v>
      </c>
      <c r="D492" s="2">
        <v>44169</v>
      </c>
      <c r="E492" t="s">
        <v>29</v>
      </c>
      <c r="F492" t="s">
        <v>167</v>
      </c>
      <c r="G492" t="s">
        <v>54</v>
      </c>
      <c r="H492" t="s">
        <v>127</v>
      </c>
      <c r="I492" t="s">
        <v>37</v>
      </c>
      <c r="J492" t="s">
        <v>644</v>
      </c>
      <c r="L492">
        <f t="shared" si="29"/>
        <v>202012</v>
      </c>
      <c r="M492">
        <f t="shared" si="30"/>
        <v>12</v>
      </c>
      <c r="N492">
        <f t="shared" si="31"/>
        <v>2020</v>
      </c>
      <c r="O492" t="str">
        <f>VLOOKUP(M492,month_lookup!A:B,2,FALSE)</f>
        <v>Dec</v>
      </c>
      <c r="P492">
        <f t="shared" si="32"/>
        <v>38648.720000000001</v>
      </c>
    </row>
    <row r="493" spans="1:16" x14ac:dyDescent="0.25">
      <c r="A493" t="s">
        <v>9</v>
      </c>
      <c r="B493" s="1">
        <v>58010.14</v>
      </c>
      <c r="C493">
        <v>46089.06</v>
      </c>
      <c r="D493" s="2">
        <v>43719</v>
      </c>
      <c r="E493" t="s">
        <v>50</v>
      </c>
      <c r="F493" t="s">
        <v>179</v>
      </c>
      <c r="G493" t="s">
        <v>12</v>
      </c>
      <c r="H493" t="s">
        <v>169</v>
      </c>
      <c r="I493" t="s">
        <v>27</v>
      </c>
      <c r="J493" t="s">
        <v>645</v>
      </c>
      <c r="L493">
        <f t="shared" si="29"/>
        <v>201909</v>
      </c>
      <c r="M493">
        <f t="shared" si="30"/>
        <v>9</v>
      </c>
      <c r="N493">
        <f t="shared" si="31"/>
        <v>2019</v>
      </c>
      <c r="O493" t="str">
        <f>VLOOKUP(M493,month_lookup!A:B,2,FALSE)</f>
        <v>Sep</v>
      </c>
      <c r="P493">
        <f t="shared" si="32"/>
        <v>-58010.14</v>
      </c>
    </row>
    <row r="494" spans="1:16" x14ac:dyDescent="0.25">
      <c r="A494" t="s">
        <v>52</v>
      </c>
      <c r="B494" s="1">
        <v>82697.53</v>
      </c>
      <c r="C494">
        <v>69548.62</v>
      </c>
      <c r="D494" s="2">
        <v>44055</v>
      </c>
      <c r="E494" t="s">
        <v>17</v>
      </c>
      <c r="F494" t="s">
        <v>233</v>
      </c>
      <c r="G494" t="s">
        <v>54</v>
      </c>
      <c r="H494" t="s">
        <v>143</v>
      </c>
      <c r="I494" t="s">
        <v>27</v>
      </c>
      <c r="J494" t="s">
        <v>646</v>
      </c>
      <c r="L494">
        <f t="shared" si="29"/>
        <v>202008</v>
      </c>
      <c r="M494">
        <f t="shared" si="30"/>
        <v>8</v>
      </c>
      <c r="N494">
        <f t="shared" si="31"/>
        <v>2020</v>
      </c>
      <c r="O494" t="str">
        <f>VLOOKUP(M494,month_lookup!A:B,2,FALSE)</f>
        <v>Aug</v>
      </c>
      <c r="P494">
        <f t="shared" si="32"/>
        <v>82697.53</v>
      </c>
    </row>
    <row r="495" spans="1:16" x14ac:dyDescent="0.25">
      <c r="A495" t="s">
        <v>9</v>
      </c>
      <c r="B495" s="1">
        <v>68086.960000000006</v>
      </c>
      <c r="C495">
        <v>58759.05</v>
      </c>
      <c r="D495" s="2">
        <v>43795</v>
      </c>
      <c r="E495" t="s">
        <v>79</v>
      </c>
      <c r="F495" t="s">
        <v>647</v>
      </c>
      <c r="G495" t="s">
        <v>12</v>
      </c>
      <c r="H495" t="s">
        <v>169</v>
      </c>
      <c r="I495" t="s">
        <v>27</v>
      </c>
      <c r="J495" t="s">
        <v>648</v>
      </c>
      <c r="L495">
        <f t="shared" si="29"/>
        <v>201911</v>
      </c>
      <c r="M495">
        <f t="shared" si="30"/>
        <v>11</v>
      </c>
      <c r="N495">
        <f t="shared" si="31"/>
        <v>2019</v>
      </c>
      <c r="O495" t="str">
        <f>VLOOKUP(M495,month_lookup!A:B,2,FALSE)</f>
        <v>Nov</v>
      </c>
      <c r="P495">
        <f t="shared" si="32"/>
        <v>-68086.960000000006</v>
      </c>
    </row>
    <row r="496" spans="1:16" x14ac:dyDescent="0.25">
      <c r="A496" t="s">
        <v>100</v>
      </c>
      <c r="B496" s="1">
        <v>111106.06</v>
      </c>
      <c r="C496">
        <v>93195.76</v>
      </c>
      <c r="D496" s="2">
        <v>44146</v>
      </c>
      <c r="E496" t="s">
        <v>17</v>
      </c>
      <c r="F496" t="s">
        <v>46</v>
      </c>
      <c r="G496" t="s">
        <v>102</v>
      </c>
      <c r="H496" t="s">
        <v>161</v>
      </c>
      <c r="I496" t="s">
        <v>27</v>
      </c>
      <c r="J496" t="s">
        <v>649</v>
      </c>
      <c r="L496">
        <f t="shared" si="29"/>
        <v>202011</v>
      </c>
      <c r="M496">
        <f t="shared" si="30"/>
        <v>11</v>
      </c>
      <c r="N496">
        <f t="shared" si="31"/>
        <v>2020</v>
      </c>
      <c r="O496" t="str">
        <f>VLOOKUP(M496,month_lookup!A:B,2,FALSE)</f>
        <v>Nov</v>
      </c>
      <c r="P496">
        <f t="shared" si="32"/>
        <v>111106.06</v>
      </c>
    </row>
    <row r="497" spans="1:16" x14ac:dyDescent="0.25">
      <c r="A497" t="s">
        <v>22</v>
      </c>
      <c r="B497" s="1">
        <v>227830.33</v>
      </c>
      <c r="C497">
        <v>182173.13</v>
      </c>
      <c r="D497" s="2">
        <v>43992</v>
      </c>
      <c r="E497" t="s">
        <v>10</v>
      </c>
      <c r="F497" t="s">
        <v>184</v>
      </c>
      <c r="G497" t="s">
        <v>25</v>
      </c>
      <c r="H497" t="s">
        <v>31</v>
      </c>
      <c r="I497" t="s">
        <v>27</v>
      </c>
      <c r="J497" t="s">
        <v>650</v>
      </c>
      <c r="L497">
        <f t="shared" si="29"/>
        <v>202006</v>
      </c>
      <c r="M497">
        <f t="shared" si="30"/>
        <v>6</v>
      </c>
      <c r="N497">
        <f t="shared" si="31"/>
        <v>2020</v>
      </c>
      <c r="O497" t="str">
        <f>VLOOKUP(M497,month_lookup!A:B,2,FALSE)</f>
        <v>Jun</v>
      </c>
      <c r="P497">
        <f t="shared" si="32"/>
        <v>227830.33</v>
      </c>
    </row>
    <row r="498" spans="1:16" x14ac:dyDescent="0.25">
      <c r="A498" t="s">
        <v>52</v>
      </c>
      <c r="B498" s="1">
        <v>87355.7</v>
      </c>
      <c r="C498">
        <v>74584.3</v>
      </c>
      <c r="D498" s="2">
        <v>43499</v>
      </c>
      <c r="E498" t="s">
        <v>59</v>
      </c>
      <c r="F498" t="s">
        <v>173</v>
      </c>
      <c r="G498" t="s">
        <v>54</v>
      </c>
      <c r="H498" t="s">
        <v>127</v>
      </c>
      <c r="I498" t="s">
        <v>27</v>
      </c>
      <c r="J498" t="s">
        <v>651</v>
      </c>
      <c r="L498">
        <f t="shared" si="29"/>
        <v>201902</v>
      </c>
      <c r="M498">
        <f t="shared" si="30"/>
        <v>2</v>
      </c>
      <c r="N498">
        <f t="shared" si="31"/>
        <v>2019</v>
      </c>
      <c r="O498" t="str">
        <f>VLOOKUP(M498,month_lookup!A:B,2,FALSE)</f>
        <v>Feb</v>
      </c>
      <c r="P498">
        <f t="shared" si="32"/>
        <v>-87355.7</v>
      </c>
    </row>
    <row r="499" spans="1:16" x14ac:dyDescent="0.25">
      <c r="A499" t="s">
        <v>52</v>
      </c>
      <c r="B499" s="1">
        <v>164267.72</v>
      </c>
      <c r="C499">
        <v>139069.04999999999</v>
      </c>
      <c r="D499" s="2">
        <v>44112</v>
      </c>
      <c r="E499" t="s">
        <v>50</v>
      </c>
      <c r="F499" t="s">
        <v>18</v>
      </c>
      <c r="G499" t="s">
        <v>54</v>
      </c>
      <c r="H499" t="s">
        <v>127</v>
      </c>
      <c r="I499" t="s">
        <v>27</v>
      </c>
      <c r="J499" t="s">
        <v>652</v>
      </c>
      <c r="L499">
        <f t="shared" si="29"/>
        <v>202010</v>
      </c>
      <c r="M499">
        <f t="shared" si="30"/>
        <v>10</v>
      </c>
      <c r="N499">
        <f t="shared" si="31"/>
        <v>2020</v>
      </c>
      <c r="O499" t="str">
        <f>VLOOKUP(M499,month_lookup!A:B,2,FALSE)</f>
        <v>Oct</v>
      </c>
      <c r="P499">
        <f t="shared" si="32"/>
        <v>164267.72</v>
      </c>
    </row>
    <row r="500" spans="1:16" x14ac:dyDescent="0.25">
      <c r="A500" t="s">
        <v>44</v>
      </c>
      <c r="B500" s="1">
        <v>92179.76</v>
      </c>
      <c r="C500">
        <v>74794.66</v>
      </c>
      <c r="D500" s="2">
        <v>44037</v>
      </c>
      <c r="E500" t="s">
        <v>29</v>
      </c>
      <c r="F500" t="s">
        <v>209</v>
      </c>
      <c r="G500" t="s">
        <v>47</v>
      </c>
      <c r="H500" t="s">
        <v>73</v>
      </c>
      <c r="I500" t="s">
        <v>37</v>
      </c>
      <c r="J500" t="s">
        <v>653</v>
      </c>
      <c r="L500">
        <f t="shared" si="29"/>
        <v>202007</v>
      </c>
      <c r="M500">
        <f t="shared" si="30"/>
        <v>7</v>
      </c>
      <c r="N500">
        <f t="shared" si="31"/>
        <v>2020</v>
      </c>
      <c r="O500" t="str">
        <f>VLOOKUP(M500,month_lookup!A:B,2,FALSE)</f>
        <v>Jul</v>
      </c>
      <c r="P500">
        <f t="shared" si="32"/>
        <v>92179.76</v>
      </c>
    </row>
    <row r="501" spans="1:16" x14ac:dyDescent="0.25">
      <c r="A501" t="s">
        <v>9</v>
      </c>
      <c r="B501" s="1">
        <v>124093.75999999999</v>
      </c>
      <c r="C501">
        <v>105231.51</v>
      </c>
      <c r="D501" s="2">
        <v>43753</v>
      </c>
      <c r="E501" t="s">
        <v>79</v>
      </c>
      <c r="F501" t="s">
        <v>96</v>
      </c>
      <c r="G501" t="s">
        <v>12</v>
      </c>
      <c r="H501" t="s">
        <v>68</v>
      </c>
      <c r="I501" t="s">
        <v>27</v>
      </c>
      <c r="J501" t="s">
        <v>654</v>
      </c>
      <c r="L501">
        <f t="shared" si="29"/>
        <v>201910</v>
      </c>
      <c r="M501">
        <f t="shared" si="30"/>
        <v>10</v>
      </c>
      <c r="N501">
        <f t="shared" si="31"/>
        <v>2019</v>
      </c>
      <c r="O501" t="str">
        <f>VLOOKUP(M501,month_lookup!A:B,2,FALSE)</f>
        <v>Oct</v>
      </c>
      <c r="P501">
        <f t="shared" si="32"/>
        <v>-124093.75999999999</v>
      </c>
    </row>
    <row r="502" spans="1:16" x14ac:dyDescent="0.25">
      <c r="A502" t="s">
        <v>44</v>
      </c>
      <c r="B502" s="1">
        <v>66391.58</v>
      </c>
      <c r="C502">
        <v>52635.24</v>
      </c>
      <c r="D502" s="2">
        <v>43803</v>
      </c>
      <c r="E502" t="s">
        <v>23</v>
      </c>
      <c r="F502" t="s">
        <v>367</v>
      </c>
      <c r="G502" t="s">
        <v>47</v>
      </c>
      <c r="H502" t="s">
        <v>48</v>
      </c>
      <c r="I502" t="s">
        <v>14</v>
      </c>
      <c r="J502" t="s">
        <v>655</v>
      </c>
      <c r="L502">
        <f t="shared" si="29"/>
        <v>201912</v>
      </c>
      <c r="M502">
        <f t="shared" si="30"/>
        <v>12</v>
      </c>
      <c r="N502">
        <f t="shared" si="31"/>
        <v>2019</v>
      </c>
      <c r="O502" t="str">
        <f>VLOOKUP(M502,month_lookup!A:B,2,FALSE)</f>
        <v>Dec</v>
      </c>
      <c r="P502">
        <f t="shared" si="32"/>
        <v>-66391.58</v>
      </c>
    </row>
    <row r="503" spans="1:16" x14ac:dyDescent="0.25">
      <c r="A503" t="s">
        <v>52</v>
      </c>
      <c r="B503" s="1">
        <v>197471.1</v>
      </c>
      <c r="C503">
        <v>162577.96</v>
      </c>
      <c r="D503" s="2">
        <v>43644</v>
      </c>
      <c r="E503" t="s">
        <v>50</v>
      </c>
      <c r="F503" t="s">
        <v>34</v>
      </c>
      <c r="G503" t="s">
        <v>54</v>
      </c>
      <c r="H503" t="s">
        <v>127</v>
      </c>
      <c r="I503" t="s">
        <v>27</v>
      </c>
      <c r="J503" t="s">
        <v>656</v>
      </c>
      <c r="L503">
        <f t="shared" si="29"/>
        <v>201906</v>
      </c>
      <c r="M503">
        <f t="shared" si="30"/>
        <v>6</v>
      </c>
      <c r="N503">
        <f t="shared" si="31"/>
        <v>2019</v>
      </c>
      <c r="O503" t="str">
        <f>VLOOKUP(M503,month_lookup!A:B,2,FALSE)</f>
        <v>Jun</v>
      </c>
      <c r="P503">
        <f t="shared" si="32"/>
        <v>-197471.1</v>
      </c>
    </row>
    <row r="504" spans="1:16" x14ac:dyDescent="0.25">
      <c r="A504" t="s">
        <v>44</v>
      </c>
      <c r="B504" s="1">
        <v>122627.2</v>
      </c>
      <c r="C504">
        <v>100284.52</v>
      </c>
      <c r="D504" s="2">
        <v>43597</v>
      </c>
      <c r="E504" t="s">
        <v>23</v>
      </c>
      <c r="F504" t="s">
        <v>125</v>
      </c>
      <c r="G504" t="s">
        <v>47</v>
      </c>
      <c r="H504" t="s">
        <v>48</v>
      </c>
      <c r="I504" t="s">
        <v>27</v>
      </c>
      <c r="J504" t="s">
        <v>657</v>
      </c>
      <c r="L504">
        <f t="shared" si="29"/>
        <v>201905</v>
      </c>
      <c r="M504">
        <f t="shared" si="30"/>
        <v>5</v>
      </c>
      <c r="N504">
        <f t="shared" si="31"/>
        <v>2019</v>
      </c>
      <c r="O504" t="str">
        <f>VLOOKUP(M504,month_lookup!A:B,2,FALSE)</f>
        <v>May</v>
      </c>
      <c r="P504">
        <f t="shared" si="32"/>
        <v>-122627.2</v>
      </c>
    </row>
    <row r="505" spans="1:16" x14ac:dyDescent="0.25">
      <c r="A505" t="s">
        <v>44</v>
      </c>
      <c r="B505" s="1">
        <v>159052.70000000001</v>
      </c>
      <c r="C505">
        <v>127926.09</v>
      </c>
      <c r="D505" s="2">
        <v>43617</v>
      </c>
      <c r="E505" t="s">
        <v>17</v>
      </c>
      <c r="F505" t="s">
        <v>77</v>
      </c>
      <c r="G505" t="s">
        <v>47</v>
      </c>
      <c r="H505" t="s">
        <v>65</v>
      </c>
      <c r="I505" t="s">
        <v>27</v>
      </c>
      <c r="J505" t="s">
        <v>658</v>
      </c>
      <c r="L505">
        <f t="shared" si="29"/>
        <v>201906</v>
      </c>
      <c r="M505">
        <f t="shared" si="30"/>
        <v>6</v>
      </c>
      <c r="N505">
        <f t="shared" si="31"/>
        <v>2019</v>
      </c>
      <c r="O505" t="str">
        <f>VLOOKUP(M505,month_lookup!A:B,2,FALSE)</f>
        <v>Jun</v>
      </c>
      <c r="P505">
        <f t="shared" si="32"/>
        <v>-159052.70000000001</v>
      </c>
    </row>
    <row r="506" spans="1:16" x14ac:dyDescent="0.25">
      <c r="A506" t="s">
        <v>22</v>
      </c>
      <c r="B506" s="1">
        <v>85515.6</v>
      </c>
      <c r="C506">
        <v>67959.25</v>
      </c>
      <c r="D506" s="2">
        <v>43751</v>
      </c>
      <c r="E506" t="s">
        <v>17</v>
      </c>
      <c r="F506" t="s">
        <v>24</v>
      </c>
      <c r="G506" t="s">
        <v>25</v>
      </c>
      <c r="H506" t="s">
        <v>218</v>
      </c>
      <c r="I506" t="s">
        <v>27</v>
      </c>
      <c r="J506" t="s">
        <v>659</v>
      </c>
      <c r="L506">
        <f t="shared" si="29"/>
        <v>201910</v>
      </c>
      <c r="M506">
        <f t="shared" si="30"/>
        <v>10</v>
      </c>
      <c r="N506">
        <f t="shared" si="31"/>
        <v>2019</v>
      </c>
      <c r="O506" t="str">
        <f>VLOOKUP(M506,month_lookup!A:B,2,FALSE)</f>
        <v>Oct</v>
      </c>
      <c r="P506">
        <f t="shared" si="32"/>
        <v>-85515.6</v>
      </c>
    </row>
    <row r="507" spans="1:16" x14ac:dyDescent="0.25">
      <c r="A507" t="s">
        <v>22</v>
      </c>
      <c r="B507" s="1">
        <v>42847.46</v>
      </c>
      <c r="C507">
        <v>34757.86</v>
      </c>
      <c r="D507" s="2">
        <v>44126</v>
      </c>
      <c r="E507" t="s">
        <v>45</v>
      </c>
      <c r="F507" t="s">
        <v>281</v>
      </c>
      <c r="G507" t="s">
        <v>25</v>
      </c>
      <c r="H507" t="s">
        <v>31</v>
      </c>
      <c r="I507" t="s">
        <v>27</v>
      </c>
      <c r="J507" t="s">
        <v>660</v>
      </c>
      <c r="L507">
        <f t="shared" si="29"/>
        <v>202010</v>
      </c>
      <c r="M507">
        <f t="shared" si="30"/>
        <v>10</v>
      </c>
      <c r="N507">
        <f t="shared" si="31"/>
        <v>2020</v>
      </c>
      <c r="O507" t="str">
        <f>VLOOKUP(M507,month_lookup!A:B,2,FALSE)</f>
        <v>Oct</v>
      </c>
      <c r="P507">
        <f t="shared" si="32"/>
        <v>42847.46</v>
      </c>
    </row>
    <row r="508" spans="1:16" x14ac:dyDescent="0.25">
      <c r="A508" t="s">
        <v>52</v>
      </c>
      <c r="B508" s="1">
        <v>125499.82</v>
      </c>
      <c r="C508">
        <v>100977.16</v>
      </c>
      <c r="D508" s="2">
        <v>43563</v>
      </c>
      <c r="E508" t="s">
        <v>29</v>
      </c>
      <c r="F508" t="s">
        <v>149</v>
      </c>
      <c r="G508" t="s">
        <v>54</v>
      </c>
      <c r="H508" t="s">
        <v>132</v>
      </c>
      <c r="I508" t="s">
        <v>27</v>
      </c>
      <c r="J508" t="s">
        <v>661</v>
      </c>
      <c r="L508">
        <f t="shared" si="29"/>
        <v>201904</v>
      </c>
      <c r="M508">
        <f t="shared" si="30"/>
        <v>4</v>
      </c>
      <c r="N508">
        <f t="shared" si="31"/>
        <v>2019</v>
      </c>
      <c r="O508" t="str">
        <f>VLOOKUP(M508,month_lookup!A:B,2,FALSE)</f>
        <v>Apr</v>
      </c>
      <c r="P508">
        <f t="shared" si="32"/>
        <v>-125499.82</v>
      </c>
    </row>
    <row r="509" spans="1:16" x14ac:dyDescent="0.25">
      <c r="A509" t="s">
        <v>16</v>
      </c>
      <c r="B509" s="1">
        <v>222379.49</v>
      </c>
      <c r="C509">
        <v>192869.73</v>
      </c>
      <c r="D509" s="2">
        <v>43656</v>
      </c>
      <c r="E509" t="s">
        <v>29</v>
      </c>
      <c r="F509" t="s">
        <v>122</v>
      </c>
      <c r="G509" t="s">
        <v>19</v>
      </c>
      <c r="H509" t="s">
        <v>352</v>
      </c>
      <c r="I509" t="s">
        <v>14</v>
      </c>
      <c r="J509" t="s">
        <v>662</v>
      </c>
      <c r="L509">
        <f t="shared" si="29"/>
        <v>201907</v>
      </c>
      <c r="M509">
        <f t="shared" si="30"/>
        <v>7</v>
      </c>
      <c r="N509">
        <f t="shared" si="31"/>
        <v>2019</v>
      </c>
      <c r="O509" t="str">
        <f>VLOOKUP(M509,month_lookup!A:B,2,FALSE)</f>
        <v>Jul</v>
      </c>
      <c r="P509">
        <f t="shared" si="32"/>
        <v>-222379.49</v>
      </c>
    </row>
    <row r="510" spans="1:16" x14ac:dyDescent="0.25">
      <c r="A510" t="s">
        <v>22</v>
      </c>
      <c r="B510" s="1">
        <v>85390.17</v>
      </c>
      <c r="C510">
        <v>74400.460000000006</v>
      </c>
      <c r="D510" s="2">
        <v>43490</v>
      </c>
      <c r="E510" t="s">
        <v>79</v>
      </c>
      <c r="F510" t="s">
        <v>647</v>
      </c>
      <c r="G510" t="s">
        <v>25</v>
      </c>
      <c r="H510" t="s">
        <v>218</v>
      </c>
      <c r="I510" t="s">
        <v>27</v>
      </c>
      <c r="J510" t="s">
        <v>663</v>
      </c>
      <c r="L510">
        <f t="shared" si="29"/>
        <v>201901</v>
      </c>
      <c r="M510">
        <f t="shared" si="30"/>
        <v>1</v>
      </c>
      <c r="N510">
        <f t="shared" si="31"/>
        <v>2019</v>
      </c>
      <c r="O510" t="str">
        <f>VLOOKUP(M510,month_lookup!A:B,2,FALSE)</f>
        <v>Jan</v>
      </c>
      <c r="P510">
        <f t="shared" si="32"/>
        <v>-85390.17</v>
      </c>
    </row>
    <row r="511" spans="1:16" x14ac:dyDescent="0.25">
      <c r="A511" t="s">
        <v>22</v>
      </c>
      <c r="B511" s="1">
        <v>97514.7</v>
      </c>
      <c r="C511">
        <v>80790.929999999993</v>
      </c>
      <c r="D511" s="2">
        <v>43873</v>
      </c>
      <c r="E511" t="s">
        <v>50</v>
      </c>
      <c r="F511" t="s">
        <v>67</v>
      </c>
      <c r="G511" t="s">
        <v>25</v>
      </c>
      <c r="H511" t="s">
        <v>89</v>
      </c>
      <c r="I511" t="s">
        <v>27</v>
      </c>
      <c r="J511" t="s">
        <v>664</v>
      </c>
      <c r="L511">
        <f t="shared" si="29"/>
        <v>202002</v>
      </c>
      <c r="M511">
        <f t="shared" si="30"/>
        <v>2</v>
      </c>
      <c r="N511">
        <f t="shared" si="31"/>
        <v>2020</v>
      </c>
      <c r="O511" t="str">
        <f>VLOOKUP(M511,month_lookup!A:B,2,FALSE)</f>
        <v>Feb</v>
      </c>
      <c r="P511">
        <f t="shared" si="32"/>
        <v>97514.7</v>
      </c>
    </row>
    <row r="512" spans="1:16" x14ac:dyDescent="0.25">
      <c r="A512" t="s">
        <v>44</v>
      </c>
      <c r="B512" s="1">
        <v>87321.89</v>
      </c>
      <c r="C512">
        <v>69254.990000000005</v>
      </c>
      <c r="D512" s="2">
        <v>43482</v>
      </c>
      <c r="E512" t="s">
        <v>79</v>
      </c>
      <c r="F512" t="s">
        <v>67</v>
      </c>
      <c r="G512" t="s">
        <v>47</v>
      </c>
      <c r="H512" t="s">
        <v>48</v>
      </c>
      <c r="I512" t="s">
        <v>14</v>
      </c>
      <c r="J512" t="s">
        <v>665</v>
      </c>
      <c r="L512">
        <f t="shared" si="29"/>
        <v>201901</v>
      </c>
      <c r="M512">
        <f t="shared" si="30"/>
        <v>1</v>
      </c>
      <c r="N512">
        <f t="shared" si="31"/>
        <v>2019</v>
      </c>
      <c r="O512" t="str">
        <f>VLOOKUP(M512,month_lookup!A:B,2,FALSE)</f>
        <v>Jan</v>
      </c>
      <c r="P512">
        <f t="shared" si="32"/>
        <v>-87321.89</v>
      </c>
    </row>
    <row r="513" spans="1:16" x14ac:dyDescent="0.25">
      <c r="A513" t="s">
        <v>9</v>
      </c>
      <c r="B513" s="1">
        <v>205059.8</v>
      </c>
      <c r="C513">
        <v>173029.46</v>
      </c>
      <c r="D513" s="2">
        <v>44005</v>
      </c>
      <c r="E513" t="s">
        <v>79</v>
      </c>
      <c r="F513" t="s">
        <v>379</v>
      </c>
      <c r="G513" t="s">
        <v>12</v>
      </c>
      <c r="H513" t="s">
        <v>117</v>
      </c>
      <c r="I513" t="s">
        <v>27</v>
      </c>
      <c r="J513" t="s">
        <v>666</v>
      </c>
      <c r="L513">
        <f t="shared" si="29"/>
        <v>202006</v>
      </c>
      <c r="M513">
        <f t="shared" si="30"/>
        <v>6</v>
      </c>
      <c r="N513">
        <f t="shared" si="31"/>
        <v>2020</v>
      </c>
      <c r="O513" t="str">
        <f>VLOOKUP(M513,month_lookup!A:B,2,FALSE)</f>
        <v>Jun</v>
      </c>
      <c r="P513">
        <f t="shared" si="32"/>
        <v>205059.8</v>
      </c>
    </row>
    <row r="514" spans="1:16" x14ac:dyDescent="0.25">
      <c r="A514" t="s">
        <v>22</v>
      </c>
      <c r="B514" s="1">
        <v>105833.52</v>
      </c>
      <c r="C514">
        <v>85312.4</v>
      </c>
      <c r="D514" s="2">
        <v>43544</v>
      </c>
      <c r="E514" t="s">
        <v>59</v>
      </c>
      <c r="F514" t="s">
        <v>181</v>
      </c>
      <c r="G514" t="s">
        <v>25</v>
      </c>
      <c r="H514" t="s">
        <v>75</v>
      </c>
      <c r="I514" t="s">
        <v>27</v>
      </c>
      <c r="J514" t="s">
        <v>667</v>
      </c>
      <c r="L514">
        <f t="shared" si="29"/>
        <v>201903</v>
      </c>
      <c r="M514">
        <f t="shared" si="30"/>
        <v>3</v>
      </c>
      <c r="N514">
        <f t="shared" si="31"/>
        <v>2019</v>
      </c>
      <c r="O514" t="str">
        <f>VLOOKUP(M514,month_lookup!A:B,2,FALSE)</f>
        <v>Mar</v>
      </c>
      <c r="P514">
        <f t="shared" si="32"/>
        <v>-105833.52</v>
      </c>
    </row>
    <row r="515" spans="1:16" x14ac:dyDescent="0.25">
      <c r="A515" t="s">
        <v>52</v>
      </c>
      <c r="B515" s="1">
        <v>40043.11</v>
      </c>
      <c r="C515">
        <v>35109.800000000003</v>
      </c>
      <c r="D515" s="2">
        <v>44081</v>
      </c>
      <c r="E515" t="s">
        <v>50</v>
      </c>
      <c r="F515" t="s">
        <v>301</v>
      </c>
      <c r="G515" t="s">
        <v>54</v>
      </c>
      <c r="H515" t="s">
        <v>132</v>
      </c>
      <c r="I515" t="s">
        <v>27</v>
      </c>
      <c r="J515" t="s">
        <v>668</v>
      </c>
      <c r="L515">
        <f t="shared" ref="L515:L578" si="33">YEAR(D515)*100+MONTH(D515)</f>
        <v>202009</v>
      </c>
      <c r="M515">
        <f t="shared" ref="M515:M578" si="34">MONTH(D515)</f>
        <v>9</v>
      </c>
      <c r="N515">
        <f t="shared" ref="N515:N578" si="35">YEAR(D515)</f>
        <v>2020</v>
      </c>
      <c r="O515" t="str">
        <f>VLOOKUP(M515,month_lookup!A:B,2,FALSE)</f>
        <v>Sep</v>
      </c>
      <c r="P515">
        <f t="shared" si="32"/>
        <v>40043.11</v>
      </c>
    </row>
    <row r="516" spans="1:16" x14ac:dyDescent="0.25">
      <c r="A516" t="s">
        <v>22</v>
      </c>
      <c r="B516" s="1">
        <v>57859.08</v>
      </c>
      <c r="C516">
        <v>47756.88</v>
      </c>
      <c r="D516" s="2">
        <v>43807</v>
      </c>
      <c r="E516" t="s">
        <v>10</v>
      </c>
      <c r="F516" t="s">
        <v>30</v>
      </c>
      <c r="G516" t="s">
        <v>25</v>
      </c>
      <c r="H516" t="s">
        <v>31</v>
      </c>
      <c r="I516" t="s">
        <v>14</v>
      </c>
      <c r="J516" t="s">
        <v>669</v>
      </c>
      <c r="L516">
        <f t="shared" si="33"/>
        <v>201912</v>
      </c>
      <c r="M516">
        <f t="shared" si="34"/>
        <v>12</v>
      </c>
      <c r="N516">
        <f t="shared" si="35"/>
        <v>2019</v>
      </c>
      <c r="O516" t="str">
        <f>VLOOKUP(M516,month_lookup!A:B,2,FALSE)</f>
        <v>Dec</v>
      </c>
      <c r="P516">
        <f t="shared" si="32"/>
        <v>-57859.08</v>
      </c>
    </row>
    <row r="517" spans="1:16" x14ac:dyDescent="0.25">
      <c r="A517" t="s">
        <v>52</v>
      </c>
      <c r="B517" s="1">
        <v>132235.46</v>
      </c>
      <c r="C517">
        <v>114132.43</v>
      </c>
      <c r="D517" s="2">
        <v>43983</v>
      </c>
      <c r="E517" t="s">
        <v>10</v>
      </c>
      <c r="F517" t="s">
        <v>177</v>
      </c>
      <c r="G517" t="s">
        <v>54</v>
      </c>
      <c r="H517" t="s">
        <v>132</v>
      </c>
      <c r="I517" t="s">
        <v>27</v>
      </c>
      <c r="J517" t="s">
        <v>670</v>
      </c>
      <c r="L517">
        <f t="shared" si="33"/>
        <v>202006</v>
      </c>
      <c r="M517">
        <f t="shared" si="34"/>
        <v>6</v>
      </c>
      <c r="N517">
        <f t="shared" si="35"/>
        <v>2020</v>
      </c>
      <c r="O517" t="str">
        <f>VLOOKUP(M517,month_lookup!A:B,2,FALSE)</f>
        <v>Jun</v>
      </c>
      <c r="P517">
        <f t="shared" si="32"/>
        <v>132235.46</v>
      </c>
    </row>
    <row r="518" spans="1:16" x14ac:dyDescent="0.25">
      <c r="A518" t="s">
        <v>44</v>
      </c>
      <c r="B518" s="1">
        <v>33724.53</v>
      </c>
      <c r="C518">
        <v>26770.53</v>
      </c>
      <c r="D518" s="2">
        <v>43860</v>
      </c>
      <c r="E518" t="s">
        <v>29</v>
      </c>
      <c r="F518" t="s">
        <v>671</v>
      </c>
      <c r="G518" t="s">
        <v>47</v>
      </c>
      <c r="H518" t="s">
        <v>48</v>
      </c>
      <c r="I518" t="s">
        <v>14</v>
      </c>
      <c r="J518" t="s">
        <v>672</v>
      </c>
      <c r="L518">
        <f t="shared" si="33"/>
        <v>202001</v>
      </c>
      <c r="M518">
        <f t="shared" si="34"/>
        <v>1</v>
      </c>
      <c r="N518">
        <f t="shared" si="35"/>
        <v>2020</v>
      </c>
      <c r="O518" t="str">
        <f>VLOOKUP(M518,month_lookup!A:B,2,FALSE)</f>
        <v>Jan</v>
      </c>
      <c r="P518">
        <f t="shared" si="32"/>
        <v>33724.53</v>
      </c>
    </row>
    <row r="519" spans="1:16" x14ac:dyDescent="0.25">
      <c r="A519" t="s">
        <v>172</v>
      </c>
      <c r="B519" s="1">
        <v>36070.76</v>
      </c>
      <c r="C519">
        <v>29339.96</v>
      </c>
      <c r="D519" s="2">
        <v>43602</v>
      </c>
      <c r="E519" t="s">
        <v>138</v>
      </c>
      <c r="F519" t="s">
        <v>113</v>
      </c>
      <c r="G519" t="s">
        <v>174</v>
      </c>
      <c r="H519" t="s">
        <v>175</v>
      </c>
      <c r="I519" t="s">
        <v>14</v>
      </c>
      <c r="J519" t="s">
        <v>673</v>
      </c>
      <c r="L519">
        <f t="shared" si="33"/>
        <v>201905</v>
      </c>
      <c r="M519">
        <f t="shared" si="34"/>
        <v>5</v>
      </c>
      <c r="N519">
        <f t="shared" si="35"/>
        <v>2019</v>
      </c>
      <c r="O519" t="str">
        <f>VLOOKUP(M519,month_lookup!A:B,2,FALSE)</f>
        <v>May</v>
      </c>
      <c r="P519">
        <f t="shared" ref="P519:P582" si="36">IF(N519=2020,B519,-B519)</f>
        <v>-36070.76</v>
      </c>
    </row>
    <row r="520" spans="1:16" x14ac:dyDescent="0.25">
      <c r="A520" t="s">
        <v>9</v>
      </c>
      <c r="B520" s="1">
        <v>39457.339999999997</v>
      </c>
      <c r="C520">
        <v>32793</v>
      </c>
      <c r="D520" s="2">
        <v>44124</v>
      </c>
      <c r="E520" t="s">
        <v>29</v>
      </c>
      <c r="F520" t="s">
        <v>281</v>
      </c>
      <c r="G520" t="s">
        <v>12</v>
      </c>
      <c r="H520" t="s">
        <v>68</v>
      </c>
      <c r="I520" t="s">
        <v>27</v>
      </c>
      <c r="J520" t="s">
        <v>674</v>
      </c>
      <c r="L520">
        <f t="shared" si="33"/>
        <v>202010</v>
      </c>
      <c r="M520">
        <f t="shared" si="34"/>
        <v>10</v>
      </c>
      <c r="N520">
        <f t="shared" si="35"/>
        <v>2020</v>
      </c>
      <c r="O520" t="str">
        <f>VLOOKUP(M520,month_lookup!A:B,2,FALSE)</f>
        <v>Oct</v>
      </c>
      <c r="P520">
        <f t="shared" si="36"/>
        <v>39457.339999999997</v>
      </c>
    </row>
    <row r="521" spans="1:16" x14ac:dyDescent="0.25">
      <c r="A521" t="s">
        <v>137</v>
      </c>
      <c r="B521" s="1">
        <v>38536.92</v>
      </c>
      <c r="C521">
        <v>32001.06</v>
      </c>
      <c r="D521" s="2">
        <v>43979</v>
      </c>
      <c r="E521" t="s">
        <v>10</v>
      </c>
      <c r="F521" t="s">
        <v>149</v>
      </c>
      <c r="G521" t="s">
        <v>139</v>
      </c>
      <c r="H521" t="s">
        <v>140</v>
      </c>
      <c r="I521" t="s">
        <v>14</v>
      </c>
      <c r="J521" t="s">
        <v>675</v>
      </c>
      <c r="L521">
        <f t="shared" si="33"/>
        <v>202005</v>
      </c>
      <c r="M521">
        <f t="shared" si="34"/>
        <v>5</v>
      </c>
      <c r="N521">
        <f t="shared" si="35"/>
        <v>2020</v>
      </c>
      <c r="O521" t="str">
        <f>VLOOKUP(M521,month_lookup!A:B,2,FALSE)</f>
        <v>May</v>
      </c>
      <c r="P521">
        <f t="shared" si="36"/>
        <v>38536.92</v>
      </c>
    </row>
    <row r="522" spans="1:16" x14ac:dyDescent="0.25">
      <c r="A522" t="s">
        <v>52</v>
      </c>
      <c r="B522" s="1">
        <v>173829.96</v>
      </c>
      <c r="C522">
        <v>149824.04</v>
      </c>
      <c r="D522" s="2">
        <v>43731</v>
      </c>
      <c r="E522" t="s">
        <v>29</v>
      </c>
      <c r="F522" t="s">
        <v>120</v>
      </c>
      <c r="G522" t="s">
        <v>54</v>
      </c>
      <c r="H522" t="s">
        <v>71</v>
      </c>
      <c r="I522" t="s">
        <v>27</v>
      </c>
      <c r="J522" t="s">
        <v>676</v>
      </c>
      <c r="L522">
        <f t="shared" si="33"/>
        <v>201909</v>
      </c>
      <c r="M522">
        <f t="shared" si="34"/>
        <v>9</v>
      </c>
      <c r="N522">
        <f t="shared" si="35"/>
        <v>2019</v>
      </c>
      <c r="O522" t="str">
        <f>VLOOKUP(M522,month_lookup!A:B,2,FALSE)</f>
        <v>Sep</v>
      </c>
      <c r="P522">
        <f t="shared" si="36"/>
        <v>-173829.96</v>
      </c>
    </row>
    <row r="523" spans="1:16" x14ac:dyDescent="0.25">
      <c r="A523" t="s">
        <v>22</v>
      </c>
      <c r="B523" s="1">
        <v>37521.39</v>
      </c>
      <c r="C523">
        <v>29701.93</v>
      </c>
      <c r="D523" s="2">
        <v>43848</v>
      </c>
      <c r="E523" t="s">
        <v>29</v>
      </c>
      <c r="F523" t="s">
        <v>113</v>
      </c>
      <c r="G523" t="s">
        <v>25</v>
      </c>
      <c r="H523" t="s">
        <v>89</v>
      </c>
      <c r="I523" t="s">
        <v>27</v>
      </c>
      <c r="J523" t="s">
        <v>677</v>
      </c>
      <c r="L523">
        <f t="shared" si="33"/>
        <v>202001</v>
      </c>
      <c r="M523">
        <f t="shared" si="34"/>
        <v>1</v>
      </c>
      <c r="N523">
        <f t="shared" si="35"/>
        <v>2020</v>
      </c>
      <c r="O523" t="str">
        <f>VLOOKUP(M523,month_lookup!A:B,2,FALSE)</f>
        <v>Jan</v>
      </c>
      <c r="P523">
        <f t="shared" si="36"/>
        <v>37521.39</v>
      </c>
    </row>
    <row r="524" spans="1:16" x14ac:dyDescent="0.25">
      <c r="A524" t="s">
        <v>22</v>
      </c>
      <c r="B524" s="1">
        <v>119409.43</v>
      </c>
      <c r="C524">
        <v>102656.29</v>
      </c>
      <c r="D524" s="2">
        <v>43641</v>
      </c>
      <c r="E524" t="s">
        <v>79</v>
      </c>
      <c r="F524" t="s">
        <v>149</v>
      </c>
      <c r="G524" t="s">
        <v>25</v>
      </c>
      <c r="H524" t="s">
        <v>89</v>
      </c>
      <c r="I524" t="s">
        <v>27</v>
      </c>
      <c r="J524" t="s">
        <v>678</v>
      </c>
      <c r="L524">
        <f t="shared" si="33"/>
        <v>201906</v>
      </c>
      <c r="M524">
        <f t="shared" si="34"/>
        <v>6</v>
      </c>
      <c r="N524">
        <f t="shared" si="35"/>
        <v>2019</v>
      </c>
      <c r="O524" t="str">
        <f>VLOOKUP(M524,month_lookup!A:B,2,FALSE)</f>
        <v>Jun</v>
      </c>
      <c r="P524">
        <f t="shared" si="36"/>
        <v>-119409.43</v>
      </c>
    </row>
    <row r="525" spans="1:16" x14ac:dyDescent="0.25">
      <c r="A525" t="s">
        <v>345</v>
      </c>
      <c r="B525" s="1">
        <v>248261.86</v>
      </c>
      <c r="C525">
        <v>206727.65</v>
      </c>
      <c r="D525" s="2">
        <v>43821</v>
      </c>
      <c r="E525" t="s">
        <v>59</v>
      </c>
      <c r="F525" t="s">
        <v>445</v>
      </c>
      <c r="G525" t="s">
        <v>346</v>
      </c>
      <c r="H525" t="s">
        <v>347</v>
      </c>
      <c r="I525" t="s">
        <v>27</v>
      </c>
      <c r="J525" t="s">
        <v>679</v>
      </c>
      <c r="L525">
        <f t="shared" si="33"/>
        <v>201912</v>
      </c>
      <c r="M525">
        <f t="shared" si="34"/>
        <v>12</v>
      </c>
      <c r="N525">
        <f t="shared" si="35"/>
        <v>2019</v>
      </c>
      <c r="O525" t="str">
        <f>VLOOKUP(M525,month_lookup!A:B,2,FALSE)</f>
        <v>Dec</v>
      </c>
      <c r="P525">
        <f t="shared" si="36"/>
        <v>-248261.86</v>
      </c>
    </row>
    <row r="526" spans="1:16" x14ac:dyDescent="0.25">
      <c r="A526" t="s">
        <v>44</v>
      </c>
      <c r="B526" s="1">
        <v>96669.92</v>
      </c>
      <c r="C526">
        <v>76475.570000000007</v>
      </c>
      <c r="D526" s="2">
        <v>44192</v>
      </c>
      <c r="E526" t="s">
        <v>50</v>
      </c>
      <c r="F526" t="s">
        <v>34</v>
      </c>
      <c r="G526" t="s">
        <v>47</v>
      </c>
      <c r="H526" t="s">
        <v>48</v>
      </c>
      <c r="I526" t="s">
        <v>14</v>
      </c>
      <c r="J526" t="s">
        <v>680</v>
      </c>
      <c r="L526">
        <f t="shared" si="33"/>
        <v>202012</v>
      </c>
      <c r="M526">
        <f t="shared" si="34"/>
        <v>12</v>
      </c>
      <c r="N526">
        <f t="shared" si="35"/>
        <v>2020</v>
      </c>
      <c r="O526" t="str">
        <f>VLOOKUP(M526,month_lookup!A:B,2,FALSE)</f>
        <v>Dec</v>
      </c>
      <c r="P526">
        <f t="shared" si="36"/>
        <v>96669.92</v>
      </c>
    </row>
    <row r="527" spans="1:16" x14ac:dyDescent="0.25">
      <c r="A527" t="s">
        <v>52</v>
      </c>
      <c r="B527" s="1">
        <v>264149.90999999997</v>
      </c>
      <c r="C527">
        <v>208757.67</v>
      </c>
      <c r="D527" s="2">
        <v>44185</v>
      </c>
      <c r="E527" t="s">
        <v>59</v>
      </c>
      <c r="F527" t="s">
        <v>131</v>
      </c>
      <c r="G527" t="s">
        <v>54</v>
      </c>
      <c r="H527" t="s">
        <v>143</v>
      </c>
      <c r="I527" t="s">
        <v>27</v>
      </c>
      <c r="J527" t="s">
        <v>681</v>
      </c>
      <c r="L527">
        <f t="shared" si="33"/>
        <v>202012</v>
      </c>
      <c r="M527">
        <f t="shared" si="34"/>
        <v>12</v>
      </c>
      <c r="N527">
        <f t="shared" si="35"/>
        <v>2020</v>
      </c>
      <c r="O527" t="str">
        <f>VLOOKUP(M527,month_lookup!A:B,2,FALSE)</f>
        <v>Dec</v>
      </c>
      <c r="P527">
        <f t="shared" si="36"/>
        <v>264149.90999999997</v>
      </c>
    </row>
    <row r="528" spans="1:16" x14ac:dyDescent="0.25">
      <c r="A528" t="s">
        <v>22</v>
      </c>
      <c r="B528" s="1">
        <v>216863.04</v>
      </c>
      <c r="C528">
        <v>175355.45</v>
      </c>
      <c r="D528" s="2">
        <v>43670</v>
      </c>
      <c r="E528" t="s">
        <v>29</v>
      </c>
      <c r="F528" t="s">
        <v>209</v>
      </c>
      <c r="G528" t="s">
        <v>25</v>
      </c>
      <c r="H528" t="s">
        <v>75</v>
      </c>
      <c r="I528" t="s">
        <v>37</v>
      </c>
      <c r="J528" t="s">
        <v>682</v>
      </c>
      <c r="L528">
        <f t="shared" si="33"/>
        <v>201907</v>
      </c>
      <c r="M528">
        <f t="shared" si="34"/>
        <v>7</v>
      </c>
      <c r="N528">
        <f t="shared" si="35"/>
        <v>2019</v>
      </c>
      <c r="O528" t="str">
        <f>VLOOKUP(M528,month_lookup!A:B,2,FALSE)</f>
        <v>Jul</v>
      </c>
      <c r="P528">
        <f t="shared" si="36"/>
        <v>-216863.04</v>
      </c>
    </row>
    <row r="529" spans="1:16" x14ac:dyDescent="0.25">
      <c r="A529" t="s">
        <v>52</v>
      </c>
      <c r="B529" s="1">
        <v>140943.88</v>
      </c>
      <c r="C529">
        <v>120633.87</v>
      </c>
      <c r="D529" s="2">
        <v>43979</v>
      </c>
      <c r="E529" t="s">
        <v>50</v>
      </c>
      <c r="F529" t="s">
        <v>96</v>
      </c>
      <c r="G529" t="s">
        <v>54</v>
      </c>
      <c r="H529" t="s">
        <v>143</v>
      </c>
      <c r="I529" t="s">
        <v>37</v>
      </c>
      <c r="J529" t="s">
        <v>683</v>
      </c>
      <c r="L529">
        <f t="shared" si="33"/>
        <v>202005</v>
      </c>
      <c r="M529">
        <f t="shared" si="34"/>
        <v>5</v>
      </c>
      <c r="N529">
        <f t="shared" si="35"/>
        <v>2020</v>
      </c>
      <c r="O529" t="str">
        <f>VLOOKUP(M529,month_lookup!A:B,2,FALSE)</f>
        <v>May</v>
      </c>
      <c r="P529">
        <f t="shared" si="36"/>
        <v>140943.88</v>
      </c>
    </row>
    <row r="530" spans="1:16" x14ac:dyDescent="0.25">
      <c r="A530" t="s">
        <v>105</v>
      </c>
      <c r="B530" s="1">
        <v>82525.61</v>
      </c>
      <c r="C530">
        <v>68446.740000000005</v>
      </c>
      <c r="D530" s="2">
        <v>43525</v>
      </c>
      <c r="E530" t="s">
        <v>23</v>
      </c>
      <c r="F530" t="s">
        <v>34</v>
      </c>
      <c r="G530" t="s">
        <v>106</v>
      </c>
      <c r="H530" t="s">
        <v>107</v>
      </c>
      <c r="I530" t="s">
        <v>27</v>
      </c>
      <c r="J530" t="s">
        <v>684</v>
      </c>
      <c r="L530">
        <f t="shared" si="33"/>
        <v>201903</v>
      </c>
      <c r="M530">
        <f t="shared" si="34"/>
        <v>3</v>
      </c>
      <c r="N530">
        <f t="shared" si="35"/>
        <v>2019</v>
      </c>
      <c r="O530" t="str">
        <f>VLOOKUP(M530,month_lookup!A:B,2,FALSE)</f>
        <v>Mar</v>
      </c>
      <c r="P530">
        <f t="shared" si="36"/>
        <v>-82525.61</v>
      </c>
    </row>
    <row r="531" spans="1:16" x14ac:dyDescent="0.25">
      <c r="A531" t="s">
        <v>22</v>
      </c>
      <c r="B531" s="1">
        <v>19622.59</v>
      </c>
      <c r="C531">
        <v>17148.18</v>
      </c>
      <c r="D531" s="2">
        <v>43896</v>
      </c>
      <c r="E531" t="s">
        <v>23</v>
      </c>
      <c r="F531" t="s">
        <v>145</v>
      </c>
      <c r="G531" t="s">
        <v>25</v>
      </c>
      <c r="H531" t="s">
        <v>31</v>
      </c>
      <c r="I531" t="s">
        <v>27</v>
      </c>
      <c r="J531" t="s">
        <v>685</v>
      </c>
      <c r="L531">
        <f t="shared" si="33"/>
        <v>202003</v>
      </c>
      <c r="M531">
        <f t="shared" si="34"/>
        <v>3</v>
      </c>
      <c r="N531">
        <f t="shared" si="35"/>
        <v>2020</v>
      </c>
      <c r="O531" t="str">
        <f>VLOOKUP(M531,month_lookup!A:B,2,FALSE)</f>
        <v>Mar</v>
      </c>
      <c r="P531">
        <f t="shared" si="36"/>
        <v>19622.59</v>
      </c>
    </row>
    <row r="532" spans="1:16" x14ac:dyDescent="0.25">
      <c r="A532" t="s">
        <v>9</v>
      </c>
      <c r="B532" s="1">
        <v>263713.12</v>
      </c>
      <c r="C532">
        <v>216165.64</v>
      </c>
      <c r="D532" s="2">
        <v>44012</v>
      </c>
      <c r="E532" t="s">
        <v>79</v>
      </c>
      <c r="F532" t="s">
        <v>131</v>
      </c>
      <c r="G532" t="s">
        <v>12</v>
      </c>
      <c r="H532" t="s">
        <v>169</v>
      </c>
      <c r="I532" t="s">
        <v>27</v>
      </c>
      <c r="J532" t="s">
        <v>686</v>
      </c>
      <c r="L532">
        <f t="shared" si="33"/>
        <v>202006</v>
      </c>
      <c r="M532">
        <f t="shared" si="34"/>
        <v>6</v>
      </c>
      <c r="N532">
        <f t="shared" si="35"/>
        <v>2020</v>
      </c>
      <c r="O532" t="str">
        <f>VLOOKUP(M532,month_lookup!A:B,2,FALSE)</f>
        <v>Jun</v>
      </c>
      <c r="P532">
        <f t="shared" si="36"/>
        <v>263713.12</v>
      </c>
    </row>
    <row r="533" spans="1:16" x14ac:dyDescent="0.25">
      <c r="A533" t="s">
        <v>22</v>
      </c>
      <c r="B533" s="1">
        <v>284298.56</v>
      </c>
      <c r="C533">
        <v>229656.38</v>
      </c>
      <c r="D533" s="2">
        <v>44015</v>
      </c>
      <c r="E533" t="s">
        <v>23</v>
      </c>
      <c r="F533" t="s">
        <v>326</v>
      </c>
      <c r="G533" t="s">
        <v>25</v>
      </c>
      <c r="H533" t="s">
        <v>75</v>
      </c>
      <c r="I533" t="s">
        <v>27</v>
      </c>
      <c r="J533" t="s">
        <v>687</v>
      </c>
      <c r="L533">
        <f t="shared" si="33"/>
        <v>202007</v>
      </c>
      <c r="M533">
        <f t="shared" si="34"/>
        <v>7</v>
      </c>
      <c r="N533">
        <f t="shared" si="35"/>
        <v>2020</v>
      </c>
      <c r="O533" t="str">
        <f>VLOOKUP(M533,month_lookup!A:B,2,FALSE)</f>
        <v>Jul</v>
      </c>
      <c r="P533">
        <f t="shared" si="36"/>
        <v>284298.56</v>
      </c>
    </row>
    <row r="534" spans="1:16" x14ac:dyDescent="0.25">
      <c r="A534" t="s">
        <v>9</v>
      </c>
      <c r="B534" s="1">
        <v>98320.37</v>
      </c>
      <c r="C534">
        <v>77722.25</v>
      </c>
      <c r="D534" s="2">
        <v>44066</v>
      </c>
      <c r="E534" t="s">
        <v>17</v>
      </c>
      <c r="F534" t="s">
        <v>310</v>
      </c>
      <c r="G534" t="s">
        <v>12</v>
      </c>
      <c r="H534" t="s">
        <v>169</v>
      </c>
      <c r="I534" t="s">
        <v>37</v>
      </c>
      <c r="J534" t="s">
        <v>688</v>
      </c>
      <c r="L534">
        <f t="shared" si="33"/>
        <v>202008</v>
      </c>
      <c r="M534">
        <f t="shared" si="34"/>
        <v>8</v>
      </c>
      <c r="N534">
        <f t="shared" si="35"/>
        <v>2020</v>
      </c>
      <c r="O534" t="str">
        <f>VLOOKUP(M534,month_lookup!A:B,2,FALSE)</f>
        <v>Aug</v>
      </c>
      <c r="P534">
        <f t="shared" si="36"/>
        <v>98320.37</v>
      </c>
    </row>
    <row r="535" spans="1:16" x14ac:dyDescent="0.25">
      <c r="A535" t="s">
        <v>44</v>
      </c>
      <c r="B535" s="1">
        <v>128112.26</v>
      </c>
      <c r="C535">
        <v>104975.19</v>
      </c>
      <c r="D535" s="2">
        <v>44174</v>
      </c>
      <c r="E535" t="s">
        <v>10</v>
      </c>
      <c r="F535" t="s">
        <v>30</v>
      </c>
      <c r="G535" t="s">
        <v>47</v>
      </c>
      <c r="H535" t="s">
        <v>73</v>
      </c>
      <c r="I535" t="s">
        <v>27</v>
      </c>
      <c r="J535" t="s">
        <v>689</v>
      </c>
      <c r="L535">
        <f t="shared" si="33"/>
        <v>202012</v>
      </c>
      <c r="M535">
        <f t="shared" si="34"/>
        <v>12</v>
      </c>
      <c r="N535">
        <f t="shared" si="35"/>
        <v>2020</v>
      </c>
      <c r="O535" t="str">
        <f>VLOOKUP(M535,month_lookup!A:B,2,FALSE)</f>
        <v>Dec</v>
      </c>
      <c r="P535">
        <f t="shared" si="36"/>
        <v>128112.26</v>
      </c>
    </row>
    <row r="536" spans="1:16" x14ac:dyDescent="0.25">
      <c r="A536" t="s">
        <v>52</v>
      </c>
      <c r="B536" s="1">
        <v>110878.97</v>
      </c>
      <c r="C536">
        <v>90588.12</v>
      </c>
      <c r="D536" s="2">
        <v>43867</v>
      </c>
      <c r="E536" t="s">
        <v>50</v>
      </c>
      <c r="F536" t="s">
        <v>310</v>
      </c>
      <c r="G536" t="s">
        <v>54</v>
      </c>
      <c r="H536" t="s">
        <v>71</v>
      </c>
      <c r="I536" t="s">
        <v>27</v>
      </c>
      <c r="J536" t="s">
        <v>690</v>
      </c>
      <c r="L536">
        <f t="shared" si="33"/>
        <v>202002</v>
      </c>
      <c r="M536">
        <f t="shared" si="34"/>
        <v>2</v>
      </c>
      <c r="N536">
        <f t="shared" si="35"/>
        <v>2020</v>
      </c>
      <c r="O536" t="str">
        <f>VLOOKUP(M536,month_lookup!A:B,2,FALSE)</f>
        <v>Feb</v>
      </c>
      <c r="P536">
        <f t="shared" si="36"/>
        <v>110878.97</v>
      </c>
    </row>
    <row r="537" spans="1:16" x14ac:dyDescent="0.25">
      <c r="A537" t="s">
        <v>9</v>
      </c>
      <c r="B537" s="1">
        <v>66225.710000000006</v>
      </c>
      <c r="C537">
        <v>52437.52</v>
      </c>
      <c r="D537" s="2">
        <v>44079</v>
      </c>
      <c r="E537" t="s">
        <v>10</v>
      </c>
      <c r="F537" t="s">
        <v>24</v>
      </c>
      <c r="G537" t="s">
        <v>12</v>
      </c>
      <c r="H537" t="s">
        <v>81</v>
      </c>
      <c r="I537" t="s">
        <v>27</v>
      </c>
      <c r="J537" t="s">
        <v>691</v>
      </c>
      <c r="L537">
        <f t="shared" si="33"/>
        <v>202009</v>
      </c>
      <c r="M537">
        <f t="shared" si="34"/>
        <v>9</v>
      </c>
      <c r="N537">
        <f t="shared" si="35"/>
        <v>2020</v>
      </c>
      <c r="O537" t="str">
        <f>VLOOKUP(M537,month_lookup!A:B,2,FALSE)</f>
        <v>Sep</v>
      </c>
      <c r="P537">
        <f t="shared" si="36"/>
        <v>66225.710000000006</v>
      </c>
    </row>
    <row r="538" spans="1:16" x14ac:dyDescent="0.25">
      <c r="A538" t="s">
        <v>44</v>
      </c>
      <c r="B538" s="1">
        <v>73727.91</v>
      </c>
      <c r="C538">
        <v>64047.44</v>
      </c>
      <c r="D538" s="2">
        <v>44115</v>
      </c>
      <c r="E538" t="s">
        <v>10</v>
      </c>
      <c r="F538" t="s">
        <v>301</v>
      </c>
      <c r="G538" t="s">
        <v>47</v>
      </c>
      <c r="H538" t="s">
        <v>48</v>
      </c>
      <c r="I538" t="s">
        <v>27</v>
      </c>
      <c r="J538" t="s">
        <v>692</v>
      </c>
      <c r="L538">
        <f t="shared" si="33"/>
        <v>202010</v>
      </c>
      <c r="M538">
        <f t="shared" si="34"/>
        <v>10</v>
      </c>
      <c r="N538">
        <f t="shared" si="35"/>
        <v>2020</v>
      </c>
      <c r="O538" t="str">
        <f>VLOOKUP(M538,month_lookup!A:B,2,FALSE)</f>
        <v>Oct</v>
      </c>
      <c r="P538">
        <f t="shared" si="36"/>
        <v>73727.91</v>
      </c>
    </row>
    <row r="539" spans="1:16" x14ac:dyDescent="0.25">
      <c r="A539" t="s">
        <v>345</v>
      </c>
      <c r="B539" s="1">
        <v>22164.959999999999</v>
      </c>
      <c r="C539">
        <v>17938.099999999999</v>
      </c>
      <c r="D539" s="2">
        <v>43538</v>
      </c>
      <c r="E539" t="s">
        <v>10</v>
      </c>
      <c r="F539" t="s">
        <v>605</v>
      </c>
      <c r="G539" t="s">
        <v>346</v>
      </c>
      <c r="H539" t="s">
        <v>347</v>
      </c>
      <c r="I539" t="s">
        <v>27</v>
      </c>
      <c r="J539" t="s">
        <v>693</v>
      </c>
      <c r="L539">
        <f t="shared" si="33"/>
        <v>201903</v>
      </c>
      <c r="M539">
        <f t="shared" si="34"/>
        <v>3</v>
      </c>
      <c r="N539">
        <f t="shared" si="35"/>
        <v>2019</v>
      </c>
      <c r="O539" t="str">
        <f>VLOOKUP(M539,month_lookup!A:B,2,FALSE)</f>
        <v>Mar</v>
      </c>
      <c r="P539">
        <f t="shared" si="36"/>
        <v>-22164.959999999999</v>
      </c>
    </row>
    <row r="540" spans="1:16" x14ac:dyDescent="0.25">
      <c r="A540" t="s">
        <v>52</v>
      </c>
      <c r="B540" s="1">
        <v>151855.04000000001</v>
      </c>
      <c r="C540">
        <v>129486.79</v>
      </c>
      <c r="D540" s="2">
        <v>43481</v>
      </c>
      <c r="E540" t="s">
        <v>79</v>
      </c>
      <c r="F540" t="s">
        <v>109</v>
      </c>
      <c r="G540" t="s">
        <v>54</v>
      </c>
      <c r="H540" t="s">
        <v>71</v>
      </c>
      <c r="I540" t="s">
        <v>27</v>
      </c>
      <c r="J540" t="s">
        <v>694</v>
      </c>
      <c r="L540">
        <f t="shared" si="33"/>
        <v>201901</v>
      </c>
      <c r="M540">
        <f t="shared" si="34"/>
        <v>1</v>
      </c>
      <c r="N540">
        <f t="shared" si="35"/>
        <v>2019</v>
      </c>
      <c r="O540" t="str">
        <f>VLOOKUP(M540,month_lookup!A:B,2,FALSE)</f>
        <v>Jan</v>
      </c>
      <c r="P540">
        <f t="shared" si="36"/>
        <v>-151855.04000000001</v>
      </c>
    </row>
    <row r="541" spans="1:16" x14ac:dyDescent="0.25">
      <c r="A541" t="s">
        <v>16</v>
      </c>
      <c r="B541" s="1">
        <v>106115.85</v>
      </c>
      <c r="C541">
        <v>93063.6</v>
      </c>
      <c r="D541" s="2">
        <v>43876</v>
      </c>
      <c r="E541" t="s">
        <v>79</v>
      </c>
      <c r="F541" t="s">
        <v>34</v>
      </c>
      <c r="G541" t="s">
        <v>19</v>
      </c>
      <c r="H541" t="s">
        <v>352</v>
      </c>
      <c r="I541" t="s">
        <v>37</v>
      </c>
      <c r="J541" t="s">
        <v>695</v>
      </c>
      <c r="L541">
        <f t="shared" si="33"/>
        <v>202002</v>
      </c>
      <c r="M541">
        <f t="shared" si="34"/>
        <v>2</v>
      </c>
      <c r="N541">
        <f t="shared" si="35"/>
        <v>2020</v>
      </c>
      <c r="O541" t="str">
        <f>VLOOKUP(M541,month_lookup!A:B,2,FALSE)</f>
        <v>Feb</v>
      </c>
      <c r="P541">
        <f t="shared" si="36"/>
        <v>106115.85</v>
      </c>
    </row>
    <row r="542" spans="1:16" x14ac:dyDescent="0.25">
      <c r="A542" t="s">
        <v>52</v>
      </c>
      <c r="B542" s="1">
        <v>89369</v>
      </c>
      <c r="C542">
        <v>72889.36</v>
      </c>
      <c r="D542" s="2">
        <v>43832</v>
      </c>
      <c r="E542" t="s">
        <v>59</v>
      </c>
      <c r="F542" t="s">
        <v>57</v>
      </c>
      <c r="G542" t="s">
        <v>54</v>
      </c>
      <c r="H542" t="s">
        <v>132</v>
      </c>
      <c r="I542" t="s">
        <v>27</v>
      </c>
      <c r="J542" t="s">
        <v>696</v>
      </c>
      <c r="L542">
        <f t="shared" si="33"/>
        <v>202001</v>
      </c>
      <c r="M542">
        <f t="shared" si="34"/>
        <v>1</v>
      </c>
      <c r="N542">
        <f t="shared" si="35"/>
        <v>2020</v>
      </c>
      <c r="O542" t="str">
        <f>VLOOKUP(M542,month_lookup!A:B,2,FALSE)</f>
        <v>Jan</v>
      </c>
      <c r="P542">
        <f t="shared" si="36"/>
        <v>89369</v>
      </c>
    </row>
    <row r="543" spans="1:16" x14ac:dyDescent="0.25">
      <c r="A543" t="s">
        <v>9</v>
      </c>
      <c r="B543" s="1">
        <v>106076.67</v>
      </c>
      <c r="C543">
        <v>84765.87</v>
      </c>
      <c r="D543" s="2">
        <v>43748</v>
      </c>
      <c r="E543" t="s">
        <v>79</v>
      </c>
      <c r="F543" t="s">
        <v>301</v>
      </c>
      <c r="G543" t="s">
        <v>12</v>
      </c>
      <c r="H543" t="s">
        <v>13</v>
      </c>
      <c r="I543" t="s">
        <v>14</v>
      </c>
      <c r="J543" t="s">
        <v>697</v>
      </c>
      <c r="L543">
        <f t="shared" si="33"/>
        <v>201910</v>
      </c>
      <c r="M543">
        <f t="shared" si="34"/>
        <v>10</v>
      </c>
      <c r="N543">
        <f t="shared" si="35"/>
        <v>2019</v>
      </c>
      <c r="O543" t="str">
        <f>VLOOKUP(M543,month_lookup!A:B,2,FALSE)</f>
        <v>Oct</v>
      </c>
      <c r="P543">
        <f t="shared" si="36"/>
        <v>-106076.67</v>
      </c>
    </row>
    <row r="544" spans="1:16" x14ac:dyDescent="0.25">
      <c r="A544" t="s">
        <v>83</v>
      </c>
      <c r="B544" s="1">
        <v>23290.84</v>
      </c>
      <c r="C544">
        <v>19147.400000000001</v>
      </c>
      <c r="D544" s="2">
        <v>43521</v>
      </c>
      <c r="E544" t="s">
        <v>79</v>
      </c>
      <c r="F544" t="s">
        <v>310</v>
      </c>
      <c r="G544" t="s">
        <v>84</v>
      </c>
      <c r="H544" t="s">
        <v>85</v>
      </c>
      <c r="I544" t="s">
        <v>27</v>
      </c>
      <c r="J544" t="s">
        <v>698</v>
      </c>
      <c r="L544">
        <f t="shared" si="33"/>
        <v>201902</v>
      </c>
      <c r="M544">
        <f t="shared" si="34"/>
        <v>2</v>
      </c>
      <c r="N544">
        <f t="shared" si="35"/>
        <v>2019</v>
      </c>
      <c r="O544" t="str">
        <f>VLOOKUP(M544,month_lookup!A:B,2,FALSE)</f>
        <v>Feb</v>
      </c>
      <c r="P544">
        <f t="shared" si="36"/>
        <v>-23290.84</v>
      </c>
    </row>
    <row r="545" spans="1:16" x14ac:dyDescent="0.25">
      <c r="A545" t="s">
        <v>52</v>
      </c>
      <c r="B545" s="1">
        <v>83340.039999999994</v>
      </c>
      <c r="C545">
        <v>73264.23</v>
      </c>
      <c r="D545" s="2">
        <v>43969</v>
      </c>
      <c r="E545" t="s">
        <v>23</v>
      </c>
      <c r="F545" t="s">
        <v>34</v>
      </c>
      <c r="G545" t="s">
        <v>54</v>
      </c>
      <c r="H545" t="s">
        <v>71</v>
      </c>
      <c r="I545" t="s">
        <v>27</v>
      </c>
      <c r="J545" t="s">
        <v>699</v>
      </c>
      <c r="L545">
        <f t="shared" si="33"/>
        <v>202005</v>
      </c>
      <c r="M545">
        <f t="shared" si="34"/>
        <v>5</v>
      </c>
      <c r="N545">
        <f t="shared" si="35"/>
        <v>2020</v>
      </c>
      <c r="O545" t="str">
        <f>VLOOKUP(M545,month_lookup!A:B,2,FALSE)</f>
        <v>May</v>
      </c>
      <c r="P545">
        <f t="shared" si="36"/>
        <v>83340.039999999994</v>
      </c>
    </row>
    <row r="546" spans="1:16" x14ac:dyDescent="0.25">
      <c r="A546" t="s">
        <v>345</v>
      </c>
      <c r="B546" s="1">
        <v>39287.29</v>
      </c>
      <c r="C546">
        <v>31708.77</v>
      </c>
      <c r="D546" s="2">
        <v>43539</v>
      </c>
      <c r="E546" t="s">
        <v>17</v>
      </c>
      <c r="F546" t="s">
        <v>67</v>
      </c>
      <c r="G546" t="s">
        <v>346</v>
      </c>
      <c r="H546" t="s">
        <v>700</v>
      </c>
      <c r="I546" t="s">
        <v>27</v>
      </c>
      <c r="J546" t="s">
        <v>701</v>
      </c>
      <c r="L546">
        <f t="shared" si="33"/>
        <v>201903</v>
      </c>
      <c r="M546">
        <f t="shared" si="34"/>
        <v>3</v>
      </c>
      <c r="N546">
        <f t="shared" si="35"/>
        <v>2019</v>
      </c>
      <c r="O546" t="str">
        <f>VLOOKUP(M546,month_lookup!A:B,2,FALSE)</f>
        <v>Mar</v>
      </c>
      <c r="P546">
        <f t="shared" si="36"/>
        <v>-39287.29</v>
      </c>
    </row>
    <row r="547" spans="1:16" x14ac:dyDescent="0.25">
      <c r="A547" t="s">
        <v>100</v>
      </c>
      <c r="B547" s="1">
        <v>124611.61</v>
      </c>
      <c r="C547">
        <v>107776.58</v>
      </c>
      <c r="D547" s="2">
        <v>44093</v>
      </c>
      <c r="E547" t="s">
        <v>79</v>
      </c>
      <c r="F547" t="s">
        <v>125</v>
      </c>
      <c r="G547" t="s">
        <v>102</v>
      </c>
      <c r="H547" t="s">
        <v>103</v>
      </c>
      <c r="I547" t="s">
        <v>27</v>
      </c>
      <c r="J547" t="s">
        <v>702</v>
      </c>
      <c r="L547">
        <f t="shared" si="33"/>
        <v>202009</v>
      </c>
      <c r="M547">
        <f t="shared" si="34"/>
        <v>9</v>
      </c>
      <c r="N547">
        <f t="shared" si="35"/>
        <v>2020</v>
      </c>
      <c r="O547" t="str">
        <f>VLOOKUP(M547,month_lookup!A:B,2,FALSE)</f>
        <v>Sep</v>
      </c>
      <c r="P547">
        <f t="shared" si="36"/>
        <v>124611.61</v>
      </c>
    </row>
    <row r="548" spans="1:16" x14ac:dyDescent="0.25">
      <c r="A548" t="s">
        <v>52</v>
      </c>
      <c r="B548" s="1">
        <v>147055.1</v>
      </c>
      <c r="C548">
        <v>126114.45</v>
      </c>
      <c r="D548" s="2">
        <v>43570</v>
      </c>
      <c r="E548" t="s">
        <v>17</v>
      </c>
      <c r="F548" t="s">
        <v>113</v>
      </c>
      <c r="G548" t="s">
        <v>54</v>
      </c>
      <c r="H548" t="s">
        <v>127</v>
      </c>
      <c r="I548" t="s">
        <v>27</v>
      </c>
      <c r="J548" t="s">
        <v>703</v>
      </c>
      <c r="L548">
        <f t="shared" si="33"/>
        <v>201904</v>
      </c>
      <c r="M548">
        <f t="shared" si="34"/>
        <v>4</v>
      </c>
      <c r="N548">
        <f t="shared" si="35"/>
        <v>2019</v>
      </c>
      <c r="O548" t="str">
        <f>VLOOKUP(M548,month_lookup!A:B,2,FALSE)</f>
        <v>Apr</v>
      </c>
      <c r="P548">
        <f t="shared" si="36"/>
        <v>-147055.1</v>
      </c>
    </row>
    <row r="549" spans="1:16" x14ac:dyDescent="0.25">
      <c r="A549" t="s">
        <v>172</v>
      </c>
      <c r="B549" s="1">
        <v>130242.41</v>
      </c>
      <c r="C549">
        <v>113050.41</v>
      </c>
      <c r="D549" s="2">
        <v>44195</v>
      </c>
      <c r="E549" t="s">
        <v>59</v>
      </c>
      <c r="F549" t="s">
        <v>34</v>
      </c>
      <c r="G549" t="s">
        <v>174</v>
      </c>
      <c r="H549" t="s">
        <v>211</v>
      </c>
      <c r="I549" t="s">
        <v>27</v>
      </c>
      <c r="J549" t="s">
        <v>704</v>
      </c>
      <c r="L549">
        <f t="shared" si="33"/>
        <v>202012</v>
      </c>
      <c r="M549">
        <f t="shared" si="34"/>
        <v>12</v>
      </c>
      <c r="N549">
        <f t="shared" si="35"/>
        <v>2020</v>
      </c>
      <c r="O549" t="str">
        <f>VLOOKUP(M549,month_lookup!A:B,2,FALSE)</f>
        <v>Dec</v>
      </c>
      <c r="P549">
        <f t="shared" si="36"/>
        <v>130242.41</v>
      </c>
    </row>
    <row r="550" spans="1:16" x14ac:dyDescent="0.25">
      <c r="A550" t="s">
        <v>52</v>
      </c>
      <c r="B550" s="1">
        <v>34771.79</v>
      </c>
      <c r="C550">
        <v>28509.39</v>
      </c>
      <c r="D550" s="2">
        <v>43909</v>
      </c>
      <c r="E550" t="s">
        <v>59</v>
      </c>
      <c r="F550" t="s">
        <v>70</v>
      </c>
      <c r="G550" t="s">
        <v>54</v>
      </c>
      <c r="H550" t="s">
        <v>55</v>
      </c>
      <c r="I550" t="s">
        <v>27</v>
      </c>
      <c r="J550" t="s">
        <v>705</v>
      </c>
      <c r="L550">
        <f t="shared" si="33"/>
        <v>202003</v>
      </c>
      <c r="M550">
        <f t="shared" si="34"/>
        <v>3</v>
      </c>
      <c r="N550">
        <f t="shared" si="35"/>
        <v>2020</v>
      </c>
      <c r="O550" t="str">
        <f>VLOOKUP(M550,month_lookup!A:B,2,FALSE)</f>
        <v>Mar</v>
      </c>
      <c r="P550">
        <f t="shared" si="36"/>
        <v>34771.79</v>
      </c>
    </row>
    <row r="551" spans="1:16" x14ac:dyDescent="0.25">
      <c r="A551" t="s">
        <v>22</v>
      </c>
      <c r="B551" s="1">
        <v>201573.23</v>
      </c>
      <c r="C551">
        <v>166116.5</v>
      </c>
      <c r="D551" s="2">
        <v>43804</v>
      </c>
      <c r="E551" t="s">
        <v>17</v>
      </c>
      <c r="F551" t="s">
        <v>706</v>
      </c>
      <c r="G551" t="s">
        <v>25</v>
      </c>
      <c r="H551" t="s">
        <v>75</v>
      </c>
      <c r="I551" t="s">
        <v>14</v>
      </c>
      <c r="J551" t="s">
        <v>707</v>
      </c>
      <c r="L551">
        <f t="shared" si="33"/>
        <v>201912</v>
      </c>
      <c r="M551">
        <f t="shared" si="34"/>
        <v>12</v>
      </c>
      <c r="N551">
        <f t="shared" si="35"/>
        <v>2019</v>
      </c>
      <c r="O551" t="str">
        <f>VLOOKUP(M551,month_lookup!A:B,2,FALSE)</f>
        <v>Dec</v>
      </c>
      <c r="P551">
        <f t="shared" si="36"/>
        <v>-201573.23</v>
      </c>
    </row>
    <row r="552" spans="1:16" x14ac:dyDescent="0.25">
      <c r="A552" t="s">
        <v>9</v>
      </c>
      <c r="B552" s="1">
        <v>71119.23</v>
      </c>
      <c r="C552">
        <v>59220.98</v>
      </c>
      <c r="D552" s="2">
        <v>43533</v>
      </c>
      <c r="E552" t="s">
        <v>10</v>
      </c>
      <c r="F552" t="s">
        <v>34</v>
      </c>
      <c r="G552" t="s">
        <v>12</v>
      </c>
      <c r="H552" t="s">
        <v>81</v>
      </c>
      <c r="I552" t="s">
        <v>27</v>
      </c>
      <c r="J552" t="s">
        <v>708</v>
      </c>
      <c r="L552">
        <f t="shared" si="33"/>
        <v>201903</v>
      </c>
      <c r="M552">
        <f t="shared" si="34"/>
        <v>3</v>
      </c>
      <c r="N552">
        <f t="shared" si="35"/>
        <v>2019</v>
      </c>
      <c r="O552" t="str">
        <f>VLOOKUP(M552,month_lookup!A:B,2,FALSE)</f>
        <v>Mar</v>
      </c>
      <c r="P552">
        <f t="shared" si="36"/>
        <v>-71119.23</v>
      </c>
    </row>
    <row r="553" spans="1:16" x14ac:dyDescent="0.25">
      <c r="A553" t="s">
        <v>22</v>
      </c>
      <c r="B553" s="1">
        <v>115538.34</v>
      </c>
      <c r="C553">
        <v>99686.48</v>
      </c>
      <c r="D553" s="2">
        <v>43858</v>
      </c>
      <c r="E553" t="s">
        <v>17</v>
      </c>
      <c r="F553" t="s">
        <v>24</v>
      </c>
      <c r="G553" t="s">
        <v>25</v>
      </c>
      <c r="H553" t="s">
        <v>26</v>
      </c>
      <c r="I553" t="s">
        <v>27</v>
      </c>
      <c r="J553" t="s">
        <v>709</v>
      </c>
      <c r="L553">
        <f t="shared" si="33"/>
        <v>202001</v>
      </c>
      <c r="M553">
        <f t="shared" si="34"/>
        <v>1</v>
      </c>
      <c r="N553">
        <f t="shared" si="35"/>
        <v>2020</v>
      </c>
      <c r="O553" t="str">
        <f>VLOOKUP(M553,month_lookup!A:B,2,FALSE)</f>
        <v>Jan</v>
      </c>
      <c r="P553">
        <f t="shared" si="36"/>
        <v>115538.34</v>
      </c>
    </row>
    <row r="554" spans="1:16" x14ac:dyDescent="0.25">
      <c r="A554" t="s">
        <v>22</v>
      </c>
      <c r="B554" s="1">
        <v>144237.38</v>
      </c>
      <c r="C554">
        <v>116111.09</v>
      </c>
      <c r="D554" s="2">
        <v>44140</v>
      </c>
      <c r="E554" t="s">
        <v>10</v>
      </c>
      <c r="F554" t="s">
        <v>34</v>
      </c>
      <c r="G554" t="s">
        <v>25</v>
      </c>
      <c r="H554" t="s">
        <v>89</v>
      </c>
      <c r="I554" t="s">
        <v>27</v>
      </c>
      <c r="J554" t="s">
        <v>710</v>
      </c>
      <c r="L554">
        <f t="shared" si="33"/>
        <v>202011</v>
      </c>
      <c r="M554">
        <f t="shared" si="34"/>
        <v>11</v>
      </c>
      <c r="N554">
        <f t="shared" si="35"/>
        <v>2020</v>
      </c>
      <c r="O554" t="str">
        <f>VLOOKUP(M554,month_lookup!A:B,2,FALSE)</f>
        <v>Nov</v>
      </c>
      <c r="P554">
        <f t="shared" si="36"/>
        <v>144237.38</v>
      </c>
    </row>
    <row r="555" spans="1:16" x14ac:dyDescent="0.25">
      <c r="A555" t="s">
        <v>44</v>
      </c>
      <c r="B555" s="1">
        <v>91561.49</v>
      </c>
      <c r="C555">
        <v>78266.759999999995</v>
      </c>
      <c r="D555" s="2">
        <v>43549</v>
      </c>
      <c r="E555" t="s">
        <v>10</v>
      </c>
      <c r="F555" t="s">
        <v>96</v>
      </c>
      <c r="G555" t="s">
        <v>47</v>
      </c>
      <c r="H555" t="s">
        <v>48</v>
      </c>
      <c r="I555" t="s">
        <v>27</v>
      </c>
      <c r="J555" t="s">
        <v>711</v>
      </c>
      <c r="L555">
        <f t="shared" si="33"/>
        <v>201903</v>
      </c>
      <c r="M555">
        <f t="shared" si="34"/>
        <v>3</v>
      </c>
      <c r="N555">
        <f t="shared" si="35"/>
        <v>2019</v>
      </c>
      <c r="O555" t="str">
        <f>VLOOKUP(M555,month_lookup!A:B,2,FALSE)</f>
        <v>Mar</v>
      </c>
      <c r="P555">
        <f t="shared" si="36"/>
        <v>-91561.49</v>
      </c>
    </row>
    <row r="556" spans="1:16" x14ac:dyDescent="0.25">
      <c r="A556" t="s">
        <v>9</v>
      </c>
      <c r="B556" s="1">
        <v>233858.47</v>
      </c>
      <c r="C556">
        <v>185543.31</v>
      </c>
      <c r="D556" s="2">
        <v>43984</v>
      </c>
      <c r="E556" t="s">
        <v>29</v>
      </c>
      <c r="F556" t="s">
        <v>88</v>
      </c>
      <c r="G556" t="s">
        <v>12</v>
      </c>
      <c r="H556" t="s">
        <v>81</v>
      </c>
      <c r="I556" t="s">
        <v>27</v>
      </c>
      <c r="J556" t="s">
        <v>712</v>
      </c>
      <c r="L556">
        <f t="shared" si="33"/>
        <v>202006</v>
      </c>
      <c r="M556">
        <f t="shared" si="34"/>
        <v>6</v>
      </c>
      <c r="N556">
        <f t="shared" si="35"/>
        <v>2020</v>
      </c>
      <c r="O556" t="str">
        <f>VLOOKUP(M556,month_lookup!A:B,2,FALSE)</f>
        <v>Jun</v>
      </c>
      <c r="P556">
        <f t="shared" si="36"/>
        <v>233858.47</v>
      </c>
    </row>
    <row r="557" spans="1:16" x14ac:dyDescent="0.25">
      <c r="A557" t="s">
        <v>44</v>
      </c>
      <c r="B557" s="1">
        <v>256388.08</v>
      </c>
      <c r="C557">
        <v>212058.58</v>
      </c>
      <c r="D557" s="2">
        <v>43804</v>
      </c>
      <c r="E557" t="s">
        <v>50</v>
      </c>
      <c r="F557" t="s">
        <v>290</v>
      </c>
      <c r="G557" t="s">
        <v>47</v>
      </c>
      <c r="H557" t="s">
        <v>73</v>
      </c>
      <c r="I557" t="s">
        <v>14</v>
      </c>
      <c r="J557" t="s">
        <v>713</v>
      </c>
      <c r="L557">
        <f t="shared" si="33"/>
        <v>201912</v>
      </c>
      <c r="M557">
        <f t="shared" si="34"/>
        <v>12</v>
      </c>
      <c r="N557">
        <f t="shared" si="35"/>
        <v>2019</v>
      </c>
      <c r="O557" t="str">
        <f>VLOOKUP(M557,month_lookup!A:B,2,FALSE)</f>
        <v>Dec</v>
      </c>
      <c r="P557">
        <f t="shared" si="36"/>
        <v>-256388.08</v>
      </c>
    </row>
    <row r="558" spans="1:16" x14ac:dyDescent="0.25">
      <c r="A558" t="s">
        <v>44</v>
      </c>
      <c r="B558" s="1">
        <v>125099.05</v>
      </c>
      <c r="C558">
        <v>108473.39</v>
      </c>
      <c r="D558" s="2">
        <v>43895</v>
      </c>
      <c r="E558" t="s">
        <v>10</v>
      </c>
      <c r="F558" t="s">
        <v>120</v>
      </c>
      <c r="G558" t="s">
        <v>47</v>
      </c>
      <c r="H558" t="s">
        <v>65</v>
      </c>
      <c r="I558" t="s">
        <v>27</v>
      </c>
      <c r="J558" t="s">
        <v>714</v>
      </c>
      <c r="L558">
        <f t="shared" si="33"/>
        <v>202003</v>
      </c>
      <c r="M558">
        <f t="shared" si="34"/>
        <v>3</v>
      </c>
      <c r="N558">
        <f t="shared" si="35"/>
        <v>2020</v>
      </c>
      <c r="O558" t="str">
        <f>VLOOKUP(M558,month_lookup!A:B,2,FALSE)</f>
        <v>Mar</v>
      </c>
      <c r="P558">
        <f t="shared" si="36"/>
        <v>125099.05</v>
      </c>
    </row>
    <row r="559" spans="1:16" x14ac:dyDescent="0.25">
      <c r="A559" t="s">
        <v>44</v>
      </c>
      <c r="B559" s="1">
        <v>121246.32</v>
      </c>
      <c r="C559">
        <v>104005.09</v>
      </c>
      <c r="D559" s="2">
        <v>43981</v>
      </c>
      <c r="E559" t="s">
        <v>10</v>
      </c>
      <c r="F559" t="s">
        <v>159</v>
      </c>
      <c r="G559" t="s">
        <v>47</v>
      </c>
      <c r="H559" t="s">
        <v>48</v>
      </c>
      <c r="I559" t="s">
        <v>27</v>
      </c>
      <c r="J559" t="s">
        <v>715</v>
      </c>
      <c r="L559">
        <f t="shared" si="33"/>
        <v>202005</v>
      </c>
      <c r="M559">
        <f t="shared" si="34"/>
        <v>5</v>
      </c>
      <c r="N559">
        <f t="shared" si="35"/>
        <v>2020</v>
      </c>
      <c r="O559" t="str">
        <f>VLOOKUP(M559,month_lookup!A:B,2,FALSE)</f>
        <v>May</v>
      </c>
      <c r="P559">
        <f t="shared" si="36"/>
        <v>121246.32</v>
      </c>
    </row>
    <row r="560" spans="1:16" x14ac:dyDescent="0.25">
      <c r="A560" t="s">
        <v>16</v>
      </c>
      <c r="B560" s="1">
        <v>28538.19</v>
      </c>
      <c r="C560">
        <v>24970.92</v>
      </c>
      <c r="D560" s="2">
        <v>43612</v>
      </c>
      <c r="E560" t="s">
        <v>17</v>
      </c>
      <c r="F560" t="s">
        <v>18</v>
      </c>
      <c r="G560" t="s">
        <v>19</v>
      </c>
      <c r="H560" t="s">
        <v>20</v>
      </c>
      <c r="I560" t="s">
        <v>27</v>
      </c>
      <c r="J560" t="s">
        <v>716</v>
      </c>
      <c r="L560">
        <f t="shared" si="33"/>
        <v>201905</v>
      </c>
      <c r="M560">
        <f t="shared" si="34"/>
        <v>5</v>
      </c>
      <c r="N560">
        <f t="shared" si="35"/>
        <v>2019</v>
      </c>
      <c r="O560" t="str">
        <f>VLOOKUP(M560,month_lookup!A:B,2,FALSE)</f>
        <v>May</v>
      </c>
      <c r="P560">
        <f t="shared" si="36"/>
        <v>-28538.19</v>
      </c>
    </row>
    <row r="561" spans="1:16" x14ac:dyDescent="0.25">
      <c r="A561" t="s">
        <v>52</v>
      </c>
      <c r="B561" s="1">
        <v>89930.18</v>
      </c>
      <c r="C561">
        <v>78005.440000000002</v>
      </c>
      <c r="D561" s="2">
        <v>43916</v>
      </c>
      <c r="E561" t="s">
        <v>138</v>
      </c>
      <c r="F561" t="s">
        <v>30</v>
      </c>
      <c r="G561" t="s">
        <v>54</v>
      </c>
      <c r="H561" t="s">
        <v>55</v>
      </c>
      <c r="I561" t="s">
        <v>27</v>
      </c>
      <c r="J561" t="s">
        <v>717</v>
      </c>
      <c r="L561">
        <f t="shared" si="33"/>
        <v>202003</v>
      </c>
      <c r="M561">
        <f t="shared" si="34"/>
        <v>3</v>
      </c>
      <c r="N561">
        <f t="shared" si="35"/>
        <v>2020</v>
      </c>
      <c r="O561" t="str">
        <f>VLOOKUP(M561,month_lookup!A:B,2,FALSE)</f>
        <v>Mar</v>
      </c>
      <c r="P561">
        <f t="shared" si="36"/>
        <v>89930.18</v>
      </c>
    </row>
    <row r="562" spans="1:16" x14ac:dyDescent="0.25">
      <c r="A562" t="s">
        <v>9</v>
      </c>
      <c r="B562" s="1">
        <v>170457.8</v>
      </c>
      <c r="C562">
        <v>142809.54</v>
      </c>
      <c r="D562" s="2">
        <v>44057</v>
      </c>
      <c r="E562" t="s">
        <v>45</v>
      </c>
      <c r="F562" t="s">
        <v>200</v>
      </c>
      <c r="G562" t="s">
        <v>12</v>
      </c>
      <c r="H562" t="s">
        <v>68</v>
      </c>
      <c r="I562" t="s">
        <v>27</v>
      </c>
      <c r="J562" t="s">
        <v>718</v>
      </c>
      <c r="L562">
        <f t="shared" si="33"/>
        <v>202008</v>
      </c>
      <c r="M562">
        <f t="shared" si="34"/>
        <v>8</v>
      </c>
      <c r="N562">
        <f t="shared" si="35"/>
        <v>2020</v>
      </c>
      <c r="O562" t="str">
        <f>VLOOKUP(M562,month_lookup!A:B,2,FALSE)</f>
        <v>Aug</v>
      </c>
      <c r="P562">
        <f t="shared" si="36"/>
        <v>170457.8</v>
      </c>
    </row>
    <row r="563" spans="1:16" x14ac:dyDescent="0.25">
      <c r="A563" t="s">
        <v>44</v>
      </c>
      <c r="B563" s="1">
        <v>166380.74</v>
      </c>
      <c r="C563">
        <v>146049.01</v>
      </c>
      <c r="D563" s="2">
        <v>44005</v>
      </c>
      <c r="E563" t="s">
        <v>59</v>
      </c>
      <c r="F563" t="s">
        <v>122</v>
      </c>
      <c r="G563" t="s">
        <v>47</v>
      </c>
      <c r="H563" t="s">
        <v>65</v>
      </c>
      <c r="I563" t="s">
        <v>27</v>
      </c>
      <c r="J563" t="s">
        <v>719</v>
      </c>
      <c r="L563">
        <f t="shared" si="33"/>
        <v>202006</v>
      </c>
      <c r="M563">
        <f t="shared" si="34"/>
        <v>6</v>
      </c>
      <c r="N563">
        <f t="shared" si="35"/>
        <v>2020</v>
      </c>
      <c r="O563" t="str">
        <f>VLOOKUP(M563,month_lookup!A:B,2,FALSE)</f>
        <v>Jun</v>
      </c>
      <c r="P563">
        <f t="shared" si="36"/>
        <v>166380.74</v>
      </c>
    </row>
    <row r="564" spans="1:16" x14ac:dyDescent="0.25">
      <c r="A564" t="s">
        <v>52</v>
      </c>
      <c r="B564" s="1">
        <v>116328.75</v>
      </c>
      <c r="C564">
        <v>93365.45</v>
      </c>
      <c r="D564" s="2">
        <v>43735</v>
      </c>
      <c r="E564" t="s">
        <v>50</v>
      </c>
      <c r="F564" t="s">
        <v>236</v>
      </c>
      <c r="G564" t="s">
        <v>54</v>
      </c>
      <c r="H564" t="s">
        <v>127</v>
      </c>
      <c r="I564" t="s">
        <v>27</v>
      </c>
      <c r="J564" t="s">
        <v>720</v>
      </c>
      <c r="L564">
        <f t="shared" si="33"/>
        <v>201909</v>
      </c>
      <c r="M564">
        <f t="shared" si="34"/>
        <v>9</v>
      </c>
      <c r="N564">
        <f t="shared" si="35"/>
        <v>2019</v>
      </c>
      <c r="O564" t="str">
        <f>VLOOKUP(M564,month_lookup!A:B,2,FALSE)</f>
        <v>Sep</v>
      </c>
      <c r="P564">
        <f t="shared" si="36"/>
        <v>-116328.75</v>
      </c>
    </row>
    <row r="565" spans="1:16" x14ac:dyDescent="0.25">
      <c r="A565" t="s">
        <v>214</v>
      </c>
      <c r="B565" s="1">
        <v>230765.62</v>
      </c>
      <c r="C565">
        <v>195435.4</v>
      </c>
      <c r="D565" s="2">
        <v>43664</v>
      </c>
      <c r="E565" t="s">
        <v>29</v>
      </c>
      <c r="F565" t="s">
        <v>34</v>
      </c>
      <c r="G565" t="s">
        <v>215</v>
      </c>
      <c r="H565" t="s">
        <v>216</v>
      </c>
      <c r="I565" t="s">
        <v>27</v>
      </c>
      <c r="J565" t="s">
        <v>721</v>
      </c>
      <c r="L565">
        <f t="shared" si="33"/>
        <v>201907</v>
      </c>
      <c r="M565">
        <f t="shared" si="34"/>
        <v>7</v>
      </c>
      <c r="N565">
        <f t="shared" si="35"/>
        <v>2019</v>
      </c>
      <c r="O565" t="str">
        <f>VLOOKUP(M565,month_lookup!A:B,2,FALSE)</f>
        <v>Jul</v>
      </c>
      <c r="P565">
        <f t="shared" si="36"/>
        <v>-230765.62</v>
      </c>
    </row>
    <row r="566" spans="1:16" x14ac:dyDescent="0.25">
      <c r="A566" t="s">
        <v>22</v>
      </c>
      <c r="B566" s="1">
        <v>152442.32</v>
      </c>
      <c r="C566">
        <v>122258.74</v>
      </c>
      <c r="D566" s="2">
        <v>44110</v>
      </c>
      <c r="E566" t="s">
        <v>79</v>
      </c>
      <c r="F566" t="s">
        <v>34</v>
      </c>
      <c r="G566" t="s">
        <v>25</v>
      </c>
      <c r="H566" t="s">
        <v>31</v>
      </c>
      <c r="I566" t="s">
        <v>27</v>
      </c>
      <c r="J566" t="s">
        <v>722</v>
      </c>
      <c r="L566">
        <f t="shared" si="33"/>
        <v>202010</v>
      </c>
      <c r="M566">
        <f t="shared" si="34"/>
        <v>10</v>
      </c>
      <c r="N566">
        <f t="shared" si="35"/>
        <v>2020</v>
      </c>
      <c r="O566" t="str">
        <f>VLOOKUP(M566,month_lookup!A:B,2,FALSE)</f>
        <v>Oct</v>
      </c>
      <c r="P566">
        <f t="shared" si="36"/>
        <v>152442.32</v>
      </c>
    </row>
    <row r="567" spans="1:16" x14ac:dyDescent="0.25">
      <c r="A567" t="s">
        <v>9</v>
      </c>
      <c r="B567" s="1">
        <v>325331.99</v>
      </c>
      <c r="C567">
        <v>264592.51</v>
      </c>
      <c r="D567" s="2">
        <v>43822</v>
      </c>
      <c r="E567" t="s">
        <v>17</v>
      </c>
      <c r="F567" t="s">
        <v>159</v>
      </c>
      <c r="G567" t="s">
        <v>12</v>
      </c>
      <c r="H567" t="s">
        <v>117</v>
      </c>
      <c r="I567" t="s">
        <v>14</v>
      </c>
      <c r="J567" t="s">
        <v>723</v>
      </c>
      <c r="L567">
        <f t="shared" si="33"/>
        <v>201912</v>
      </c>
      <c r="M567">
        <f t="shared" si="34"/>
        <v>12</v>
      </c>
      <c r="N567">
        <f t="shared" si="35"/>
        <v>2019</v>
      </c>
      <c r="O567" t="str">
        <f>VLOOKUP(M567,month_lookup!A:B,2,FALSE)</f>
        <v>Dec</v>
      </c>
      <c r="P567">
        <f t="shared" si="36"/>
        <v>-325331.99</v>
      </c>
    </row>
    <row r="568" spans="1:16" x14ac:dyDescent="0.25">
      <c r="A568" t="s">
        <v>44</v>
      </c>
      <c r="B568" s="1">
        <v>56768.43</v>
      </c>
      <c r="C568">
        <v>47384.61</v>
      </c>
      <c r="D568" s="2">
        <v>43577</v>
      </c>
      <c r="E568" t="s">
        <v>17</v>
      </c>
      <c r="F568" t="s">
        <v>233</v>
      </c>
      <c r="G568" t="s">
        <v>47</v>
      </c>
      <c r="H568" t="s">
        <v>48</v>
      </c>
      <c r="I568" t="s">
        <v>27</v>
      </c>
      <c r="J568" t="s">
        <v>724</v>
      </c>
      <c r="L568">
        <f t="shared" si="33"/>
        <v>201904</v>
      </c>
      <c r="M568">
        <f t="shared" si="34"/>
        <v>4</v>
      </c>
      <c r="N568">
        <f t="shared" si="35"/>
        <v>2019</v>
      </c>
      <c r="O568" t="str">
        <f>VLOOKUP(M568,month_lookup!A:B,2,FALSE)</f>
        <v>Apr</v>
      </c>
      <c r="P568">
        <f t="shared" si="36"/>
        <v>-56768.43</v>
      </c>
    </row>
    <row r="569" spans="1:16" x14ac:dyDescent="0.25">
      <c r="A569" t="s">
        <v>22</v>
      </c>
      <c r="B569" s="1">
        <v>147895.45000000001</v>
      </c>
      <c r="C569">
        <v>120416.48</v>
      </c>
      <c r="D569" s="2">
        <v>43647</v>
      </c>
      <c r="E569" t="s">
        <v>23</v>
      </c>
      <c r="F569" t="s">
        <v>63</v>
      </c>
      <c r="G569" t="s">
        <v>25</v>
      </c>
      <c r="H569" t="s">
        <v>89</v>
      </c>
      <c r="I569" t="s">
        <v>14</v>
      </c>
      <c r="J569" t="s">
        <v>725</v>
      </c>
      <c r="L569">
        <f t="shared" si="33"/>
        <v>201907</v>
      </c>
      <c r="M569">
        <f t="shared" si="34"/>
        <v>7</v>
      </c>
      <c r="N569">
        <f t="shared" si="35"/>
        <v>2019</v>
      </c>
      <c r="O569" t="str">
        <f>VLOOKUP(M569,month_lookup!A:B,2,FALSE)</f>
        <v>Jul</v>
      </c>
      <c r="P569">
        <f t="shared" si="36"/>
        <v>-147895.45000000001</v>
      </c>
    </row>
    <row r="570" spans="1:16" x14ac:dyDescent="0.25">
      <c r="A570" t="s">
        <v>172</v>
      </c>
      <c r="B570" s="1">
        <v>57107.26</v>
      </c>
      <c r="C570">
        <v>48232.79</v>
      </c>
      <c r="D570" s="2">
        <v>43874</v>
      </c>
      <c r="E570" t="s">
        <v>61</v>
      </c>
      <c r="F570" t="s">
        <v>159</v>
      </c>
      <c r="G570" t="s">
        <v>174</v>
      </c>
      <c r="H570" t="s">
        <v>175</v>
      </c>
      <c r="I570" t="s">
        <v>14</v>
      </c>
      <c r="J570" t="s">
        <v>726</v>
      </c>
      <c r="L570">
        <f t="shared" si="33"/>
        <v>202002</v>
      </c>
      <c r="M570">
        <f t="shared" si="34"/>
        <v>2</v>
      </c>
      <c r="N570">
        <f t="shared" si="35"/>
        <v>2020</v>
      </c>
      <c r="O570" t="str">
        <f>VLOOKUP(M570,month_lookup!A:B,2,FALSE)</f>
        <v>Feb</v>
      </c>
      <c r="P570">
        <f t="shared" si="36"/>
        <v>57107.26</v>
      </c>
    </row>
    <row r="571" spans="1:16" x14ac:dyDescent="0.25">
      <c r="A571" t="s">
        <v>52</v>
      </c>
      <c r="B571" s="1">
        <v>85337.78</v>
      </c>
      <c r="C571">
        <v>72306.7</v>
      </c>
      <c r="D571" s="2">
        <v>43865</v>
      </c>
      <c r="E571" t="s">
        <v>50</v>
      </c>
      <c r="F571" t="s">
        <v>202</v>
      </c>
      <c r="G571" t="s">
        <v>54</v>
      </c>
      <c r="H571" t="s">
        <v>127</v>
      </c>
      <c r="I571" t="s">
        <v>14</v>
      </c>
      <c r="J571" t="s">
        <v>727</v>
      </c>
      <c r="L571">
        <f t="shared" si="33"/>
        <v>202002</v>
      </c>
      <c r="M571">
        <f t="shared" si="34"/>
        <v>2</v>
      </c>
      <c r="N571">
        <f t="shared" si="35"/>
        <v>2020</v>
      </c>
      <c r="O571" t="str">
        <f>VLOOKUP(M571,month_lookup!A:B,2,FALSE)</f>
        <v>Feb</v>
      </c>
      <c r="P571">
        <f t="shared" si="36"/>
        <v>85337.78</v>
      </c>
    </row>
    <row r="572" spans="1:16" x14ac:dyDescent="0.25">
      <c r="A572" t="s">
        <v>52</v>
      </c>
      <c r="B572" s="1">
        <v>162199.24</v>
      </c>
      <c r="C572">
        <v>130878.57</v>
      </c>
      <c r="D572" s="2">
        <v>44004</v>
      </c>
      <c r="E572" t="s">
        <v>50</v>
      </c>
      <c r="F572" t="s">
        <v>187</v>
      </c>
      <c r="G572" t="s">
        <v>54</v>
      </c>
      <c r="H572" t="s">
        <v>143</v>
      </c>
      <c r="I572" t="s">
        <v>27</v>
      </c>
      <c r="J572" t="s">
        <v>728</v>
      </c>
      <c r="L572">
        <f t="shared" si="33"/>
        <v>202006</v>
      </c>
      <c r="M572">
        <f t="shared" si="34"/>
        <v>6</v>
      </c>
      <c r="N572">
        <f t="shared" si="35"/>
        <v>2020</v>
      </c>
      <c r="O572" t="str">
        <f>VLOOKUP(M572,month_lookup!A:B,2,FALSE)</f>
        <v>Jun</v>
      </c>
      <c r="P572">
        <f t="shared" si="36"/>
        <v>162199.24</v>
      </c>
    </row>
    <row r="573" spans="1:16" x14ac:dyDescent="0.25">
      <c r="A573" t="s">
        <v>9</v>
      </c>
      <c r="B573" s="1">
        <v>128208.95</v>
      </c>
      <c r="C573">
        <v>111746.92</v>
      </c>
      <c r="D573" s="2">
        <v>44043</v>
      </c>
      <c r="E573" t="s">
        <v>50</v>
      </c>
      <c r="F573" t="s">
        <v>120</v>
      </c>
      <c r="G573" t="s">
        <v>12</v>
      </c>
      <c r="H573" t="s">
        <v>81</v>
      </c>
      <c r="I573" t="s">
        <v>27</v>
      </c>
      <c r="J573" t="s">
        <v>729</v>
      </c>
      <c r="L573">
        <f t="shared" si="33"/>
        <v>202007</v>
      </c>
      <c r="M573">
        <f t="shared" si="34"/>
        <v>7</v>
      </c>
      <c r="N573">
        <f t="shared" si="35"/>
        <v>2020</v>
      </c>
      <c r="O573" t="str">
        <f>VLOOKUP(M573,month_lookup!A:B,2,FALSE)</f>
        <v>Jul</v>
      </c>
      <c r="P573">
        <f t="shared" si="36"/>
        <v>128208.95</v>
      </c>
    </row>
    <row r="574" spans="1:16" x14ac:dyDescent="0.25">
      <c r="A574" t="s">
        <v>214</v>
      </c>
      <c r="B574" s="1">
        <v>86669.23</v>
      </c>
      <c r="C574">
        <v>71580.12</v>
      </c>
      <c r="D574" s="2">
        <v>43908</v>
      </c>
      <c r="E574" t="s">
        <v>50</v>
      </c>
      <c r="F574" t="s">
        <v>30</v>
      </c>
      <c r="G574" t="s">
        <v>215</v>
      </c>
      <c r="H574" t="s">
        <v>216</v>
      </c>
      <c r="I574" t="s">
        <v>27</v>
      </c>
      <c r="J574" t="s">
        <v>730</v>
      </c>
      <c r="L574">
        <f t="shared" si="33"/>
        <v>202003</v>
      </c>
      <c r="M574">
        <f t="shared" si="34"/>
        <v>3</v>
      </c>
      <c r="N574">
        <f t="shared" si="35"/>
        <v>2020</v>
      </c>
      <c r="O574" t="str">
        <f>VLOOKUP(M574,month_lookup!A:B,2,FALSE)</f>
        <v>Mar</v>
      </c>
      <c r="P574">
        <f t="shared" si="36"/>
        <v>86669.23</v>
      </c>
    </row>
    <row r="575" spans="1:16" x14ac:dyDescent="0.25">
      <c r="A575" t="s">
        <v>172</v>
      </c>
      <c r="B575" s="1">
        <v>117288.29</v>
      </c>
      <c r="C575">
        <v>94546.09</v>
      </c>
      <c r="D575" s="2">
        <v>43650</v>
      </c>
      <c r="E575" t="s">
        <v>23</v>
      </c>
      <c r="F575" t="s">
        <v>34</v>
      </c>
      <c r="G575" t="s">
        <v>174</v>
      </c>
      <c r="H575" t="s">
        <v>211</v>
      </c>
      <c r="I575" t="s">
        <v>27</v>
      </c>
      <c r="J575" t="s">
        <v>731</v>
      </c>
      <c r="L575">
        <f t="shared" si="33"/>
        <v>201907</v>
      </c>
      <c r="M575">
        <f t="shared" si="34"/>
        <v>7</v>
      </c>
      <c r="N575">
        <f t="shared" si="35"/>
        <v>2019</v>
      </c>
      <c r="O575" t="str">
        <f>VLOOKUP(M575,month_lookup!A:B,2,FALSE)</f>
        <v>Jul</v>
      </c>
      <c r="P575">
        <f t="shared" si="36"/>
        <v>-117288.29</v>
      </c>
    </row>
    <row r="576" spans="1:16" x14ac:dyDescent="0.25">
      <c r="A576" t="s">
        <v>52</v>
      </c>
      <c r="B576" s="1">
        <v>57292.84</v>
      </c>
      <c r="C576">
        <v>45908.75</v>
      </c>
      <c r="D576" s="2">
        <v>43741</v>
      </c>
      <c r="E576" t="s">
        <v>79</v>
      </c>
      <c r="F576" t="s">
        <v>177</v>
      </c>
      <c r="G576" t="s">
        <v>54</v>
      </c>
      <c r="H576" t="s">
        <v>132</v>
      </c>
      <c r="I576" t="s">
        <v>27</v>
      </c>
      <c r="J576" t="s">
        <v>732</v>
      </c>
      <c r="L576">
        <f t="shared" si="33"/>
        <v>201910</v>
      </c>
      <c r="M576">
        <f t="shared" si="34"/>
        <v>10</v>
      </c>
      <c r="N576">
        <f t="shared" si="35"/>
        <v>2019</v>
      </c>
      <c r="O576" t="str">
        <f>VLOOKUP(M576,month_lookup!A:B,2,FALSE)</f>
        <v>Oct</v>
      </c>
      <c r="P576">
        <f t="shared" si="36"/>
        <v>-57292.84</v>
      </c>
    </row>
    <row r="577" spans="1:16" x14ac:dyDescent="0.25">
      <c r="A577" t="s">
        <v>22</v>
      </c>
      <c r="B577" s="1">
        <v>110441.89</v>
      </c>
      <c r="C577">
        <v>90970.98</v>
      </c>
      <c r="D577" s="2">
        <v>43834</v>
      </c>
      <c r="E577" t="s">
        <v>29</v>
      </c>
      <c r="F577" t="s">
        <v>733</v>
      </c>
      <c r="G577" t="s">
        <v>25</v>
      </c>
      <c r="H577" t="s">
        <v>89</v>
      </c>
      <c r="I577" t="s">
        <v>37</v>
      </c>
      <c r="J577" t="s">
        <v>734</v>
      </c>
      <c r="L577">
        <f t="shared" si="33"/>
        <v>202001</v>
      </c>
      <c r="M577">
        <f t="shared" si="34"/>
        <v>1</v>
      </c>
      <c r="N577">
        <f t="shared" si="35"/>
        <v>2020</v>
      </c>
      <c r="O577" t="str">
        <f>VLOOKUP(M577,month_lookup!A:B,2,FALSE)</f>
        <v>Jan</v>
      </c>
      <c r="P577">
        <f t="shared" si="36"/>
        <v>110441.89</v>
      </c>
    </row>
    <row r="578" spans="1:16" x14ac:dyDescent="0.25">
      <c r="A578" t="s">
        <v>44</v>
      </c>
      <c r="B578" s="1">
        <v>53801.73</v>
      </c>
      <c r="C578">
        <v>46785.98</v>
      </c>
      <c r="D578" s="2">
        <v>43736</v>
      </c>
      <c r="E578" t="s">
        <v>17</v>
      </c>
      <c r="F578" t="s">
        <v>34</v>
      </c>
      <c r="G578" t="s">
        <v>47</v>
      </c>
      <c r="H578" t="s">
        <v>73</v>
      </c>
      <c r="I578" t="s">
        <v>27</v>
      </c>
      <c r="J578" t="s">
        <v>735</v>
      </c>
      <c r="L578">
        <f t="shared" si="33"/>
        <v>201909</v>
      </c>
      <c r="M578">
        <f t="shared" si="34"/>
        <v>9</v>
      </c>
      <c r="N578">
        <f t="shared" si="35"/>
        <v>2019</v>
      </c>
      <c r="O578" t="str">
        <f>VLOOKUP(M578,month_lookup!A:B,2,FALSE)</f>
        <v>Sep</v>
      </c>
      <c r="P578">
        <f t="shared" si="36"/>
        <v>-53801.73</v>
      </c>
    </row>
    <row r="579" spans="1:16" x14ac:dyDescent="0.25">
      <c r="A579" t="s">
        <v>44</v>
      </c>
      <c r="B579" s="1">
        <v>308763.51</v>
      </c>
      <c r="C579">
        <v>245714</v>
      </c>
      <c r="D579" s="2">
        <v>44169</v>
      </c>
      <c r="E579" t="s">
        <v>61</v>
      </c>
      <c r="F579" t="s">
        <v>233</v>
      </c>
      <c r="G579" t="s">
        <v>47</v>
      </c>
      <c r="H579" t="s">
        <v>48</v>
      </c>
      <c r="I579" t="s">
        <v>27</v>
      </c>
      <c r="J579" t="s">
        <v>736</v>
      </c>
      <c r="L579">
        <f t="shared" ref="L579:L642" si="37">YEAR(D579)*100+MONTH(D579)</f>
        <v>202012</v>
      </c>
      <c r="M579">
        <f t="shared" ref="M579:M642" si="38">MONTH(D579)</f>
        <v>12</v>
      </c>
      <c r="N579">
        <f t="shared" ref="N579:N642" si="39">YEAR(D579)</f>
        <v>2020</v>
      </c>
      <c r="O579" t="str">
        <f>VLOOKUP(M579,month_lookup!A:B,2,FALSE)</f>
        <v>Dec</v>
      </c>
      <c r="P579">
        <f t="shared" si="36"/>
        <v>308763.51</v>
      </c>
    </row>
    <row r="580" spans="1:16" x14ac:dyDescent="0.25">
      <c r="A580" t="s">
        <v>22</v>
      </c>
      <c r="B580" s="1">
        <v>87409.49</v>
      </c>
      <c r="C580">
        <v>70548.2</v>
      </c>
      <c r="D580" s="2">
        <v>44164</v>
      </c>
      <c r="E580" t="s">
        <v>17</v>
      </c>
      <c r="F580" t="s">
        <v>30</v>
      </c>
      <c r="G580" t="s">
        <v>25</v>
      </c>
      <c r="H580" t="s">
        <v>218</v>
      </c>
      <c r="I580" t="s">
        <v>27</v>
      </c>
      <c r="J580" t="s">
        <v>737</v>
      </c>
      <c r="L580">
        <f t="shared" si="37"/>
        <v>202011</v>
      </c>
      <c r="M580">
        <f t="shared" si="38"/>
        <v>11</v>
      </c>
      <c r="N580">
        <f t="shared" si="39"/>
        <v>2020</v>
      </c>
      <c r="O580" t="str">
        <f>VLOOKUP(M580,month_lookup!A:B,2,FALSE)</f>
        <v>Nov</v>
      </c>
      <c r="P580">
        <f t="shared" si="36"/>
        <v>87409.49</v>
      </c>
    </row>
    <row r="581" spans="1:16" x14ac:dyDescent="0.25">
      <c r="A581" t="s">
        <v>345</v>
      </c>
      <c r="B581" s="1">
        <v>31936.44</v>
      </c>
      <c r="C581">
        <v>27708.06</v>
      </c>
      <c r="D581" s="2">
        <v>44091</v>
      </c>
      <c r="E581" t="s">
        <v>10</v>
      </c>
      <c r="F581" t="s">
        <v>433</v>
      </c>
      <c r="G581" t="s">
        <v>346</v>
      </c>
      <c r="H581" t="s">
        <v>700</v>
      </c>
      <c r="I581" t="s">
        <v>27</v>
      </c>
      <c r="J581" t="s">
        <v>738</v>
      </c>
      <c r="L581">
        <f t="shared" si="37"/>
        <v>202009</v>
      </c>
      <c r="M581">
        <f t="shared" si="38"/>
        <v>9</v>
      </c>
      <c r="N581">
        <f t="shared" si="39"/>
        <v>2020</v>
      </c>
      <c r="O581" t="str">
        <f>VLOOKUP(M581,month_lookup!A:B,2,FALSE)</f>
        <v>Sep</v>
      </c>
      <c r="P581">
        <f t="shared" si="36"/>
        <v>31936.44</v>
      </c>
    </row>
    <row r="582" spans="1:16" x14ac:dyDescent="0.25">
      <c r="A582" t="s">
        <v>9</v>
      </c>
      <c r="B582" s="1">
        <v>45463.65</v>
      </c>
      <c r="C582">
        <v>36907.39</v>
      </c>
      <c r="D582" s="2">
        <v>44072</v>
      </c>
      <c r="E582" t="s">
        <v>23</v>
      </c>
      <c r="F582" t="s">
        <v>706</v>
      </c>
      <c r="G582" t="s">
        <v>12</v>
      </c>
      <c r="H582" t="s">
        <v>81</v>
      </c>
      <c r="I582" t="s">
        <v>27</v>
      </c>
      <c r="J582" t="s">
        <v>739</v>
      </c>
      <c r="L582">
        <f t="shared" si="37"/>
        <v>202008</v>
      </c>
      <c r="M582">
        <f t="shared" si="38"/>
        <v>8</v>
      </c>
      <c r="N582">
        <f t="shared" si="39"/>
        <v>2020</v>
      </c>
      <c r="O582" t="str">
        <f>VLOOKUP(M582,month_lookup!A:B,2,FALSE)</f>
        <v>Aug</v>
      </c>
      <c r="P582">
        <f t="shared" si="36"/>
        <v>45463.65</v>
      </c>
    </row>
    <row r="583" spans="1:16" x14ac:dyDescent="0.25">
      <c r="A583" t="s">
        <v>9</v>
      </c>
      <c r="B583" s="1">
        <v>112909.4</v>
      </c>
      <c r="C583">
        <v>93940.62</v>
      </c>
      <c r="D583" s="2">
        <v>43580</v>
      </c>
      <c r="E583" t="s">
        <v>23</v>
      </c>
      <c r="F583" t="s">
        <v>34</v>
      </c>
      <c r="G583" t="s">
        <v>12</v>
      </c>
      <c r="H583" t="s">
        <v>13</v>
      </c>
      <c r="I583" t="s">
        <v>27</v>
      </c>
      <c r="J583" t="s">
        <v>740</v>
      </c>
      <c r="L583">
        <f t="shared" si="37"/>
        <v>201904</v>
      </c>
      <c r="M583">
        <f t="shared" si="38"/>
        <v>4</v>
      </c>
      <c r="N583">
        <f t="shared" si="39"/>
        <v>2019</v>
      </c>
      <c r="O583" t="str">
        <f>VLOOKUP(M583,month_lookup!A:B,2,FALSE)</f>
        <v>Apr</v>
      </c>
      <c r="P583">
        <f t="shared" ref="P583:P646" si="40">IF(N583=2020,B583,-B583)</f>
        <v>-112909.4</v>
      </c>
    </row>
    <row r="584" spans="1:16" x14ac:dyDescent="0.25">
      <c r="A584" t="s">
        <v>22</v>
      </c>
      <c r="B584" s="1">
        <v>126346.44</v>
      </c>
      <c r="C584">
        <v>103970.49</v>
      </c>
      <c r="D584" s="2">
        <v>43563</v>
      </c>
      <c r="E584" t="s">
        <v>59</v>
      </c>
      <c r="F584" t="s">
        <v>34</v>
      </c>
      <c r="G584" t="s">
        <v>25</v>
      </c>
      <c r="H584" t="s">
        <v>75</v>
      </c>
      <c r="I584" t="s">
        <v>27</v>
      </c>
      <c r="J584" t="s">
        <v>741</v>
      </c>
      <c r="L584">
        <f t="shared" si="37"/>
        <v>201904</v>
      </c>
      <c r="M584">
        <f t="shared" si="38"/>
        <v>4</v>
      </c>
      <c r="N584">
        <f t="shared" si="39"/>
        <v>2019</v>
      </c>
      <c r="O584" t="str">
        <f>VLOOKUP(M584,month_lookup!A:B,2,FALSE)</f>
        <v>Apr</v>
      </c>
      <c r="P584">
        <f t="shared" si="40"/>
        <v>-126346.44</v>
      </c>
    </row>
    <row r="585" spans="1:16" x14ac:dyDescent="0.25">
      <c r="A585" t="s">
        <v>22</v>
      </c>
      <c r="B585" s="1">
        <v>109713.84</v>
      </c>
      <c r="C585">
        <v>95769.21</v>
      </c>
      <c r="D585" s="2">
        <v>43958</v>
      </c>
      <c r="E585" t="s">
        <v>59</v>
      </c>
      <c r="F585" t="s">
        <v>179</v>
      </c>
      <c r="G585" t="s">
        <v>25</v>
      </c>
      <c r="H585" t="s">
        <v>31</v>
      </c>
      <c r="I585" t="s">
        <v>27</v>
      </c>
      <c r="J585" t="s">
        <v>742</v>
      </c>
      <c r="L585">
        <f t="shared" si="37"/>
        <v>202005</v>
      </c>
      <c r="M585">
        <f t="shared" si="38"/>
        <v>5</v>
      </c>
      <c r="N585">
        <f t="shared" si="39"/>
        <v>2020</v>
      </c>
      <c r="O585" t="str">
        <f>VLOOKUP(M585,month_lookup!A:B,2,FALSE)</f>
        <v>May</v>
      </c>
      <c r="P585">
        <f t="shared" si="40"/>
        <v>109713.84</v>
      </c>
    </row>
    <row r="586" spans="1:16" x14ac:dyDescent="0.25">
      <c r="A586" t="s">
        <v>83</v>
      </c>
      <c r="B586" s="1">
        <v>200472.46</v>
      </c>
      <c r="C586">
        <v>170181.07</v>
      </c>
      <c r="D586" s="2">
        <v>44001</v>
      </c>
      <c r="E586" t="s">
        <v>79</v>
      </c>
      <c r="F586" t="s">
        <v>125</v>
      </c>
      <c r="G586" t="s">
        <v>84</v>
      </c>
      <c r="H586" t="s">
        <v>85</v>
      </c>
      <c r="I586" t="s">
        <v>27</v>
      </c>
      <c r="J586" t="s">
        <v>743</v>
      </c>
      <c r="L586">
        <f t="shared" si="37"/>
        <v>202006</v>
      </c>
      <c r="M586">
        <f t="shared" si="38"/>
        <v>6</v>
      </c>
      <c r="N586">
        <f t="shared" si="39"/>
        <v>2020</v>
      </c>
      <c r="O586" t="str">
        <f>VLOOKUP(M586,month_lookup!A:B,2,FALSE)</f>
        <v>Jun</v>
      </c>
      <c r="P586">
        <f t="shared" si="40"/>
        <v>200472.46</v>
      </c>
    </row>
    <row r="587" spans="1:16" x14ac:dyDescent="0.25">
      <c r="A587" t="s">
        <v>52</v>
      </c>
      <c r="B587" s="1">
        <v>35214.85</v>
      </c>
      <c r="C587">
        <v>27985.24</v>
      </c>
      <c r="D587" s="2">
        <v>43537</v>
      </c>
      <c r="E587" t="s">
        <v>79</v>
      </c>
      <c r="F587" t="s">
        <v>264</v>
      </c>
      <c r="G587" t="s">
        <v>54</v>
      </c>
      <c r="H587" t="s">
        <v>132</v>
      </c>
      <c r="I587" t="s">
        <v>27</v>
      </c>
      <c r="J587" t="s">
        <v>744</v>
      </c>
      <c r="L587">
        <f t="shared" si="37"/>
        <v>201903</v>
      </c>
      <c r="M587">
        <f t="shared" si="38"/>
        <v>3</v>
      </c>
      <c r="N587">
        <f t="shared" si="39"/>
        <v>2019</v>
      </c>
      <c r="O587" t="str">
        <f>VLOOKUP(M587,month_lookup!A:B,2,FALSE)</f>
        <v>Mar</v>
      </c>
      <c r="P587">
        <f t="shared" si="40"/>
        <v>-35214.85</v>
      </c>
    </row>
    <row r="588" spans="1:16" x14ac:dyDescent="0.25">
      <c r="A588" t="s">
        <v>172</v>
      </c>
      <c r="B588" s="1">
        <v>161630.62</v>
      </c>
      <c r="C588">
        <v>133991.78</v>
      </c>
      <c r="D588" s="2">
        <v>43559</v>
      </c>
      <c r="E588" t="s">
        <v>50</v>
      </c>
      <c r="F588" t="s">
        <v>113</v>
      </c>
      <c r="G588" t="s">
        <v>174</v>
      </c>
      <c r="H588" t="s">
        <v>211</v>
      </c>
      <c r="I588" t="s">
        <v>27</v>
      </c>
      <c r="J588" t="s">
        <v>745</v>
      </c>
      <c r="L588">
        <f t="shared" si="37"/>
        <v>201904</v>
      </c>
      <c r="M588">
        <f t="shared" si="38"/>
        <v>4</v>
      </c>
      <c r="N588">
        <f t="shared" si="39"/>
        <v>2019</v>
      </c>
      <c r="O588" t="str">
        <f>VLOOKUP(M588,month_lookup!A:B,2,FALSE)</f>
        <v>Apr</v>
      </c>
      <c r="P588">
        <f t="shared" si="40"/>
        <v>-161630.62</v>
      </c>
    </row>
    <row r="589" spans="1:16" x14ac:dyDescent="0.25">
      <c r="A589" t="s">
        <v>22</v>
      </c>
      <c r="B589" s="1">
        <v>179184.12</v>
      </c>
      <c r="C589">
        <v>142433.46</v>
      </c>
      <c r="D589" s="2">
        <v>43959</v>
      </c>
      <c r="E589" t="s">
        <v>50</v>
      </c>
      <c r="F589" t="s">
        <v>134</v>
      </c>
      <c r="G589" t="s">
        <v>25</v>
      </c>
      <c r="H589" t="s">
        <v>218</v>
      </c>
      <c r="I589" t="s">
        <v>27</v>
      </c>
      <c r="J589" t="s">
        <v>746</v>
      </c>
      <c r="L589">
        <f t="shared" si="37"/>
        <v>202005</v>
      </c>
      <c r="M589">
        <f t="shared" si="38"/>
        <v>5</v>
      </c>
      <c r="N589">
        <f t="shared" si="39"/>
        <v>2020</v>
      </c>
      <c r="O589" t="str">
        <f>VLOOKUP(M589,month_lookup!A:B,2,FALSE)</f>
        <v>May</v>
      </c>
      <c r="P589">
        <f t="shared" si="40"/>
        <v>179184.12</v>
      </c>
    </row>
    <row r="590" spans="1:16" x14ac:dyDescent="0.25">
      <c r="A590" t="s">
        <v>9</v>
      </c>
      <c r="B590" s="1">
        <v>80867.179999999993</v>
      </c>
      <c r="C590">
        <v>63982.11</v>
      </c>
      <c r="D590" s="2">
        <v>43508</v>
      </c>
      <c r="E590" t="s">
        <v>10</v>
      </c>
      <c r="F590" t="s">
        <v>120</v>
      </c>
      <c r="G590" t="s">
        <v>12</v>
      </c>
      <c r="H590" t="s">
        <v>68</v>
      </c>
      <c r="I590" t="s">
        <v>27</v>
      </c>
      <c r="J590" t="s">
        <v>747</v>
      </c>
      <c r="L590">
        <f t="shared" si="37"/>
        <v>201902</v>
      </c>
      <c r="M590">
        <f t="shared" si="38"/>
        <v>2</v>
      </c>
      <c r="N590">
        <f t="shared" si="39"/>
        <v>2019</v>
      </c>
      <c r="O590" t="str">
        <f>VLOOKUP(M590,month_lookup!A:B,2,FALSE)</f>
        <v>Feb</v>
      </c>
      <c r="P590">
        <f t="shared" si="40"/>
        <v>-80867.179999999993</v>
      </c>
    </row>
    <row r="591" spans="1:16" x14ac:dyDescent="0.25">
      <c r="A591" t="s">
        <v>52</v>
      </c>
      <c r="B591" s="1">
        <v>96613.06</v>
      </c>
      <c r="C591">
        <v>79242.03</v>
      </c>
      <c r="D591" s="2">
        <v>43579</v>
      </c>
      <c r="E591" t="s">
        <v>10</v>
      </c>
      <c r="F591" t="s">
        <v>34</v>
      </c>
      <c r="G591" t="s">
        <v>54</v>
      </c>
      <c r="H591" t="s">
        <v>132</v>
      </c>
      <c r="I591" t="s">
        <v>27</v>
      </c>
      <c r="J591" t="s">
        <v>748</v>
      </c>
      <c r="L591">
        <f t="shared" si="37"/>
        <v>201904</v>
      </c>
      <c r="M591">
        <f t="shared" si="38"/>
        <v>4</v>
      </c>
      <c r="N591">
        <f t="shared" si="39"/>
        <v>2019</v>
      </c>
      <c r="O591" t="str">
        <f>VLOOKUP(M591,month_lookup!A:B,2,FALSE)</f>
        <v>Apr</v>
      </c>
      <c r="P591">
        <f t="shared" si="40"/>
        <v>-96613.06</v>
      </c>
    </row>
    <row r="592" spans="1:16" x14ac:dyDescent="0.25">
      <c r="A592" t="s">
        <v>22</v>
      </c>
      <c r="B592" s="1">
        <v>89600.45</v>
      </c>
      <c r="C592">
        <v>70811.240000000005</v>
      </c>
      <c r="D592" s="2">
        <v>43851</v>
      </c>
      <c r="E592" t="s">
        <v>17</v>
      </c>
      <c r="F592" t="s">
        <v>63</v>
      </c>
      <c r="G592" t="s">
        <v>25</v>
      </c>
      <c r="H592" t="s">
        <v>26</v>
      </c>
      <c r="I592" t="s">
        <v>27</v>
      </c>
      <c r="J592" t="s">
        <v>749</v>
      </c>
      <c r="L592">
        <f t="shared" si="37"/>
        <v>202001</v>
      </c>
      <c r="M592">
        <f t="shared" si="38"/>
        <v>1</v>
      </c>
      <c r="N592">
        <f t="shared" si="39"/>
        <v>2020</v>
      </c>
      <c r="O592" t="str">
        <f>VLOOKUP(M592,month_lookup!A:B,2,FALSE)</f>
        <v>Jan</v>
      </c>
      <c r="P592">
        <f t="shared" si="40"/>
        <v>89600.45</v>
      </c>
    </row>
    <row r="593" spans="1:16" x14ac:dyDescent="0.25">
      <c r="A593" t="s">
        <v>22</v>
      </c>
      <c r="B593" s="1">
        <v>41921.61</v>
      </c>
      <c r="C593">
        <v>34773.980000000003</v>
      </c>
      <c r="D593" s="2">
        <v>44163</v>
      </c>
      <c r="E593" t="s">
        <v>17</v>
      </c>
      <c r="F593" t="s">
        <v>53</v>
      </c>
      <c r="G593" t="s">
        <v>25</v>
      </c>
      <c r="H593" t="s">
        <v>89</v>
      </c>
      <c r="I593" t="s">
        <v>37</v>
      </c>
      <c r="J593" t="s">
        <v>750</v>
      </c>
      <c r="L593">
        <f t="shared" si="37"/>
        <v>202011</v>
      </c>
      <c r="M593">
        <f t="shared" si="38"/>
        <v>11</v>
      </c>
      <c r="N593">
        <f t="shared" si="39"/>
        <v>2020</v>
      </c>
      <c r="O593" t="str">
        <f>VLOOKUP(M593,month_lookup!A:B,2,FALSE)</f>
        <v>Nov</v>
      </c>
      <c r="P593">
        <f t="shared" si="40"/>
        <v>41921.61</v>
      </c>
    </row>
    <row r="594" spans="1:16" x14ac:dyDescent="0.25">
      <c r="A594" t="s">
        <v>44</v>
      </c>
      <c r="B594" s="1">
        <v>151012.12</v>
      </c>
      <c r="C594">
        <v>126080.02</v>
      </c>
      <c r="D594" s="2">
        <v>44068</v>
      </c>
      <c r="E594" t="s">
        <v>45</v>
      </c>
      <c r="F594" t="s">
        <v>34</v>
      </c>
      <c r="G594" t="s">
        <v>47</v>
      </c>
      <c r="H594" t="s">
        <v>73</v>
      </c>
      <c r="I594" t="s">
        <v>27</v>
      </c>
      <c r="J594" t="s">
        <v>751</v>
      </c>
      <c r="L594">
        <f t="shared" si="37"/>
        <v>202008</v>
      </c>
      <c r="M594">
        <f t="shared" si="38"/>
        <v>8</v>
      </c>
      <c r="N594">
        <f t="shared" si="39"/>
        <v>2020</v>
      </c>
      <c r="O594" t="str">
        <f>VLOOKUP(M594,month_lookup!A:B,2,FALSE)</f>
        <v>Aug</v>
      </c>
      <c r="P594">
        <f t="shared" si="40"/>
        <v>151012.12</v>
      </c>
    </row>
    <row r="595" spans="1:16" x14ac:dyDescent="0.25">
      <c r="A595" t="s">
        <v>22</v>
      </c>
      <c r="B595" s="1">
        <v>112481.44</v>
      </c>
      <c r="C595">
        <v>96700.29</v>
      </c>
      <c r="D595" s="2">
        <v>43932</v>
      </c>
      <c r="E595" t="s">
        <v>79</v>
      </c>
      <c r="F595" t="s">
        <v>209</v>
      </c>
      <c r="G595" t="s">
        <v>25</v>
      </c>
      <c r="H595" t="s">
        <v>89</v>
      </c>
      <c r="I595" t="s">
        <v>14</v>
      </c>
      <c r="J595" t="s">
        <v>752</v>
      </c>
      <c r="L595">
        <f t="shared" si="37"/>
        <v>202004</v>
      </c>
      <c r="M595">
        <f t="shared" si="38"/>
        <v>4</v>
      </c>
      <c r="N595">
        <f t="shared" si="39"/>
        <v>2020</v>
      </c>
      <c r="O595" t="str">
        <f>VLOOKUP(M595,month_lookup!A:B,2,FALSE)</f>
        <v>Apr</v>
      </c>
      <c r="P595">
        <f t="shared" si="40"/>
        <v>112481.44</v>
      </c>
    </row>
    <row r="596" spans="1:16" x14ac:dyDescent="0.25">
      <c r="A596" t="s">
        <v>52</v>
      </c>
      <c r="B596" s="1">
        <v>90228.68</v>
      </c>
      <c r="C596">
        <v>77966.600000000006</v>
      </c>
      <c r="D596" s="2">
        <v>43492</v>
      </c>
      <c r="E596" t="s">
        <v>79</v>
      </c>
      <c r="F596" t="s">
        <v>125</v>
      </c>
      <c r="G596" t="s">
        <v>54</v>
      </c>
      <c r="H596" t="s">
        <v>143</v>
      </c>
      <c r="I596" t="s">
        <v>27</v>
      </c>
      <c r="J596" t="s">
        <v>753</v>
      </c>
      <c r="L596">
        <f t="shared" si="37"/>
        <v>201901</v>
      </c>
      <c r="M596">
        <f t="shared" si="38"/>
        <v>1</v>
      </c>
      <c r="N596">
        <f t="shared" si="39"/>
        <v>2019</v>
      </c>
      <c r="O596" t="str">
        <f>VLOOKUP(M596,month_lookup!A:B,2,FALSE)</f>
        <v>Jan</v>
      </c>
      <c r="P596">
        <f t="shared" si="40"/>
        <v>-90228.68</v>
      </c>
    </row>
    <row r="597" spans="1:16" x14ac:dyDescent="0.25">
      <c r="A597" t="s">
        <v>44</v>
      </c>
      <c r="B597" s="1">
        <v>141552.4</v>
      </c>
      <c r="C597">
        <v>122994.88</v>
      </c>
      <c r="D597" s="2">
        <v>43725</v>
      </c>
      <c r="E597" t="s">
        <v>29</v>
      </c>
      <c r="F597" t="s">
        <v>209</v>
      </c>
      <c r="G597" t="s">
        <v>47</v>
      </c>
      <c r="H597" t="s">
        <v>48</v>
      </c>
      <c r="I597" t="s">
        <v>27</v>
      </c>
      <c r="J597" t="s">
        <v>754</v>
      </c>
      <c r="L597">
        <f t="shared" si="37"/>
        <v>201909</v>
      </c>
      <c r="M597">
        <f t="shared" si="38"/>
        <v>9</v>
      </c>
      <c r="N597">
        <f t="shared" si="39"/>
        <v>2019</v>
      </c>
      <c r="O597" t="str">
        <f>VLOOKUP(M597,month_lookup!A:B,2,FALSE)</f>
        <v>Sep</v>
      </c>
      <c r="P597">
        <f t="shared" si="40"/>
        <v>-141552.4</v>
      </c>
    </row>
    <row r="598" spans="1:16" x14ac:dyDescent="0.25">
      <c r="A598" t="s">
        <v>44</v>
      </c>
      <c r="B598" s="1">
        <v>29783.39</v>
      </c>
      <c r="C598">
        <v>23719.49</v>
      </c>
      <c r="D598" s="2">
        <v>43796</v>
      </c>
      <c r="E598" t="s">
        <v>10</v>
      </c>
      <c r="F598" t="s">
        <v>131</v>
      </c>
      <c r="G598" t="s">
        <v>47</v>
      </c>
      <c r="H598" t="s">
        <v>48</v>
      </c>
      <c r="I598" t="s">
        <v>27</v>
      </c>
      <c r="J598" t="s">
        <v>755</v>
      </c>
      <c r="L598">
        <f t="shared" si="37"/>
        <v>201911</v>
      </c>
      <c r="M598">
        <f t="shared" si="38"/>
        <v>11</v>
      </c>
      <c r="N598">
        <f t="shared" si="39"/>
        <v>2019</v>
      </c>
      <c r="O598" t="str">
        <f>VLOOKUP(M598,month_lookup!A:B,2,FALSE)</f>
        <v>Nov</v>
      </c>
      <c r="P598">
        <f t="shared" si="40"/>
        <v>-29783.39</v>
      </c>
    </row>
    <row r="599" spans="1:16" x14ac:dyDescent="0.25">
      <c r="A599" t="s">
        <v>9</v>
      </c>
      <c r="B599" s="1">
        <v>149938.71</v>
      </c>
      <c r="C599">
        <v>131541.23000000001</v>
      </c>
      <c r="D599" s="2">
        <v>44189</v>
      </c>
      <c r="E599" t="s">
        <v>10</v>
      </c>
      <c r="F599" t="s">
        <v>154</v>
      </c>
      <c r="G599" t="s">
        <v>12</v>
      </c>
      <c r="H599" t="s">
        <v>13</v>
      </c>
      <c r="I599" t="s">
        <v>27</v>
      </c>
      <c r="J599" t="s">
        <v>756</v>
      </c>
      <c r="L599">
        <f t="shared" si="37"/>
        <v>202012</v>
      </c>
      <c r="M599">
        <f t="shared" si="38"/>
        <v>12</v>
      </c>
      <c r="N599">
        <f t="shared" si="39"/>
        <v>2020</v>
      </c>
      <c r="O599" t="str">
        <f>VLOOKUP(M599,month_lookup!A:B,2,FALSE)</f>
        <v>Dec</v>
      </c>
      <c r="P599">
        <f t="shared" si="40"/>
        <v>149938.71</v>
      </c>
    </row>
    <row r="600" spans="1:16" x14ac:dyDescent="0.25">
      <c r="A600" t="s">
        <v>9</v>
      </c>
      <c r="B600" s="1">
        <v>103839.74</v>
      </c>
      <c r="C600">
        <v>90683.24</v>
      </c>
      <c r="D600" s="2">
        <v>44066</v>
      </c>
      <c r="E600" t="s">
        <v>10</v>
      </c>
      <c r="F600" t="s">
        <v>42</v>
      </c>
      <c r="G600" t="s">
        <v>12</v>
      </c>
      <c r="H600" t="s">
        <v>169</v>
      </c>
      <c r="I600" t="s">
        <v>27</v>
      </c>
      <c r="J600" t="s">
        <v>757</v>
      </c>
      <c r="L600">
        <f t="shared" si="37"/>
        <v>202008</v>
      </c>
      <c r="M600">
        <f t="shared" si="38"/>
        <v>8</v>
      </c>
      <c r="N600">
        <f t="shared" si="39"/>
        <v>2020</v>
      </c>
      <c r="O600" t="str">
        <f>VLOOKUP(M600,month_lookup!A:B,2,FALSE)</f>
        <v>Aug</v>
      </c>
      <c r="P600">
        <f t="shared" si="40"/>
        <v>103839.74</v>
      </c>
    </row>
    <row r="601" spans="1:16" x14ac:dyDescent="0.25">
      <c r="A601" t="s">
        <v>22</v>
      </c>
      <c r="B601" s="1">
        <v>30550.32</v>
      </c>
      <c r="C601">
        <v>25457.58</v>
      </c>
      <c r="D601" s="2">
        <v>43616</v>
      </c>
      <c r="E601" t="s">
        <v>29</v>
      </c>
      <c r="F601" t="s">
        <v>39</v>
      </c>
      <c r="G601" t="s">
        <v>25</v>
      </c>
      <c r="H601" t="s">
        <v>26</v>
      </c>
      <c r="I601" t="s">
        <v>14</v>
      </c>
      <c r="J601" t="s">
        <v>758</v>
      </c>
      <c r="L601">
        <f t="shared" si="37"/>
        <v>201905</v>
      </c>
      <c r="M601">
        <f t="shared" si="38"/>
        <v>5</v>
      </c>
      <c r="N601">
        <f t="shared" si="39"/>
        <v>2019</v>
      </c>
      <c r="O601" t="str">
        <f>VLOOKUP(M601,month_lookup!A:B,2,FALSE)</f>
        <v>May</v>
      </c>
      <c r="P601">
        <f t="shared" si="40"/>
        <v>-30550.32</v>
      </c>
    </row>
    <row r="602" spans="1:16" x14ac:dyDescent="0.25">
      <c r="A602" t="s">
        <v>9</v>
      </c>
      <c r="B602" s="1">
        <v>24787.65</v>
      </c>
      <c r="C602">
        <v>20454.77</v>
      </c>
      <c r="D602" s="2">
        <v>43508</v>
      </c>
      <c r="E602" t="s">
        <v>138</v>
      </c>
      <c r="F602" t="s">
        <v>264</v>
      </c>
      <c r="G602" t="s">
        <v>12</v>
      </c>
      <c r="H602" t="s">
        <v>117</v>
      </c>
      <c r="I602" t="s">
        <v>27</v>
      </c>
      <c r="J602" t="s">
        <v>759</v>
      </c>
      <c r="L602">
        <f t="shared" si="37"/>
        <v>201902</v>
      </c>
      <c r="M602">
        <f t="shared" si="38"/>
        <v>2</v>
      </c>
      <c r="N602">
        <f t="shared" si="39"/>
        <v>2019</v>
      </c>
      <c r="O602" t="str">
        <f>VLOOKUP(M602,month_lookup!A:B,2,FALSE)</f>
        <v>Feb</v>
      </c>
      <c r="P602">
        <f t="shared" si="40"/>
        <v>-24787.65</v>
      </c>
    </row>
    <row r="603" spans="1:16" x14ac:dyDescent="0.25">
      <c r="A603" t="s">
        <v>52</v>
      </c>
      <c r="B603" s="1">
        <v>122468.33</v>
      </c>
      <c r="C603">
        <v>103032.61</v>
      </c>
      <c r="D603" s="2">
        <v>44082</v>
      </c>
      <c r="E603" t="s">
        <v>79</v>
      </c>
      <c r="F603" t="s">
        <v>34</v>
      </c>
      <c r="G603" t="s">
        <v>54</v>
      </c>
      <c r="H603" t="s">
        <v>143</v>
      </c>
      <c r="I603" t="s">
        <v>14</v>
      </c>
      <c r="J603" t="s">
        <v>760</v>
      </c>
      <c r="L603">
        <f t="shared" si="37"/>
        <v>202009</v>
      </c>
      <c r="M603">
        <f t="shared" si="38"/>
        <v>9</v>
      </c>
      <c r="N603">
        <f t="shared" si="39"/>
        <v>2020</v>
      </c>
      <c r="O603" t="str">
        <f>VLOOKUP(M603,month_lookup!A:B,2,FALSE)</f>
        <v>Sep</v>
      </c>
      <c r="P603">
        <f t="shared" si="40"/>
        <v>122468.33</v>
      </c>
    </row>
    <row r="604" spans="1:16" x14ac:dyDescent="0.25">
      <c r="A604" t="s">
        <v>9</v>
      </c>
      <c r="B604" s="1">
        <v>137026.71</v>
      </c>
      <c r="C604">
        <v>120117.61</v>
      </c>
      <c r="D604" s="2">
        <v>44069</v>
      </c>
      <c r="E604" t="s">
        <v>59</v>
      </c>
      <c r="F604" t="s">
        <v>147</v>
      </c>
      <c r="G604" t="s">
        <v>12</v>
      </c>
      <c r="H604" t="s">
        <v>68</v>
      </c>
      <c r="I604" t="s">
        <v>27</v>
      </c>
      <c r="J604" t="s">
        <v>761</v>
      </c>
      <c r="L604">
        <f t="shared" si="37"/>
        <v>202008</v>
      </c>
      <c r="M604">
        <f t="shared" si="38"/>
        <v>8</v>
      </c>
      <c r="N604">
        <f t="shared" si="39"/>
        <v>2020</v>
      </c>
      <c r="O604" t="str">
        <f>VLOOKUP(M604,month_lookup!A:B,2,FALSE)</f>
        <v>Aug</v>
      </c>
      <c r="P604">
        <f t="shared" si="40"/>
        <v>137026.71</v>
      </c>
    </row>
    <row r="605" spans="1:16" x14ac:dyDescent="0.25">
      <c r="A605" t="s">
        <v>16</v>
      </c>
      <c r="B605" s="1">
        <v>132246.48000000001</v>
      </c>
      <c r="C605">
        <v>106841.93</v>
      </c>
      <c r="D605" s="2">
        <v>43467</v>
      </c>
      <c r="E605" t="s">
        <v>17</v>
      </c>
      <c r="F605" t="s">
        <v>113</v>
      </c>
      <c r="G605" t="s">
        <v>19</v>
      </c>
      <c r="H605" t="s">
        <v>352</v>
      </c>
      <c r="I605" t="s">
        <v>27</v>
      </c>
      <c r="J605" t="s">
        <v>762</v>
      </c>
      <c r="L605">
        <f t="shared" si="37"/>
        <v>201901</v>
      </c>
      <c r="M605">
        <f t="shared" si="38"/>
        <v>1</v>
      </c>
      <c r="N605">
        <f t="shared" si="39"/>
        <v>2019</v>
      </c>
      <c r="O605" t="str">
        <f>VLOOKUP(M605,month_lookup!A:B,2,FALSE)</f>
        <v>Jan</v>
      </c>
      <c r="P605">
        <f t="shared" si="40"/>
        <v>-132246.48000000001</v>
      </c>
    </row>
    <row r="606" spans="1:16" x14ac:dyDescent="0.25">
      <c r="A606" t="s">
        <v>22</v>
      </c>
      <c r="B606" s="1">
        <v>111551.96</v>
      </c>
      <c r="C606">
        <v>89420.05</v>
      </c>
      <c r="D606" s="2">
        <v>43836</v>
      </c>
      <c r="E606" t="s">
        <v>23</v>
      </c>
      <c r="F606" t="s">
        <v>152</v>
      </c>
      <c r="G606" t="s">
        <v>25</v>
      </c>
      <c r="H606" t="s">
        <v>31</v>
      </c>
      <c r="I606" t="s">
        <v>27</v>
      </c>
      <c r="J606" t="s">
        <v>763</v>
      </c>
      <c r="L606">
        <f t="shared" si="37"/>
        <v>202001</v>
      </c>
      <c r="M606">
        <f t="shared" si="38"/>
        <v>1</v>
      </c>
      <c r="N606">
        <f t="shared" si="39"/>
        <v>2020</v>
      </c>
      <c r="O606" t="str">
        <f>VLOOKUP(M606,month_lookup!A:B,2,FALSE)</f>
        <v>Jan</v>
      </c>
      <c r="P606">
        <f t="shared" si="40"/>
        <v>111551.96</v>
      </c>
    </row>
    <row r="607" spans="1:16" x14ac:dyDescent="0.25">
      <c r="A607" t="s">
        <v>52</v>
      </c>
      <c r="B607" s="1">
        <v>127946.33</v>
      </c>
      <c r="C607">
        <v>111850.68</v>
      </c>
      <c r="D607" s="2">
        <v>43717</v>
      </c>
      <c r="E607" t="s">
        <v>29</v>
      </c>
      <c r="F607" t="s">
        <v>134</v>
      </c>
      <c r="G607" t="s">
        <v>54</v>
      </c>
      <c r="H607" t="s">
        <v>127</v>
      </c>
      <c r="I607" t="s">
        <v>27</v>
      </c>
      <c r="J607" t="s">
        <v>764</v>
      </c>
      <c r="L607">
        <f t="shared" si="37"/>
        <v>201909</v>
      </c>
      <c r="M607">
        <f t="shared" si="38"/>
        <v>9</v>
      </c>
      <c r="N607">
        <f t="shared" si="39"/>
        <v>2019</v>
      </c>
      <c r="O607" t="str">
        <f>VLOOKUP(M607,month_lookup!A:B,2,FALSE)</f>
        <v>Sep</v>
      </c>
      <c r="P607">
        <f t="shared" si="40"/>
        <v>-127946.33</v>
      </c>
    </row>
    <row r="608" spans="1:16" x14ac:dyDescent="0.25">
      <c r="A608" t="s">
        <v>9</v>
      </c>
      <c r="B608" s="1">
        <v>78679.600000000006</v>
      </c>
      <c r="C608">
        <v>62416.53</v>
      </c>
      <c r="D608" s="2">
        <v>43750</v>
      </c>
      <c r="E608" t="s">
        <v>17</v>
      </c>
      <c r="F608" t="s">
        <v>326</v>
      </c>
      <c r="G608" t="s">
        <v>12</v>
      </c>
      <c r="H608" t="s">
        <v>169</v>
      </c>
      <c r="I608" t="s">
        <v>27</v>
      </c>
      <c r="J608" t="s">
        <v>765</v>
      </c>
      <c r="L608">
        <f t="shared" si="37"/>
        <v>201910</v>
      </c>
      <c r="M608">
        <f t="shared" si="38"/>
        <v>10</v>
      </c>
      <c r="N608">
        <f t="shared" si="39"/>
        <v>2019</v>
      </c>
      <c r="O608" t="str">
        <f>VLOOKUP(M608,month_lookup!A:B,2,FALSE)</f>
        <v>Oct</v>
      </c>
      <c r="P608">
        <f t="shared" si="40"/>
        <v>-78679.600000000006</v>
      </c>
    </row>
    <row r="609" spans="1:16" x14ac:dyDescent="0.25">
      <c r="A609" t="s">
        <v>44</v>
      </c>
      <c r="B609" s="1">
        <v>86071.63</v>
      </c>
      <c r="C609">
        <v>71198.45</v>
      </c>
      <c r="D609" s="2">
        <v>43782</v>
      </c>
      <c r="E609" t="s">
        <v>79</v>
      </c>
      <c r="F609" t="s">
        <v>53</v>
      </c>
      <c r="G609" t="s">
        <v>47</v>
      </c>
      <c r="H609" t="s">
        <v>65</v>
      </c>
      <c r="I609" t="s">
        <v>37</v>
      </c>
      <c r="J609" t="s">
        <v>766</v>
      </c>
      <c r="L609">
        <f t="shared" si="37"/>
        <v>201911</v>
      </c>
      <c r="M609">
        <f t="shared" si="38"/>
        <v>11</v>
      </c>
      <c r="N609">
        <f t="shared" si="39"/>
        <v>2019</v>
      </c>
      <c r="O609" t="str">
        <f>VLOOKUP(M609,month_lookup!A:B,2,FALSE)</f>
        <v>Nov</v>
      </c>
      <c r="P609">
        <f t="shared" si="40"/>
        <v>-86071.63</v>
      </c>
    </row>
    <row r="610" spans="1:16" x14ac:dyDescent="0.25">
      <c r="A610" t="s">
        <v>22</v>
      </c>
      <c r="B610" s="1">
        <v>134120.38</v>
      </c>
      <c r="C610">
        <v>105981.92</v>
      </c>
      <c r="D610" s="2">
        <v>43951</v>
      </c>
      <c r="E610" t="s">
        <v>17</v>
      </c>
      <c r="F610" t="s">
        <v>147</v>
      </c>
      <c r="G610" t="s">
        <v>25</v>
      </c>
      <c r="H610" t="s">
        <v>218</v>
      </c>
      <c r="I610" t="s">
        <v>27</v>
      </c>
      <c r="J610" t="s">
        <v>767</v>
      </c>
      <c r="L610">
        <f t="shared" si="37"/>
        <v>202004</v>
      </c>
      <c r="M610">
        <f t="shared" si="38"/>
        <v>4</v>
      </c>
      <c r="N610">
        <f t="shared" si="39"/>
        <v>2020</v>
      </c>
      <c r="O610" t="str">
        <f>VLOOKUP(M610,month_lookup!A:B,2,FALSE)</f>
        <v>Apr</v>
      </c>
      <c r="P610">
        <f t="shared" si="40"/>
        <v>134120.38</v>
      </c>
    </row>
    <row r="611" spans="1:16" x14ac:dyDescent="0.25">
      <c r="A611" t="s">
        <v>33</v>
      </c>
      <c r="B611" s="1">
        <v>77855.47</v>
      </c>
      <c r="C611">
        <v>63545.63</v>
      </c>
      <c r="D611" s="2">
        <v>43690</v>
      </c>
      <c r="E611" t="s">
        <v>61</v>
      </c>
      <c r="F611" t="s">
        <v>11</v>
      </c>
      <c r="G611" t="s">
        <v>35</v>
      </c>
      <c r="H611" t="s">
        <v>36</v>
      </c>
      <c r="I611" t="s">
        <v>27</v>
      </c>
      <c r="J611" t="s">
        <v>768</v>
      </c>
      <c r="L611">
        <f t="shared" si="37"/>
        <v>201908</v>
      </c>
      <c r="M611">
        <f t="shared" si="38"/>
        <v>8</v>
      </c>
      <c r="N611">
        <f t="shared" si="39"/>
        <v>2019</v>
      </c>
      <c r="O611" t="str">
        <f>VLOOKUP(M611,month_lookup!A:B,2,FALSE)</f>
        <v>Aug</v>
      </c>
      <c r="P611">
        <f t="shared" si="40"/>
        <v>-77855.47</v>
      </c>
    </row>
    <row r="612" spans="1:16" x14ac:dyDescent="0.25">
      <c r="A612" t="s">
        <v>44</v>
      </c>
      <c r="B612" s="1">
        <v>176080.36</v>
      </c>
      <c r="C612">
        <v>153401.21</v>
      </c>
      <c r="D612" s="2">
        <v>43782</v>
      </c>
      <c r="E612" t="s">
        <v>29</v>
      </c>
      <c r="F612" t="s">
        <v>67</v>
      </c>
      <c r="G612" t="s">
        <v>47</v>
      </c>
      <c r="H612" t="s">
        <v>73</v>
      </c>
      <c r="I612" t="s">
        <v>27</v>
      </c>
      <c r="J612" t="s">
        <v>769</v>
      </c>
      <c r="L612">
        <f t="shared" si="37"/>
        <v>201911</v>
      </c>
      <c r="M612">
        <f t="shared" si="38"/>
        <v>11</v>
      </c>
      <c r="N612">
        <f t="shared" si="39"/>
        <v>2019</v>
      </c>
      <c r="O612" t="str">
        <f>VLOOKUP(M612,month_lookup!A:B,2,FALSE)</f>
        <v>Nov</v>
      </c>
      <c r="P612">
        <f t="shared" si="40"/>
        <v>-176080.36</v>
      </c>
    </row>
    <row r="613" spans="1:16" x14ac:dyDescent="0.25">
      <c r="A613" t="s">
        <v>22</v>
      </c>
      <c r="B613" s="1">
        <v>159514.03</v>
      </c>
      <c r="C613">
        <v>138872.91</v>
      </c>
      <c r="D613" s="2">
        <v>44097</v>
      </c>
      <c r="E613" t="s">
        <v>23</v>
      </c>
      <c r="F613" t="s">
        <v>30</v>
      </c>
      <c r="G613" t="s">
        <v>25</v>
      </c>
      <c r="H613" t="s">
        <v>31</v>
      </c>
      <c r="I613" t="s">
        <v>27</v>
      </c>
      <c r="J613" t="s">
        <v>770</v>
      </c>
      <c r="L613">
        <f t="shared" si="37"/>
        <v>202009</v>
      </c>
      <c r="M613">
        <f t="shared" si="38"/>
        <v>9</v>
      </c>
      <c r="N613">
        <f t="shared" si="39"/>
        <v>2020</v>
      </c>
      <c r="O613" t="str">
        <f>VLOOKUP(M613,month_lookup!A:B,2,FALSE)</f>
        <v>Sep</v>
      </c>
      <c r="P613">
        <f t="shared" si="40"/>
        <v>159514.03</v>
      </c>
    </row>
    <row r="614" spans="1:16" x14ac:dyDescent="0.25">
      <c r="A614" t="s">
        <v>52</v>
      </c>
      <c r="B614" s="1">
        <v>238850.25</v>
      </c>
      <c r="C614">
        <v>199607.15</v>
      </c>
      <c r="D614" s="2">
        <v>43646</v>
      </c>
      <c r="E614" t="s">
        <v>50</v>
      </c>
      <c r="F614" t="s">
        <v>70</v>
      </c>
      <c r="G614" t="s">
        <v>54</v>
      </c>
      <c r="H614" t="s">
        <v>132</v>
      </c>
      <c r="I614" t="s">
        <v>27</v>
      </c>
      <c r="J614" t="s">
        <v>771</v>
      </c>
      <c r="L614">
        <f t="shared" si="37"/>
        <v>201906</v>
      </c>
      <c r="M614">
        <f t="shared" si="38"/>
        <v>6</v>
      </c>
      <c r="N614">
        <f t="shared" si="39"/>
        <v>2019</v>
      </c>
      <c r="O614" t="str">
        <f>VLOOKUP(M614,month_lookup!A:B,2,FALSE)</f>
        <v>Jun</v>
      </c>
      <c r="P614">
        <f t="shared" si="40"/>
        <v>-238850.25</v>
      </c>
    </row>
    <row r="615" spans="1:16" x14ac:dyDescent="0.25">
      <c r="A615" t="s">
        <v>9</v>
      </c>
      <c r="B615" s="1">
        <v>240940.97</v>
      </c>
      <c r="C615">
        <v>195138.09</v>
      </c>
      <c r="D615" s="2">
        <v>43826</v>
      </c>
      <c r="E615" t="s">
        <v>45</v>
      </c>
      <c r="F615" t="s">
        <v>152</v>
      </c>
      <c r="G615" t="s">
        <v>12</v>
      </c>
      <c r="H615" t="s">
        <v>169</v>
      </c>
      <c r="I615" t="s">
        <v>27</v>
      </c>
      <c r="J615" t="s">
        <v>772</v>
      </c>
      <c r="L615">
        <f t="shared" si="37"/>
        <v>201912</v>
      </c>
      <c r="M615">
        <f t="shared" si="38"/>
        <v>12</v>
      </c>
      <c r="N615">
        <f t="shared" si="39"/>
        <v>2019</v>
      </c>
      <c r="O615" t="str">
        <f>VLOOKUP(M615,month_lookup!A:B,2,FALSE)</f>
        <v>Dec</v>
      </c>
      <c r="P615">
        <f t="shared" si="40"/>
        <v>-240940.97</v>
      </c>
    </row>
    <row r="616" spans="1:16" x14ac:dyDescent="0.25">
      <c r="A616" t="s">
        <v>345</v>
      </c>
      <c r="B616" s="1">
        <v>109892.92</v>
      </c>
      <c r="C616">
        <v>89441.85</v>
      </c>
      <c r="D616" s="2">
        <v>43957</v>
      </c>
      <c r="E616" t="s">
        <v>10</v>
      </c>
      <c r="F616" t="s">
        <v>202</v>
      </c>
      <c r="G616" t="s">
        <v>346</v>
      </c>
      <c r="H616" t="s">
        <v>700</v>
      </c>
      <c r="I616" t="s">
        <v>27</v>
      </c>
      <c r="J616" t="s">
        <v>773</v>
      </c>
      <c r="L616">
        <f t="shared" si="37"/>
        <v>202005</v>
      </c>
      <c r="M616">
        <f t="shared" si="38"/>
        <v>5</v>
      </c>
      <c r="N616">
        <f t="shared" si="39"/>
        <v>2020</v>
      </c>
      <c r="O616" t="str">
        <f>VLOOKUP(M616,month_lookup!A:B,2,FALSE)</f>
        <v>May</v>
      </c>
      <c r="P616">
        <f t="shared" si="40"/>
        <v>109892.92</v>
      </c>
    </row>
    <row r="617" spans="1:16" x14ac:dyDescent="0.25">
      <c r="A617" t="s">
        <v>214</v>
      </c>
      <c r="B617" s="1">
        <v>86704.08</v>
      </c>
      <c r="C617">
        <v>75380.53</v>
      </c>
      <c r="D617" s="2">
        <v>44109</v>
      </c>
      <c r="E617" t="s">
        <v>10</v>
      </c>
      <c r="F617" t="s">
        <v>67</v>
      </c>
      <c r="G617" t="s">
        <v>215</v>
      </c>
      <c r="H617" t="s">
        <v>216</v>
      </c>
      <c r="I617" t="s">
        <v>27</v>
      </c>
      <c r="J617" t="s">
        <v>774</v>
      </c>
      <c r="L617">
        <f t="shared" si="37"/>
        <v>202010</v>
      </c>
      <c r="M617">
        <f t="shared" si="38"/>
        <v>10</v>
      </c>
      <c r="N617">
        <f t="shared" si="39"/>
        <v>2020</v>
      </c>
      <c r="O617" t="str">
        <f>VLOOKUP(M617,month_lookup!A:B,2,FALSE)</f>
        <v>Oct</v>
      </c>
      <c r="P617">
        <f t="shared" si="40"/>
        <v>86704.08</v>
      </c>
    </row>
    <row r="618" spans="1:16" x14ac:dyDescent="0.25">
      <c r="A618" t="s">
        <v>172</v>
      </c>
      <c r="B618" s="1">
        <v>292124.64</v>
      </c>
      <c r="C618">
        <v>245822.88</v>
      </c>
      <c r="D618" s="2">
        <v>43808</v>
      </c>
      <c r="E618" t="s">
        <v>29</v>
      </c>
      <c r="F618" t="s">
        <v>157</v>
      </c>
      <c r="G618" t="s">
        <v>174</v>
      </c>
      <c r="H618" t="s">
        <v>211</v>
      </c>
      <c r="I618" t="s">
        <v>27</v>
      </c>
      <c r="J618" t="s">
        <v>775</v>
      </c>
      <c r="L618">
        <f t="shared" si="37"/>
        <v>201912</v>
      </c>
      <c r="M618">
        <f t="shared" si="38"/>
        <v>12</v>
      </c>
      <c r="N618">
        <f t="shared" si="39"/>
        <v>2019</v>
      </c>
      <c r="O618" t="str">
        <f>VLOOKUP(M618,month_lookup!A:B,2,FALSE)</f>
        <v>Dec</v>
      </c>
      <c r="P618">
        <f t="shared" si="40"/>
        <v>-292124.64</v>
      </c>
    </row>
    <row r="619" spans="1:16" x14ac:dyDescent="0.25">
      <c r="A619" t="s">
        <v>100</v>
      </c>
      <c r="B619" s="1">
        <v>122998.65</v>
      </c>
      <c r="C619">
        <v>97476.43</v>
      </c>
      <c r="D619" s="2">
        <v>43858</v>
      </c>
      <c r="E619" t="s">
        <v>17</v>
      </c>
      <c r="F619" t="s">
        <v>96</v>
      </c>
      <c r="G619" t="s">
        <v>102</v>
      </c>
      <c r="H619" t="s">
        <v>161</v>
      </c>
      <c r="I619" t="s">
        <v>27</v>
      </c>
      <c r="J619" t="s">
        <v>776</v>
      </c>
      <c r="L619">
        <f t="shared" si="37"/>
        <v>202001</v>
      </c>
      <c r="M619">
        <f t="shared" si="38"/>
        <v>1</v>
      </c>
      <c r="N619">
        <f t="shared" si="39"/>
        <v>2020</v>
      </c>
      <c r="O619" t="str">
        <f>VLOOKUP(M619,month_lookup!A:B,2,FALSE)</f>
        <v>Jan</v>
      </c>
      <c r="P619">
        <f t="shared" si="40"/>
        <v>122998.65</v>
      </c>
    </row>
    <row r="620" spans="1:16" x14ac:dyDescent="0.25">
      <c r="A620" t="s">
        <v>9</v>
      </c>
      <c r="B620" s="1">
        <v>50646.66</v>
      </c>
      <c r="C620">
        <v>43039.53</v>
      </c>
      <c r="D620" s="2">
        <v>43922</v>
      </c>
      <c r="E620" t="s">
        <v>23</v>
      </c>
      <c r="F620" t="s">
        <v>34</v>
      </c>
      <c r="G620" t="s">
        <v>12</v>
      </c>
      <c r="H620" t="s">
        <v>13</v>
      </c>
      <c r="I620" t="s">
        <v>27</v>
      </c>
      <c r="J620" t="s">
        <v>777</v>
      </c>
      <c r="L620">
        <f t="shared" si="37"/>
        <v>202004</v>
      </c>
      <c r="M620">
        <f t="shared" si="38"/>
        <v>4</v>
      </c>
      <c r="N620">
        <f t="shared" si="39"/>
        <v>2020</v>
      </c>
      <c r="O620" t="str">
        <f>VLOOKUP(M620,month_lookup!A:B,2,FALSE)</f>
        <v>Apr</v>
      </c>
      <c r="P620">
        <f t="shared" si="40"/>
        <v>50646.66</v>
      </c>
    </row>
    <row r="621" spans="1:16" x14ac:dyDescent="0.25">
      <c r="A621" t="s">
        <v>9</v>
      </c>
      <c r="B621" s="1">
        <v>89639.28</v>
      </c>
      <c r="C621">
        <v>77788.97</v>
      </c>
      <c r="D621" s="2">
        <v>43490</v>
      </c>
      <c r="E621" t="s">
        <v>23</v>
      </c>
      <c r="F621" t="s">
        <v>159</v>
      </c>
      <c r="G621" t="s">
        <v>12</v>
      </c>
      <c r="H621" t="s">
        <v>13</v>
      </c>
      <c r="I621" t="s">
        <v>27</v>
      </c>
      <c r="J621" t="s">
        <v>778</v>
      </c>
      <c r="L621">
        <f t="shared" si="37"/>
        <v>201901</v>
      </c>
      <c r="M621">
        <f t="shared" si="38"/>
        <v>1</v>
      </c>
      <c r="N621">
        <f t="shared" si="39"/>
        <v>2019</v>
      </c>
      <c r="O621" t="str">
        <f>VLOOKUP(M621,month_lookup!A:B,2,FALSE)</f>
        <v>Jan</v>
      </c>
      <c r="P621">
        <f t="shared" si="40"/>
        <v>-89639.28</v>
      </c>
    </row>
    <row r="622" spans="1:16" x14ac:dyDescent="0.25">
      <c r="A622" t="s">
        <v>33</v>
      </c>
      <c r="B622" s="1">
        <v>107359.01</v>
      </c>
      <c r="C622">
        <v>90868.67</v>
      </c>
      <c r="D622" s="2">
        <v>43767</v>
      </c>
      <c r="E622" t="s">
        <v>79</v>
      </c>
      <c r="F622" t="s">
        <v>111</v>
      </c>
      <c r="G622" t="s">
        <v>35</v>
      </c>
      <c r="H622" t="s">
        <v>40</v>
      </c>
      <c r="I622" t="s">
        <v>27</v>
      </c>
      <c r="J622" t="s">
        <v>779</v>
      </c>
      <c r="L622">
        <f t="shared" si="37"/>
        <v>201910</v>
      </c>
      <c r="M622">
        <f t="shared" si="38"/>
        <v>10</v>
      </c>
      <c r="N622">
        <f t="shared" si="39"/>
        <v>2019</v>
      </c>
      <c r="O622" t="str">
        <f>VLOOKUP(M622,month_lookup!A:B,2,FALSE)</f>
        <v>Oct</v>
      </c>
      <c r="P622">
        <f t="shared" si="40"/>
        <v>-107359.01</v>
      </c>
    </row>
    <row r="623" spans="1:16" x14ac:dyDescent="0.25">
      <c r="A623" t="s">
        <v>105</v>
      </c>
      <c r="B623" s="1">
        <v>148359.67999999999</v>
      </c>
      <c r="C623">
        <v>118480.04</v>
      </c>
      <c r="D623" s="2">
        <v>44035</v>
      </c>
      <c r="E623" t="s">
        <v>17</v>
      </c>
      <c r="F623" t="s">
        <v>209</v>
      </c>
      <c r="G623" t="s">
        <v>106</v>
      </c>
      <c r="H623" t="s">
        <v>107</v>
      </c>
      <c r="I623" t="s">
        <v>27</v>
      </c>
      <c r="J623" t="s">
        <v>780</v>
      </c>
      <c r="L623">
        <f t="shared" si="37"/>
        <v>202007</v>
      </c>
      <c r="M623">
        <f t="shared" si="38"/>
        <v>7</v>
      </c>
      <c r="N623">
        <f t="shared" si="39"/>
        <v>2020</v>
      </c>
      <c r="O623" t="str">
        <f>VLOOKUP(M623,month_lookup!A:B,2,FALSE)</f>
        <v>Jul</v>
      </c>
      <c r="P623">
        <f t="shared" si="40"/>
        <v>148359.67999999999</v>
      </c>
    </row>
    <row r="624" spans="1:16" x14ac:dyDescent="0.25">
      <c r="A624" t="s">
        <v>16</v>
      </c>
      <c r="B624" s="1">
        <v>177464.83</v>
      </c>
      <c r="C624">
        <v>142717.22</v>
      </c>
      <c r="D624" s="2">
        <v>43855</v>
      </c>
      <c r="E624" t="s">
        <v>61</v>
      </c>
      <c r="F624" t="s">
        <v>53</v>
      </c>
      <c r="G624" t="s">
        <v>19</v>
      </c>
      <c r="H624" t="s">
        <v>352</v>
      </c>
      <c r="I624" t="s">
        <v>27</v>
      </c>
      <c r="J624" t="s">
        <v>781</v>
      </c>
      <c r="L624">
        <f t="shared" si="37"/>
        <v>202001</v>
      </c>
      <c r="M624">
        <f t="shared" si="38"/>
        <v>1</v>
      </c>
      <c r="N624">
        <f t="shared" si="39"/>
        <v>2020</v>
      </c>
      <c r="O624" t="str">
        <f>VLOOKUP(M624,month_lookup!A:B,2,FALSE)</f>
        <v>Jan</v>
      </c>
      <c r="P624">
        <f t="shared" si="40"/>
        <v>177464.83</v>
      </c>
    </row>
    <row r="625" spans="1:16" x14ac:dyDescent="0.25">
      <c r="A625" t="s">
        <v>22</v>
      </c>
      <c r="B625" s="1">
        <v>168757.23</v>
      </c>
      <c r="C625">
        <v>136895.85999999999</v>
      </c>
      <c r="D625" s="2">
        <v>44067</v>
      </c>
      <c r="E625" t="s">
        <v>50</v>
      </c>
      <c r="F625" t="s">
        <v>122</v>
      </c>
      <c r="G625" t="s">
        <v>25</v>
      </c>
      <c r="H625" t="s">
        <v>31</v>
      </c>
      <c r="I625" t="s">
        <v>27</v>
      </c>
      <c r="J625" t="s">
        <v>782</v>
      </c>
      <c r="L625">
        <f t="shared" si="37"/>
        <v>202008</v>
      </c>
      <c r="M625">
        <f t="shared" si="38"/>
        <v>8</v>
      </c>
      <c r="N625">
        <f t="shared" si="39"/>
        <v>2020</v>
      </c>
      <c r="O625" t="str">
        <f>VLOOKUP(M625,month_lookup!A:B,2,FALSE)</f>
        <v>Aug</v>
      </c>
      <c r="P625">
        <f t="shared" si="40"/>
        <v>168757.23</v>
      </c>
    </row>
    <row r="626" spans="1:16" x14ac:dyDescent="0.25">
      <c r="A626" t="s">
        <v>52</v>
      </c>
      <c r="B626" s="1">
        <v>19814.86</v>
      </c>
      <c r="C626">
        <v>16787.150000000001</v>
      </c>
      <c r="D626" s="2">
        <v>43910</v>
      </c>
      <c r="E626" t="s">
        <v>50</v>
      </c>
      <c r="F626" t="s">
        <v>101</v>
      </c>
      <c r="G626" t="s">
        <v>54</v>
      </c>
      <c r="H626" t="s">
        <v>143</v>
      </c>
      <c r="I626" t="s">
        <v>27</v>
      </c>
      <c r="J626" t="s">
        <v>783</v>
      </c>
      <c r="L626">
        <f t="shared" si="37"/>
        <v>202003</v>
      </c>
      <c r="M626">
        <f t="shared" si="38"/>
        <v>3</v>
      </c>
      <c r="N626">
        <f t="shared" si="39"/>
        <v>2020</v>
      </c>
      <c r="O626" t="str">
        <f>VLOOKUP(M626,month_lookup!A:B,2,FALSE)</f>
        <v>Mar</v>
      </c>
      <c r="P626">
        <f t="shared" si="40"/>
        <v>19814.86</v>
      </c>
    </row>
    <row r="627" spans="1:16" x14ac:dyDescent="0.25">
      <c r="A627" t="s">
        <v>95</v>
      </c>
      <c r="B627" s="1">
        <v>46311.34</v>
      </c>
      <c r="C627">
        <v>40564.1</v>
      </c>
      <c r="D627" s="2">
        <v>43891</v>
      </c>
      <c r="E627" t="s">
        <v>45</v>
      </c>
      <c r="F627" t="s">
        <v>733</v>
      </c>
      <c r="G627" t="s">
        <v>97</v>
      </c>
      <c r="H627" t="s">
        <v>98</v>
      </c>
      <c r="I627" t="s">
        <v>27</v>
      </c>
      <c r="J627" t="s">
        <v>784</v>
      </c>
      <c r="L627">
        <f t="shared" si="37"/>
        <v>202003</v>
      </c>
      <c r="M627">
        <f t="shared" si="38"/>
        <v>3</v>
      </c>
      <c r="N627">
        <f t="shared" si="39"/>
        <v>2020</v>
      </c>
      <c r="O627" t="str">
        <f>VLOOKUP(M627,month_lookup!A:B,2,FALSE)</f>
        <v>Mar</v>
      </c>
      <c r="P627">
        <f t="shared" si="40"/>
        <v>46311.34</v>
      </c>
    </row>
    <row r="628" spans="1:16" x14ac:dyDescent="0.25">
      <c r="A628" t="s">
        <v>52</v>
      </c>
      <c r="B628" s="1">
        <v>144927.17000000001</v>
      </c>
      <c r="C628">
        <v>122260.56</v>
      </c>
      <c r="D628" s="2">
        <v>44081</v>
      </c>
      <c r="E628" t="s">
        <v>50</v>
      </c>
      <c r="F628" t="s">
        <v>88</v>
      </c>
      <c r="G628" t="s">
        <v>54</v>
      </c>
      <c r="H628" t="s">
        <v>127</v>
      </c>
      <c r="I628" t="s">
        <v>27</v>
      </c>
      <c r="J628" t="s">
        <v>785</v>
      </c>
      <c r="L628">
        <f t="shared" si="37"/>
        <v>202009</v>
      </c>
      <c r="M628">
        <f t="shared" si="38"/>
        <v>9</v>
      </c>
      <c r="N628">
        <f t="shared" si="39"/>
        <v>2020</v>
      </c>
      <c r="O628" t="str">
        <f>VLOOKUP(M628,month_lookup!A:B,2,FALSE)</f>
        <v>Sep</v>
      </c>
      <c r="P628">
        <f t="shared" si="40"/>
        <v>144927.17000000001</v>
      </c>
    </row>
    <row r="629" spans="1:16" x14ac:dyDescent="0.25">
      <c r="A629" t="s">
        <v>83</v>
      </c>
      <c r="B629" s="1">
        <v>203231.73</v>
      </c>
      <c r="C629">
        <v>163052.82</v>
      </c>
      <c r="D629" s="2">
        <v>43822</v>
      </c>
      <c r="E629" t="s">
        <v>10</v>
      </c>
      <c r="F629" t="s">
        <v>706</v>
      </c>
      <c r="G629" t="s">
        <v>84</v>
      </c>
      <c r="H629" t="s">
        <v>85</v>
      </c>
      <c r="I629" t="s">
        <v>27</v>
      </c>
      <c r="J629" t="s">
        <v>786</v>
      </c>
      <c r="L629">
        <f t="shared" si="37"/>
        <v>201912</v>
      </c>
      <c r="M629">
        <f t="shared" si="38"/>
        <v>12</v>
      </c>
      <c r="N629">
        <f t="shared" si="39"/>
        <v>2019</v>
      </c>
      <c r="O629" t="str">
        <f>VLOOKUP(M629,month_lookup!A:B,2,FALSE)</f>
        <v>Dec</v>
      </c>
      <c r="P629">
        <f t="shared" si="40"/>
        <v>-203231.73</v>
      </c>
    </row>
    <row r="630" spans="1:16" x14ac:dyDescent="0.25">
      <c r="A630" t="s">
        <v>22</v>
      </c>
      <c r="B630" s="1">
        <v>40467.85</v>
      </c>
      <c r="C630">
        <v>34656.67</v>
      </c>
      <c r="D630" s="2">
        <v>43889</v>
      </c>
      <c r="E630" t="s">
        <v>59</v>
      </c>
      <c r="F630" t="s">
        <v>57</v>
      </c>
      <c r="G630" t="s">
        <v>25</v>
      </c>
      <c r="H630" t="s">
        <v>75</v>
      </c>
      <c r="I630" t="s">
        <v>37</v>
      </c>
      <c r="J630" t="s">
        <v>787</v>
      </c>
      <c r="L630">
        <f t="shared" si="37"/>
        <v>202002</v>
      </c>
      <c r="M630">
        <f t="shared" si="38"/>
        <v>2</v>
      </c>
      <c r="N630">
        <f t="shared" si="39"/>
        <v>2020</v>
      </c>
      <c r="O630" t="str">
        <f>VLOOKUP(M630,month_lookup!A:B,2,FALSE)</f>
        <v>Feb</v>
      </c>
      <c r="P630">
        <f t="shared" si="40"/>
        <v>40467.85</v>
      </c>
    </row>
    <row r="631" spans="1:16" x14ac:dyDescent="0.25">
      <c r="A631" t="s">
        <v>9</v>
      </c>
      <c r="B631" s="1">
        <v>85156.7</v>
      </c>
      <c r="C631">
        <v>69479.350000000006</v>
      </c>
      <c r="D631" s="2">
        <v>43970</v>
      </c>
      <c r="E631" t="s">
        <v>29</v>
      </c>
      <c r="F631" t="s">
        <v>202</v>
      </c>
      <c r="G631" t="s">
        <v>12</v>
      </c>
      <c r="H631" t="s">
        <v>117</v>
      </c>
      <c r="I631" t="s">
        <v>27</v>
      </c>
      <c r="J631" t="s">
        <v>788</v>
      </c>
      <c r="L631">
        <f t="shared" si="37"/>
        <v>202005</v>
      </c>
      <c r="M631">
        <f t="shared" si="38"/>
        <v>5</v>
      </c>
      <c r="N631">
        <f t="shared" si="39"/>
        <v>2020</v>
      </c>
      <c r="O631" t="str">
        <f>VLOOKUP(M631,month_lookup!A:B,2,FALSE)</f>
        <v>May</v>
      </c>
      <c r="P631">
        <f t="shared" si="40"/>
        <v>85156.7</v>
      </c>
    </row>
    <row r="632" spans="1:16" x14ac:dyDescent="0.25">
      <c r="A632" t="s">
        <v>22</v>
      </c>
      <c r="B632" s="1">
        <v>66146.570000000007</v>
      </c>
      <c r="C632">
        <v>56145.21</v>
      </c>
      <c r="D632" s="2">
        <v>43928</v>
      </c>
      <c r="E632" t="s">
        <v>79</v>
      </c>
      <c r="F632" t="s">
        <v>30</v>
      </c>
      <c r="G632" t="s">
        <v>25</v>
      </c>
      <c r="H632" t="s">
        <v>218</v>
      </c>
      <c r="I632" t="s">
        <v>27</v>
      </c>
      <c r="J632" t="s">
        <v>789</v>
      </c>
      <c r="L632">
        <f t="shared" si="37"/>
        <v>202004</v>
      </c>
      <c r="M632">
        <f t="shared" si="38"/>
        <v>4</v>
      </c>
      <c r="N632">
        <f t="shared" si="39"/>
        <v>2020</v>
      </c>
      <c r="O632" t="str">
        <f>VLOOKUP(M632,month_lookup!A:B,2,FALSE)</f>
        <v>Apr</v>
      </c>
      <c r="P632">
        <f t="shared" si="40"/>
        <v>66146.570000000007</v>
      </c>
    </row>
    <row r="633" spans="1:16" x14ac:dyDescent="0.25">
      <c r="A633" t="s">
        <v>100</v>
      </c>
      <c r="B633" s="1">
        <v>230669.37</v>
      </c>
      <c r="C633">
        <v>182321.07</v>
      </c>
      <c r="D633" s="2">
        <v>43621</v>
      </c>
      <c r="E633" t="s">
        <v>10</v>
      </c>
      <c r="F633" t="s">
        <v>159</v>
      </c>
      <c r="G633" t="s">
        <v>102</v>
      </c>
      <c r="H633" t="s">
        <v>161</v>
      </c>
      <c r="I633" t="s">
        <v>27</v>
      </c>
      <c r="J633" t="s">
        <v>790</v>
      </c>
      <c r="L633">
        <f t="shared" si="37"/>
        <v>201906</v>
      </c>
      <c r="M633">
        <f t="shared" si="38"/>
        <v>6</v>
      </c>
      <c r="N633">
        <f t="shared" si="39"/>
        <v>2019</v>
      </c>
      <c r="O633" t="str">
        <f>VLOOKUP(M633,month_lookup!A:B,2,FALSE)</f>
        <v>Jun</v>
      </c>
      <c r="P633">
        <f t="shared" si="40"/>
        <v>-230669.37</v>
      </c>
    </row>
    <row r="634" spans="1:16" x14ac:dyDescent="0.25">
      <c r="A634" t="s">
        <v>44</v>
      </c>
      <c r="B634" s="1">
        <v>59043.39</v>
      </c>
      <c r="C634">
        <v>48876.12</v>
      </c>
      <c r="D634" s="2">
        <v>44131</v>
      </c>
      <c r="E634" t="s">
        <v>59</v>
      </c>
      <c r="F634" t="s">
        <v>101</v>
      </c>
      <c r="G634" t="s">
        <v>47</v>
      </c>
      <c r="H634" t="s">
        <v>65</v>
      </c>
      <c r="I634" t="s">
        <v>27</v>
      </c>
      <c r="J634" t="s">
        <v>791</v>
      </c>
      <c r="L634">
        <f t="shared" si="37"/>
        <v>202010</v>
      </c>
      <c r="M634">
        <f t="shared" si="38"/>
        <v>10</v>
      </c>
      <c r="N634">
        <f t="shared" si="39"/>
        <v>2020</v>
      </c>
      <c r="O634" t="str">
        <f>VLOOKUP(M634,month_lookup!A:B,2,FALSE)</f>
        <v>Oct</v>
      </c>
      <c r="P634">
        <f t="shared" si="40"/>
        <v>59043.39</v>
      </c>
    </row>
    <row r="635" spans="1:16" x14ac:dyDescent="0.25">
      <c r="A635" t="s">
        <v>172</v>
      </c>
      <c r="B635" s="1">
        <v>99887.86</v>
      </c>
      <c r="C635">
        <v>84045.65</v>
      </c>
      <c r="D635" s="2">
        <v>43900</v>
      </c>
      <c r="E635" t="s">
        <v>79</v>
      </c>
      <c r="F635" t="s">
        <v>113</v>
      </c>
      <c r="G635" t="s">
        <v>174</v>
      </c>
      <c r="H635" t="s">
        <v>175</v>
      </c>
      <c r="I635" t="s">
        <v>27</v>
      </c>
      <c r="J635" t="s">
        <v>792</v>
      </c>
      <c r="L635">
        <f t="shared" si="37"/>
        <v>202003</v>
      </c>
      <c r="M635">
        <f t="shared" si="38"/>
        <v>3</v>
      </c>
      <c r="N635">
        <f t="shared" si="39"/>
        <v>2020</v>
      </c>
      <c r="O635" t="str">
        <f>VLOOKUP(M635,month_lookup!A:B,2,FALSE)</f>
        <v>Mar</v>
      </c>
      <c r="P635">
        <f t="shared" si="40"/>
        <v>99887.86</v>
      </c>
    </row>
    <row r="636" spans="1:16" x14ac:dyDescent="0.25">
      <c r="A636" t="s">
        <v>83</v>
      </c>
      <c r="B636" s="1">
        <v>214983.15</v>
      </c>
      <c r="C636">
        <v>180413.86</v>
      </c>
      <c r="D636" s="2">
        <v>43627</v>
      </c>
      <c r="E636" t="s">
        <v>29</v>
      </c>
      <c r="F636" t="s">
        <v>223</v>
      </c>
      <c r="G636" t="s">
        <v>84</v>
      </c>
      <c r="H636" t="s">
        <v>85</v>
      </c>
      <c r="I636" t="s">
        <v>37</v>
      </c>
      <c r="J636" t="s">
        <v>793</v>
      </c>
      <c r="L636">
        <f t="shared" si="37"/>
        <v>201906</v>
      </c>
      <c r="M636">
        <f t="shared" si="38"/>
        <v>6</v>
      </c>
      <c r="N636">
        <f t="shared" si="39"/>
        <v>2019</v>
      </c>
      <c r="O636" t="str">
        <f>VLOOKUP(M636,month_lookup!A:B,2,FALSE)</f>
        <v>Jun</v>
      </c>
      <c r="P636">
        <f t="shared" si="40"/>
        <v>-214983.15</v>
      </c>
    </row>
    <row r="637" spans="1:16" x14ac:dyDescent="0.25">
      <c r="A637" t="s">
        <v>22</v>
      </c>
      <c r="B637" s="1">
        <v>52209.31</v>
      </c>
      <c r="C637">
        <v>41480.300000000003</v>
      </c>
      <c r="D637" s="2">
        <v>43550</v>
      </c>
      <c r="E637" t="s">
        <v>29</v>
      </c>
      <c r="F637" t="s">
        <v>223</v>
      </c>
      <c r="G637" t="s">
        <v>25</v>
      </c>
      <c r="H637" t="s">
        <v>75</v>
      </c>
      <c r="I637" t="s">
        <v>27</v>
      </c>
      <c r="J637" t="s">
        <v>794</v>
      </c>
      <c r="L637">
        <f t="shared" si="37"/>
        <v>201903</v>
      </c>
      <c r="M637">
        <f t="shared" si="38"/>
        <v>3</v>
      </c>
      <c r="N637">
        <f t="shared" si="39"/>
        <v>2019</v>
      </c>
      <c r="O637" t="str">
        <f>VLOOKUP(M637,month_lookup!A:B,2,FALSE)</f>
        <v>Mar</v>
      </c>
      <c r="P637">
        <f t="shared" si="40"/>
        <v>-52209.31</v>
      </c>
    </row>
    <row r="638" spans="1:16" x14ac:dyDescent="0.25">
      <c r="A638" t="s">
        <v>9</v>
      </c>
      <c r="B638" s="1">
        <v>83782.11</v>
      </c>
      <c r="C638">
        <v>67310.55</v>
      </c>
      <c r="D638" s="2">
        <v>43506</v>
      </c>
      <c r="E638" t="s">
        <v>79</v>
      </c>
      <c r="F638" t="s">
        <v>157</v>
      </c>
      <c r="G638" t="s">
        <v>12</v>
      </c>
      <c r="H638" t="s">
        <v>13</v>
      </c>
      <c r="I638" t="s">
        <v>27</v>
      </c>
      <c r="J638" t="s">
        <v>795</v>
      </c>
      <c r="L638">
        <f t="shared" si="37"/>
        <v>201902</v>
      </c>
      <c r="M638">
        <f t="shared" si="38"/>
        <v>2</v>
      </c>
      <c r="N638">
        <f t="shared" si="39"/>
        <v>2019</v>
      </c>
      <c r="O638" t="str">
        <f>VLOOKUP(M638,month_lookup!A:B,2,FALSE)</f>
        <v>Feb</v>
      </c>
      <c r="P638">
        <f t="shared" si="40"/>
        <v>-83782.11</v>
      </c>
    </row>
    <row r="639" spans="1:16" x14ac:dyDescent="0.25">
      <c r="A639" t="s">
        <v>22</v>
      </c>
      <c r="B639" s="1">
        <v>166367.16</v>
      </c>
      <c r="C639">
        <v>135788.88</v>
      </c>
      <c r="D639" s="2">
        <v>44137</v>
      </c>
      <c r="E639" t="s">
        <v>29</v>
      </c>
      <c r="F639" t="s">
        <v>63</v>
      </c>
      <c r="G639" t="s">
        <v>25</v>
      </c>
      <c r="H639" t="s">
        <v>26</v>
      </c>
      <c r="I639" t="s">
        <v>27</v>
      </c>
      <c r="J639" t="s">
        <v>796</v>
      </c>
      <c r="L639">
        <f t="shared" si="37"/>
        <v>202011</v>
      </c>
      <c r="M639">
        <f t="shared" si="38"/>
        <v>11</v>
      </c>
      <c r="N639">
        <f t="shared" si="39"/>
        <v>2020</v>
      </c>
      <c r="O639" t="str">
        <f>VLOOKUP(M639,month_lookup!A:B,2,FALSE)</f>
        <v>Nov</v>
      </c>
      <c r="P639">
        <f t="shared" si="40"/>
        <v>166367.16</v>
      </c>
    </row>
    <row r="640" spans="1:16" x14ac:dyDescent="0.25">
      <c r="A640" t="s">
        <v>44</v>
      </c>
      <c r="B640" s="1">
        <v>167615.14000000001</v>
      </c>
      <c r="C640">
        <v>135567.12</v>
      </c>
      <c r="D640" s="2">
        <v>44195</v>
      </c>
      <c r="E640" t="s">
        <v>59</v>
      </c>
      <c r="F640" t="s">
        <v>34</v>
      </c>
      <c r="G640" t="s">
        <v>47</v>
      </c>
      <c r="H640" t="s">
        <v>48</v>
      </c>
      <c r="I640" t="s">
        <v>27</v>
      </c>
      <c r="J640" t="s">
        <v>797</v>
      </c>
      <c r="L640">
        <f t="shared" si="37"/>
        <v>202012</v>
      </c>
      <c r="M640">
        <f t="shared" si="38"/>
        <v>12</v>
      </c>
      <c r="N640">
        <f t="shared" si="39"/>
        <v>2020</v>
      </c>
      <c r="O640" t="str">
        <f>VLOOKUP(M640,month_lookup!A:B,2,FALSE)</f>
        <v>Dec</v>
      </c>
      <c r="P640">
        <f t="shared" si="40"/>
        <v>167615.14000000001</v>
      </c>
    </row>
    <row r="641" spans="1:16" x14ac:dyDescent="0.25">
      <c r="A641" t="s">
        <v>9</v>
      </c>
      <c r="B641" s="1">
        <v>118030.7</v>
      </c>
      <c r="C641">
        <v>97304.51</v>
      </c>
      <c r="D641" s="2">
        <v>43712</v>
      </c>
      <c r="E641" t="s">
        <v>79</v>
      </c>
      <c r="F641" t="s">
        <v>209</v>
      </c>
      <c r="G641" t="s">
        <v>12</v>
      </c>
      <c r="H641" t="s">
        <v>13</v>
      </c>
      <c r="I641" t="s">
        <v>27</v>
      </c>
      <c r="J641" t="s">
        <v>798</v>
      </c>
      <c r="L641">
        <f t="shared" si="37"/>
        <v>201909</v>
      </c>
      <c r="M641">
        <f t="shared" si="38"/>
        <v>9</v>
      </c>
      <c r="N641">
        <f t="shared" si="39"/>
        <v>2019</v>
      </c>
      <c r="O641" t="str">
        <f>VLOOKUP(M641,month_lookup!A:B,2,FALSE)</f>
        <v>Sep</v>
      </c>
      <c r="P641">
        <f t="shared" si="40"/>
        <v>-118030.7</v>
      </c>
    </row>
    <row r="642" spans="1:16" x14ac:dyDescent="0.25">
      <c r="A642" t="s">
        <v>83</v>
      </c>
      <c r="B642" s="1">
        <v>102073.04</v>
      </c>
      <c r="C642">
        <v>81770.710000000006</v>
      </c>
      <c r="D642" s="2">
        <v>43892</v>
      </c>
      <c r="E642" t="s">
        <v>61</v>
      </c>
      <c r="F642" t="s">
        <v>39</v>
      </c>
      <c r="G642" t="s">
        <v>84</v>
      </c>
      <c r="H642" t="s">
        <v>85</v>
      </c>
      <c r="I642" t="s">
        <v>14</v>
      </c>
      <c r="J642" t="s">
        <v>799</v>
      </c>
      <c r="L642">
        <f t="shared" si="37"/>
        <v>202003</v>
      </c>
      <c r="M642">
        <f t="shared" si="38"/>
        <v>3</v>
      </c>
      <c r="N642">
        <f t="shared" si="39"/>
        <v>2020</v>
      </c>
      <c r="O642" t="str">
        <f>VLOOKUP(M642,month_lookup!A:B,2,FALSE)</f>
        <v>Mar</v>
      </c>
      <c r="P642">
        <f t="shared" si="40"/>
        <v>102073.04</v>
      </c>
    </row>
    <row r="643" spans="1:16" x14ac:dyDescent="0.25">
      <c r="A643" t="s">
        <v>16</v>
      </c>
      <c r="B643" s="1">
        <v>99989.89</v>
      </c>
      <c r="C643">
        <v>81191.789999999994</v>
      </c>
      <c r="D643" s="2">
        <v>43784</v>
      </c>
      <c r="E643" t="s">
        <v>50</v>
      </c>
      <c r="F643" t="s">
        <v>253</v>
      </c>
      <c r="G643" t="s">
        <v>19</v>
      </c>
      <c r="H643" t="s">
        <v>20</v>
      </c>
      <c r="I643" t="s">
        <v>27</v>
      </c>
      <c r="J643" t="s">
        <v>800</v>
      </c>
      <c r="L643">
        <f t="shared" ref="L643:L706" si="41">YEAR(D643)*100+MONTH(D643)</f>
        <v>201911</v>
      </c>
      <c r="M643">
        <f t="shared" ref="M643:M706" si="42">MONTH(D643)</f>
        <v>11</v>
      </c>
      <c r="N643">
        <f t="shared" ref="N643:N706" si="43">YEAR(D643)</f>
        <v>2019</v>
      </c>
      <c r="O643" t="str">
        <f>VLOOKUP(M643,month_lookup!A:B,2,FALSE)</f>
        <v>Nov</v>
      </c>
      <c r="P643">
        <f t="shared" si="40"/>
        <v>-99989.89</v>
      </c>
    </row>
    <row r="644" spans="1:16" x14ac:dyDescent="0.25">
      <c r="A644" t="s">
        <v>9</v>
      </c>
      <c r="B644" s="1">
        <v>79407.28</v>
      </c>
      <c r="C644">
        <v>64383.42</v>
      </c>
      <c r="D644" s="2">
        <v>44033</v>
      </c>
      <c r="E644" t="s">
        <v>45</v>
      </c>
      <c r="F644" t="s">
        <v>93</v>
      </c>
      <c r="G644" t="s">
        <v>12</v>
      </c>
      <c r="H644" t="s">
        <v>81</v>
      </c>
      <c r="I644" t="s">
        <v>27</v>
      </c>
      <c r="J644" t="s">
        <v>801</v>
      </c>
      <c r="L644">
        <f t="shared" si="41"/>
        <v>202007</v>
      </c>
      <c r="M644">
        <f t="shared" si="42"/>
        <v>7</v>
      </c>
      <c r="N644">
        <f t="shared" si="43"/>
        <v>2020</v>
      </c>
      <c r="O644" t="str">
        <f>VLOOKUP(M644,month_lookup!A:B,2,FALSE)</f>
        <v>Jul</v>
      </c>
      <c r="P644">
        <f t="shared" si="40"/>
        <v>79407.28</v>
      </c>
    </row>
    <row r="645" spans="1:16" x14ac:dyDescent="0.25">
      <c r="A645" t="s">
        <v>52</v>
      </c>
      <c r="B645" s="1">
        <v>184431.48</v>
      </c>
      <c r="C645">
        <v>153059.69</v>
      </c>
      <c r="D645" s="2">
        <v>43806</v>
      </c>
      <c r="E645" t="s">
        <v>10</v>
      </c>
      <c r="F645" t="s">
        <v>34</v>
      </c>
      <c r="G645" t="s">
        <v>54</v>
      </c>
      <c r="H645" t="s">
        <v>132</v>
      </c>
      <c r="I645" t="s">
        <v>14</v>
      </c>
      <c r="J645" t="s">
        <v>802</v>
      </c>
      <c r="L645">
        <f t="shared" si="41"/>
        <v>201912</v>
      </c>
      <c r="M645">
        <f t="shared" si="42"/>
        <v>12</v>
      </c>
      <c r="N645">
        <f t="shared" si="43"/>
        <v>2019</v>
      </c>
      <c r="O645" t="str">
        <f>VLOOKUP(M645,month_lookup!A:B,2,FALSE)</f>
        <v>Dec</v>
      </c>
      <c r="P645">
        <f t="shared" si="40"/>
        <v>-184431.48</v>
      </c>
    </row>
    <row r="646" spans="1:16" x14ac:dyDescent="0.25">
      <c r="A646" t="s">
        <v>22</v>
      </c>
      <c r="B646" s="1">
        <v>144725.34</v>
      </c>
      <c r="C646">
        <v>115056.65</v>
      </c>
      <c r="D646" s="2">
        <v>43480</v>
      </c>
      <c r="E646" t="s">
        <v>59</v>
      </c>
      <c r="F646" t="s">
        <v>63</v>
      </c>
      <c r="G646" t="s">
        <v>25</v>
      </c>
      <c r="H646" t="s">
        <v>31</v>
      </c>
      <c r="I646" t="s">
        <v>27</v>
      </c>
      <c r="J646" t="s">
        <v>803</v>
      </c>
      <c r="L646">
        <f t="shared" si="41"/>
        <v>201901</v>
      </c>
      <c r="M646">
        <f t="shared" si="42"/>
        <v>1</v>
      </c>
      <c r="N646">
        <f t="shared" si="43"/>
        <v>2019</v>
      </c>
      <c r="O646" t="str">
        <f>VLOOKUP(M646,month_lookup!A:B,2,FALSE)</f>
        <v>Jan</v>
      </c>
      <c r="P646">
        <f t="shared" si="40"/>
        <v>-144725.34</v>
      </c>
    </row>
    <row r="647" spans="1:16" x14ac:dyDescent="0.25">
      <c r="A647" t="s">
        <v>44</v>
      </c>
      <c r="B647" s="1">
        <v>21921.66</v>
      </c>
      <c r="C647">
        <v>18802.21</v>
      </c>
      <c r="D647" s="2">
        <v>43895</v>
      </c>
      <c r="E647" t="s">
        <v>59</v>
      </c>
      <c r="F647" t="s">
        <v>57</v>
      </c>
      <c r="G647" t="s">
        <v>47</v>
      </c>
      <c r="H647" t="s">
        <v>73</v>
      </c>
      <c r="I647" t="s">
        <v>37</v>
      </c>
      <c r="J647" t="s">
        <v>804</v>
      </c>
      <c r="L647">
        <f t="shared" si="41"/>
        <v>202003</v>
      </c>
      <c r="M647">
        <f t="shared" si="42"/>
        <v>3</v>
      </c>
      <c r="N647">
        <f t="shared" si="43"/>
        <v>2020</v>
      </c>
      <c r="O647" t="str">
        <f>VLOOKUP(M647,month_lookup!A:B,2,FALSE)</f>
        <v>Mar</v>
      </c>
      <c r="P647">
        <f t="shared" ref="P647:P710" si="44">IF(N647=2020,B647,-B647)</f>
        <v>21921.66</v>
      </c>
    </row>
    <row r="648" spans="1:16" x14ac:dyDescent="0.25">
      <c r="A648" t="s">
        <v>22</v>
      </c>
      <c r="B648" s="1">
        <v>21341.66</v>
      </c>
      <c r="C648">
        <v>16930.34</v>
      </c>
      <c r="D648" s="2">
        <v>43552</v>
      </c>
      <c r="E648" t="s">
        <v>17</v>
      </c>
      <c r="F648" t="s">
        <v>301</v>
      </c>
      <c r="G648" t="s">
        <v>25</v>
      </c>
      <c r="H648" t="s">
        <v>26</v>
      </c>
      <c r="I648" t="s">
        <v>27</v>
      </c>
      <c r="J648" t="s">
        <v>805</v>
      </c>
      <c r="L648">
        <f t="shared" si="41"/>
        <v>201903</v>
      </c>
      <c r="M648">
        <f t="shared" si="42"/>
        <v>3</v>
      </c>
      <c r="N648">
        <f t="shared" si="43"/>
        <v>2019</v>
      </c>
      <c r="O648" t="str">
        <f>VLOOKUP(M648,month_lookup!A:B,2,FALSE)</f>
        <v>Mar</v>
      </c>
      <c r="P648">
        <f t="shared" si="44"/>
        <v>-21341.66</v>
      </c>
    </row>
    <row r="649" spans="1:16" x14ac:dyDescent="0.25">
      <c r="A649" t="s">
        <v>9</v>
      </c>
      <c r="B649" s="1">
        <v>84537.2</v>
      </c>
      <c r="C649">
        <v>69405.039999999994</v>
      </c>
      <c r="D649" s="2">
        <v>43849</v>
      </c>
      <c r="E649" t="s">
        <v>17</v>
      </c>
      <c r="F649" t="s">
        <v>115</v>
      </c>
      <c r="G649" t="s">
        <v>12</v>
      </c>
      <c r="H649" t="s">
        <v>169</v>
      </c>
      <c r="I649" t="s">
        <v>14</v>
      </c>
      <c r="J649" t="s">
        <v>806</v>
      </c>
      <c r="L649">
        <f t="shared" si="41"/>
        <v>202001</v>
      </c>
      <c r="M649">
        <f t="shared" si="42"/>
        <v>1</v>
      </c>
      <c r="N649">
        <f t="shared" si="43"/>
        <v>2020</v>
      </c>
      <c r="O649" t="str">
        <f>VLOOKUP(M649,month_lookup!A:B,2,FALSE)</f>
        <v>Jan</v>
      </c>
      <c r="P649">
        <f t="shared" si="44"/>
        <v>84537.2</v>
      </c>
    </row>
    <row r="650" spans="1:16" x14ac:dyDescent="0.25">
      <c r="A650" t="s">
        <v>52</v>
      </c>
      <c r="B650" s="1">
        <v>40544.43</v>
      </c>
      <c r="C650">
        <v>32666.65</v>
      </c>
      <c r="D650" s="2">
        <v>44044</v>
      </c>
      <c r="E650" t="s">
        <v>10</v>
      </c>
      <c r="F650" t="s">
        <v>34</v>
      </c>
      <c r="G650" t="s">
        <v>54</v>
      </c>
      <c r="H650" t="s">
        <v>132</v>
      </c>
      <c r="I650" t="s">
        <v>27</v>
      </c>
      <c r="J650" t="s">
        <v>807</v>
      </c>
      <c r="L650">
        <f t="shared" si="41"/>
        <v>202008</v>
      </c>
      <c r="M650">
        <f t="shared" si="42"/>
        <v>8</v>
      </c>
      <c r="N650">
        <f t="shared" si="43"/>
        <v>2020</v>
      </c>
      <c r="O650" t="str">
        <f>VLOOKUP(M650,month_lookup!A:B,2,FALSE)</f>
        <v>Aug</v>
      </c>
      <c r="P650">
        <f t="shared" si="44"/>
        <v>40544.43</v>
      </c>
    </row>
    <row r="651" spans="1:16" x14ac:dyDescent="0.25">
      <c r="A651" t="s">
        <v>16</v>
      </c>
      <c r="B651" s="1">
        <v>178189.57</v>
      </c>
      <c r="C651">
        <v>153421.22</v>
      </c>
      <c r="D651" s="2">
        <v>43686</v>
      </c>
      <c r="E651" t="s">
        <v>17</v>
      </c>
      <c r="F651" t="s">
        <v>34</v>
      </c>
      <c r="G651" t="s">
        <v>19</v>
      </c>
      <c r="H651" t="s">
        <v>352</v>
      </c>
      <c r="I651" t="s">
        <v>27</v>
      </c>
      <c r="J651" t="s">
        <v>808</v>
      </c>
      <c r="L651">
        <f t="shared" si="41"/>
        <v>201908</v>
      </c>
      <c r="M651">
        <f t="shared" si="42"/>
        <v>8</v>
      </c>
      <c r="N651">
        <f t="shared" si="43"/>
        <v>2019</v>
      </c>
      <c r="O651" t="str">
        <f>VLOOKUP(M651,month_lookup!A:B,2,FALSE)</f>
        <v>Aug</v>
      </c>
      <c r="P651">
        <f t="shared" si="44"/>
        <v>-178189.57</v>
      </c>
    </row>
    <row r="652" spans="1:16" x14ac:dyDescent="0.25">
      <c r="A652" t="s">
        <v>52</v>
      </c>
      <c r="B652" s="1">
        <v>36276.11</v>
      </c>
      <c r="C652">
        <v>28748.82</v>
      </c>
      <c r="D652" s="2">
        <v>43547</v>
      </c>
      <c r="E652" t="s">
        <v>17</v>
      </c>
      <c r="F652" t="s">
        <v>34</v>
      </c>
      <c r="G652" t="s">
        <v>54</v>
      </c>
      <c r="H652" t="s">
        <v>132</v>
      </c>
      <c r="I652" t="s">
        <v>27</v>
      </c>
      <c r="J652" t="s">
        <v>809</v>
      </c>
      <c r="L652">
        <f t="shared" si="41"/>
        <v>201903</v>
      </c>
      <c r="M652">
        <f t="shared" si="42"/>
        <v>3</v>
      </c>
      <c r="N652">
        <f t="shared" si="43"/>
        <v>2019</v>
      </c>
      <c r="O652" t="str">
        <f>VLOOKUP(M652,month_lookup!A:B,2,FALSE)</f>
        <v>Mar</v>
      </c>
      <c r="P652">
        <f t="shared" si="44"/>
        <v>-36276.11</v>
      </c>
    </row>
    <row r="653" spans="1:16" x14ac:dyDescent="0.25">
      <c r="A653" t="s">
        <v>9</v>
      </c>
      <c r="B653" s="1">
        <v>36181.81</v>
      </c>
      <c r="C653">
        <v>29698.03</v>
      </c>
      <c r="D653" s="2">
        <v>44131</v>
      </c>
      <c r="E653" t="s">
        <v>50</v>
      </c>
      <c r="F653" t="s">
        <v>159</v>
      </c>
      <c r="G653" t="s">
        <v>12</v>
      </c>
      <c r="H653" t="s">
        <v>13</v>
      </c>
      <c r="I653" t="s">
        <v>37</v>
      </c>
      <c r="J653" t="s">
        <v>810</v>
      </c>
      <c r="L653">
        <f t="shared" si="41"/>
        <v>202010</v>
      </c>
      <c r="M653">
        <f t="shared" si="42"/>
        <v>10</v>
      </c>
      <c r="N653">
        <f t="shared" si="43"/>
        <v>2020</v>
      </c>
      <c r="O653" t="str">
        <f>VLOOKUP(M653,month_lookup!A:B,2,FALSE)</f>
        <v>Oct</v>
      </c>
      <c r="P653">
        <f t="shared" si="44"/>
        <v>36181.81</v>
      </c>
    </row>
    <row r="654" spans="1:16" x14ac:dyDescent="0.25">
      <c r="A654" t="s">
        <v>44</v>
      </c>
      <c r="B654" s="1">
        <v>66613.31</v>
      </c>
      <c r="C654">
        <v>55462.239999999998</v>
      </c>
      <c r="D654" s="2">
        <v>43733</v>
      </c>
      <c r="E654" t="s">
        <v>79</v>
      </c>
      <c r="F654" t="s">
        <v>122</v>
      </c>
      <c r="G654" t="s">
        <v>47</v>
      </c>
      <c r="H654" t="s">
        <v>65</v>
      </c>
      <c r="I654" t="s">
        <v>27</v>
      </c>
      <c r="J654" t="s">
        <v>811</v>
      </c>
      <c r="L654">
        <f t="shared" si="41"/>
        <v>201909</v>
      </c>
      <c r="M654">
        <f t="shared" si="42"/>
        <v>9</v>
      </c>
      <c r="N654">
        <f t="shared" si="43"/>
        <v>2019</v>
      </c>
      <c r="O654" t="str">
        <f>VLOOKUP(M654,month_lookup!A:B,2,FALSE)</f>
        <v>Sep</v>
      </c>
      <c r="P654">
        <f t="shared" si="44"/>
        <v>-66613.31</v>
      </c>
    </row>
    <row r="655" spans="1:16" x14ac:dyDescent="0.25">
      <c r="A655" t="s">
        <v>172</v>
      </c>
      <c r="B655" s="1">
        <v>77278.679999999993</v>
      </c>
      <c r="C655">
        <v>62951.21</v>
      </c>
      <c r="D655" s="2">
        <v>44106</v>
      </c>
      <c r="E655" t="s">
        <v>59</v>
      </c>
      <c r="F655" t="s">
        <v>120</v>
      </c>
      <c r="G655" t="s">
        <v>174</v>
      </c>
      <c r="H655" t="s">
        <v>211</v>
      </c>
      <c r="I655" t="s">
        <v>27</v>
      </c>
      <c r="J655" t="s">
        <v>812</v>
      </c>
      <c r="L655">
        <f t="shared" si="41"/>
        <v>202010</v>
      </c>
      <c r="M655">
        <f t="shared" si="42"/>
        <v>10</v>
      </c>
      <c r="N655">
        <f t="shared" si="43"/>
        <v>2020</v>
      </c>
      <c r="O655" t="str">
        <f>VLOOKUP(M655,month_lookup!A:B,2,FALSE)</f>
        <v>Oct</v>
      </c>
      <c r="P655">
        <f t="shared" si="44"/>
        <v>77278.679999999993</v>
      </c>
    </row>
    <row r="656" spans="1:16" x14ac:dyDescent="0.25">
      <c r="A656" t="s">
        <v>44</v>
      </c>
      <c r="B656" s="1">
        <v>149938.35999999999</v>
      </c>
      <c r="C656">
        <v>123579.2</v>
      </c>
      <c r="D656" s="2">
        <v>44149</v>
      </c>
      <c r="E656" t="s">
        <v>50</v>
      </c>
      <c r="F656" t="s">
        <v>34</v>
      </c>
      <c r="G656" t="s">
        <v>47</v>
      </c>
      <c r="H656" t="s">
        <v>73</v>
      </c>
      <c r="I656" t="s">
        <v>27</v>
      </c>
      <c r="J656" t="s">
        <v>813</v>
      </c>
      <c r="L656">
        <f t="shared" si="41"/>
        <v>202011</v>
      </c>
      <c r="M656">
        <f t="shared" si="42"/>
        <v>11</v>
      </c>
      <c r="N656">
        <f t="shared" si="43"/>
        <v>2020</v>
      </c>
      <c r="O656" t="str">
        <f>VLOOKUP(M656,month_lookup!A:B,2,FALSE)</f>
        <v>Nov</v>
      </c>
      <c r="P656">
        <f t="shared" si="44"/>
        <v>149938.35999999999</v>
      </c>
    </row>
    <row r="657" spans="1:16" x14ac:dyDescent="0.25">
      <c r="A657" t="s">
        <v>33</v>
      </c>
      <c r="B657" s="1">
        <v>123953.65</v>
      </c>
      <c r="C657">
        <v>101939.48</v>
      </c>
      <c r="D657" s="2">
        <v>43593</v>
      </c>
      <c r="E657" t="s">
        <v>29</v>
      </c>
      <c r="F657" t="s">
        <v>125</v>
      </c>
      <c r="G657" t="s">
        <v>35</v>
      </c>
      <c r="H657" t="s">
        <v>40</v>
      </c>
      <c r="I657" t="s">
        <v>27</v>
      </c>
      <c r="J657" t="s">
        <v>814</v>
      </c>
      <c r="L657">
        <f t="shared" si="41"/>
        <v>201905</v>
      </c>
      <c r="M657">
        <f t="shared" si="42"/>
        <v>5</v>
      </c>
      <c r="N657">
        <f t="shared" si="43"/>
        <v>2019</v>
      </c>
      <c r="O657" t="str">
        <f>VLOOKUP(M657,month_lookup!A:B,2,FALSE)</f>
        <v>May</v>
      </c>
      <c r="P657">
        <f t="shared" si="44"/>
        <v>-123953.65</v>
      </c>
    </row>
    <row r="658" spans="1:16" x14ac:dyDescent="0.25">
      <c r="A658" t="s">
        <v>9</v>
      </c>
      <c r="B658" s="1">
        <v>73773.600000000006</v>
      </c>
      <c r="C658">
        <v>58421.31</v>
      </c>
      <c r="D658" s="2">
        <v>43851</v>
      </c>
      <c r="E658" t="s">
        <v>10</v>
      </c>
      <c r="F658" t="s">
        <v>290</v>
      </c>
      <c r="G658" t="s">
        <v>12</v>
      </c>
      <c r="H658" t="s">
        <v>117</v>
      </c>
      <c r="I658" t="s">
        <v>14</v>
      </c>
      <c r="J658" t="s">
        <v>815</v>
      </c>
      <c r="L658">
        <f t="shared" si="41"/>
        <v>202001</v>
      </c>
      <c r="M658">
        <f t="shared" si="42"/>
        <v>1</v>
      </c>
      <c r="N658">
        <f t="shared" si="43"/>
        <v>2020</v>
      </c>
      <c r="O658" t="str">
        <f>VLOOKUP(M658,month_lookup!A:B,2,FALSE)</f>
        <v>Jan</v>
      </c>
      <c r="P658">
        <f t="shared" si="44"/>
        <v>73773.600000000006</v>
      </c>
    </row>
    <row r="659" spans="1:16" x14ac:dyDescent="0.25">
      <c r="A659" t="s">
        <v>22</v>
      </c>
      <c r="B659" s="1">
        <v>206869.73</v>
      </c>
      <c r="C659">
        <v>180928.27</v>
      </c>
      <c r="D659" s="2">
        <v>44032</v>
      </c>
      <c r="E659" t="s">
        <v>79</v>
      </c>
      <c r="F659" t="s">
        <v>149</v>
      </c>
      <c r="G659" t="s">
        <v>25</v>
      </c>
      <c r="H659" t="s">
        <v>75</v>
      </c>
      <c r="I659" t="s">
        <v>27</v>
      </c>
      <c r="J659" t="s">
        <v>816</v>
      </c>
      <c r="L659">
        <f t="shared" si="41"/>
        <v>202007</v>
      </c>
      <c r="M659">
        <f t="shared" si="42"/>
        <v>7</v>
      </c>
      <c r="N659">
        <f t="shared" si="43"/>
        <v>2020</v>
      </c>
      <c r="O659" t="str">
        <f>VLOOKUP(M659,month_lookup!A:B,2,FALSE)</f>
        <v>Jul</v>
      </c>
      <c r="P659">
        <f t="shared" si="44"/>
        <v>206869.73</v>
      </c>
    </row>
    <row r="660" spans="1:16" x14ac:dyDescent="0.25">
      <c r="A660" t="s">
        <v>52</v>
      </c>
      <c r="B660" s="1">
        <v>63690.720000000001</v>
      </c>
      <c r="C660">
        <v>53455.62</v>
      </c>
      <c r="D660" s="2">
        <v>44070</v>
      </c>
      <c r="E660" t="s">
        <v>79</v>
      </c>
      <c r="F660" t="s">
        <v>165</v>
      </c>
      <c r="G660" t="s">
        <v>54</v>
      </c>
      <c r="H660" t="s">
        <v>127</v>
      </c>
      <c r="I660" t="s">
        <v>14</v>
      </c>
      <c r="J660" t="s">
        <v>817</v>
      </c>
      <c r="L660">
        <f t="shared" si="41"/>
        <v>202008</v>
      </c>
      <c r="M660">
        <f t="shared" si="42"/>
        <v>8</v>
      </c>
      <c r="N660">
        <f t="shared" si="43"/>
        <v>2020</v>
      </c>
      <c r="O660" t="str">
        <f>VLOOKUP(M660,month_lookup!A:B,2,FALSE)</f>
        <v>Aug</v>
      </c>
      <c r="P660">
        <f t="shared" si="44"/>
        <v>63690.720000000001</v>
      </c>
    </row>
    <row r="661" spans="1:16" x14ac:dyDescent="0.25">
      <c r="A661" t="s">
        <v>44</v>
      </c>
      <c r="B661" s="1">
        <v>18897.97</v>
      </c>
      <c r="C661">
        <v>16469.580000000002</v>
      </c>
      <c r="D661" s="2">
        <v>43877</v>
      </c>
      <c r="E661" t="s">
        <v>138</v>
      </c>
      <c r="F661" t="s">
        <v>30</v>
      </c>
      <c r="G661" t="s">
        <v>47</v>
      </c>
      <c r="H661" t="s">
        <v>48</v>
      </c>
      <c r="I661" t="s">
        <v>14</v>
      </c>
      <c r="J661" t="s">
        <v>818</v>
      </c>
      <c r="L661">
        <f t="shared" si="41"/>
        <v>202002</v>
      </c>
      <c r="M661">
        <f t="shared" si="42"/>
        <v>2</v>
      </c>
      <c r="N661">
        <f t="shared" si="43"/>
        <v>2020</v>
      </c>
      <c r="O661" t="str">
        <f>VLOOKUP(M661,month_lookup!A:B,2,FALSE)</f>
        <v>Feb</v>
      </c>
      <c r="P661">
        <f t="shared" si="44"/>
        <v>18897.97</v>
      </c>
    </row>
    <row r="662" spans="1:16" x14ac:dyDescent="0.25">
      <c r="A662" t="s">
        <v>22</v>
      </c>
      <c r="B662" s="1">
        <v>134807.18</v>
      </c>
      <c r="C662">
        <v>108047.95</v>
      </c>
      <c r="D662" s="2">
        <v>44194</v>
      </c>
      <c r="E662" t="s">
        <v>29</v>
      </c>
      <c r="F662" t="s">
        <v>177</v>
      </c>
      <c r="G662" t="s">
        <v>25</v>
      </c>
      <c r="H662" t="s">
        <v>75</v>
      </c>
      <c r="I662" t="s">
        <v>27</v>
      </c>
      <c r="J662" t="s">
        <v>819</v>
      </c>
      <c r="L662">
        <f t="shared" si="41"/>
        <v>202012</v>
      </c>
      <c r="M662">
        <f t="shared" si="42"/>
        <v>12</v>
      </c>
      <c r="N662">
        <f t="shared" si="43"/>
        <v>2020</v>
      </c>
      <c r="O662" t="str">
        <f>VLOOKUP(M662,month_lookup!A:B,2,FALSE)</f>
        <v>Dec</v>
      </c>
      <c r="P662">
        <f t="shared" si="44"/>
        <v>134807.18</v>
      </c>
    </row>
    <row r="663" spans="1:16" x14ac:dyDescent="0.25">
      <c r="A663" t="s">
        <v>44</v>
      </c>
      <c r="B663" s="1">
        <v>47082.67</v>
      </c>
      <c r="C663">
        <v>37882.720000000001</v>
      </c>
      <c r="D663" s="2">
        <v>44012</v>
      </c>
      <c r="E663" t="s">
        <v>17</v>
      </c>
      <c r="F663" t="s">
        <v>236</v>
      </c>
      <c r="G663" t="s">
        <v>47</v>
      </c>
      <c r="H663" t="s">
        <v>48</v>
      </c>
      <c r="I663" t="s">
        <v>27</v>
      </c>
      <c r="J663" t="s">
        <v>820</v>
      </c>
      <c r="L663">
        <f t="shared" si="41"/>
        <v>202006</v>
      </c>
      <c r="M663">
        <f t="shared" si="42"/>
        <v>6</v>
      </c>
      <c r="N663">
        <f t="shared" si="43"/>
        <v>2020</v>
      </c>
      <c r="O663" t="str">
        <f>VLOOKUP(M663,month_lookup!A:B,2,FALSE)</f>
        <v>Jun</v>
      </c>
      <c r="P663">
        <f t="shared" si="44"/>
        <v>47082.67</v>
      </c>
    </row>
    <row r="664" spans="1:16" x14ac:dyDescent="0.25">
      <c r="A664" t="s">
        <v>22</v>
      </c>
      <c r="B664" s="1">
        <v>41016.31</v>
      </c>
      <c r="C664">
        <v>32985.32</v>
      </c>
      <c r="D664" s="2">
        <v>43594</v>
      </c>
      <c r="E664" t="s">
        <v>29</v>
      </c>
      <c r="F664" t="s">
        <v>340</v>
      </c>
      <c r="G664" t="s">
        <v>25</v>
      </c>
      <c r="H664" t="s">
        <v>75</v>
      </c>
      <c r="I664" t="s">
        <v>37</v>
      </c>
      <c r="J664" t="s">
        <v>821</v>
      </c>
      <c r="L664">
        <f t="shared" si="41"/>
        <v>201905</v>
      </c>
      <c r="M664">
        <f t="shared" si="42"/>
        <v>5</v>
      </c>
      <c r="N664">
        <f t="shared" si="43"/>
        <v>2019</v>
      </c>
      <c r="O664" t="str">
        <f>VLOOKUP(M664,month_lookup!A:B,2,FALSE)</f>
        <v>May</v>
      </c>
      <c r="P664">
        <f t="shared" si="44"/>
        <v>-41016.31</v>
      </c>
    </row>
    <row r="665" spans="1:16" x14ac:dyDescent="0.25">
      <c r="A665" t="s">
        <v>9</v>
      </c>
      <c r="B665" s="1">
        <v>43243.45</v>
      </c>
      <c r="C665">
        <v>37764.5</v>
      </c>
      <c r="D665" s="2">
        <v>43601</v>
      </c>
      <c r="E665" t="s">
        <v>23</v>
      </c>
      <c r="F665" t="s">
        <v>34</v>
      </c>
      <c r="G665" t="s">
        <v>12</v>
      </c>
      <c r="H665" t="s">
        <v>81</v>
      </c>
      <c r="I665" t="s">
        <v>27</v>
      </c>
      <c r="J665" t="s">
        <v>822</v>
      </c>
      <c r="L665">
        <f t="shared" si="41"/>
        <v>201905</v>
      </c>
      <c r="M665">
        <f t="shared" si="42"/>
        <v>5</v>
      </c>
      <c r="N665">
        <f t="shared" si="43"/>
        <v>2019</v>
      </c>
      <c r="O665" t="str">
        <f>VLOOKUP(M665,month_lookup!A:B,2,FALSE)</f>
        <v>May</v>
      </c>
      <c r="P665">
        <f t="shared" si="44"/>
        <v>-43243.45</v>
      </c>
    </row>
    <row r="666" spans="1:16" x14ac:dyDescent="0.25">
      <c r="A666" t="s">
        <v>9</v>
      </c>
      <c r="B666" s="1">
        <v>88832.28</v>
      </c>
      <c r="C666">
        <v>71501.100000000006</v>
      </c>
      <c r="D666" s="2">
        <v>43822</v>
      </c>
      <c r="E666" t="s">
        <v>79</v>
      </c>
      <c r="F666" t="s">
        <v>101</v>
      </c>
      <c r="G666" t="s">
        <v>12</v>
      </c>
      <c r="H666" t="s">
        <v>169</v>
      </c>
      <c r="I666" t="s">
        <v>27</v>
      </c>
      <c r="J666" t="s">
        <v>823</v>
      </c>
      <c r="L666">
        <f t="shared" si="41"/>
        <v>201912</v>
      </c>
      <c r="M666">
        <f t="shared" si="42"/>
        <v>12</v>
      </c>
      <c r="N666">
        <f t="shared" si="43"/>
        <v>2019</v>
      </c>
      <c r="O666" t="str">
        <f>VLOOKUP(M666,month_lookup!A:B,2,FALSE)</f>
        <v>Dec</v>
      </c>
      <c r="P666">
        <f t="shared" si="44"/>
        <v>-88832.28</v>
      </c>
    </row>
    <row r="667" spans="1:16" x14ac:dyDescent="0.25">
      <c r="A667" t="s">
        <v>52</v>
      </c>
      <c r="B667" s="1">
        <v>173456.4</v>
      </c>
      <c r="C667">
        <v>149866.32999999999</v>
      </c>
      <c r="D667" s="2">
        <v>43733</v>
      </c>
      <c r="E667" t="s">
        <v>10</v>
      </c>
      <c r="F667" t="s">
        <v>34</v>
      </c>
      <c r="G667" t="s">
        <v>54</v>
      </c>
      <c r="H667" t="s">
        <v>143</v>
      </c>
      <c r="I667" t="s">
        <v>14</v>
      </c>
      <c r="J667" t="s">
        <v>824</v>
      </c>
      <c r="L667">
        <f t="shared" si="41"/>
        <v>201909</v>
      </c>
      <c r="M667">
        <f t="shared" si="42"/>
        <v>9</v>
      </c>
      <c r="N667">
        <f t="shared" si="43"/>
        <v>2019</v>
      </c>
      <c r="O667" t="str">
        <f>VLOOKUP(M667,month_lookup!A:B,2,FALSE)</f>
        <v>Sep</v>
      </c>
      <c r="P667">
        <f t="shared" si="44"/>
        <v>-173456.4</v>
      </c>
    </row>
    <row r="668" spans="1:16" x14ac:dyDescent="0.25">
      <c r="A668" t="s">
        <v>33</v>
      </c>
      <c r="B668" s="1">
        <v>90926.92</v>
      </c>
      <c r="C668">
        <v>73050.69</v>
      </c>
      <c r="D668" s="2">
        <v>43914</v>
      </c>
      <c r="E668" t="s">
        <v>59</v>
      </c>
      <c r="F668" t="s">
        <v>167</v>
      </c>
      <c r="G668" t="s">
        <v>35</v>
      </c>
      <c r="H668" t="s">
        <v>40</v>
      </c>
      <c r="I668" t="s">
        <v>27</v>
      </c>
      <c r="J668" t="s">
        <v>825</v>
      </c>
      <c r="L668">
        <f t="shared" si="41"/>
        <v>202003</v>
      </c>
      <c r="M668">
        <f t="shared" si="42"/>
        <v>3</v>
      </c>
      <c r="N668">
        <f t="shared" si="43"/>
        <v>2020</v>
      </c>
      <c r="O668" t="str">
        <f>VLOOKUP(M668,month_lookup!A:B,2,FALSE)</f>
        <v>Mar</v>
      </c>
      <c r="P668">
        <f t="shared" si="44"/>
        <v>90926.92</v>
      </c>
    </row>
    <row r="669" spans="1:16" x14ac:dyDescent="0.25">
      <c r="A669" t="s">
        <v>9</v>
      </c>
      <c r="B669" s="1">
        <v>72757.009999999995</v>
      </c>
      <c r="C669">
        <v>63378.63</v>
      </c>
      <c r="D669" s="2">
        <v>43895</v>
      </c>
      <c r="E669" t="s">
        <v>138</v>
      </c>
      <c r="F669" t="s">
        <v>30</v>
      </c>
      <c r="G669" t="s">
        <v>12</v>
      </c>
      <c r="H669" t="s">
        <v>81</v>
      </c>
      <c r="I669" t="s">
        <v>27</v>
      </c>
      <c r="J669" t="s">
        <v>826</v>
      </c>
      <c r="L669">
        <f t="shared" si="41"/>
        <v>202003</v>
      </c>
      <c r="M669">
        <f t="shared" si="42"/>
        <v>3</v>
      </c>
      <c r="N669">
        <f t="shared" si="43"/>
        <v>2020</v>
      </c>
      <c r="O669" t="str">
        <f>VLOOKUP(M669,month_lookup!A:B,2,FALSE)</f>
        <v>Mar</v>
      </c>
      <c r="P669">
        <f t="shared" si="44"/>
        <v>72757.009999999995</v>
      </c>
    </row>
    <row r="670" spans="1:16" x14ac:dyDescent="0.25">
      <c r="A670" t="s">
        <v>52</v>
      </c>
      <c r="B670" s="1">
        <v>60068.71</v>
      </c>
      <c r="C670">
        <v>47688.55</v>
      </c>
      <c r="D670" s="2">
        <v>43960</v>
      </c>
      <c r="E670" t="s">
        <v>138</v>
      </c>
      <c r="F670" t="s">
        <v>113</v>
      </c>
      <c r="G670" t="s">
        <v>54</v>
      </c>
      <c r="H670" t="s">
        <v>127</v>
      </c>
      <c r="I670" t="s">
        <v>27</v>
      </c>
      <c r="J670" t="s">
        <v>827</v>
      </c>
      <c r="L670">
        <f t="shared" si="41"/>
        <v>202005</v>
      </c>
      <c r="M670">
        <f t="shared" si="42"/>
        <v>5</v>
      </c>
      <c r="N670">
        <f t="shared" si="43"/>
        <v>2020</v>
      </c>
      <c r="O670" t="str">
        <f>VLOOKUP(M670,month_lookup!A:B,2,FALSE)</f>
        <v>May</v>
      </c>
      <c r="P670">
        <f t="shared" si="44"/>
        <v>60068.71</v>
      </c>
    </row>
    <row r="671" spans="1:16" x14ac:dyDescent="0.25">
      <c r="A671" t="s">
        <v>52</v>
      </c>
      <c r="B671" s="1">
        <v>105522.72</v>
      </c>
      <c r="C671">
        <v>86581.39</v>
      </c>
      <c r="D671" s="2">
        <v>43512</v>
      </c>
      <c r="E671" t="s">
        <v>23</v>
      </c>
      <c r="F671" t="s">
        <v>53</v>
      </c>
      <c r="G671" t="s">
        <v>54</v>
      </c>
      <c r="H671" t="s">
        <v>71</v>
      </c>
      <c r="I671" t="s">
        <v>27</v>
      </c>
      <c r="J671" t="s">
        <v>828</v>
      </c>
      <c r="L671">
        <f t="shared" si="41"/>
        <v>201902</v>
      </c>
      <c r="M671">
        <f t="shared" si="42"/>
        <v>2</v>
      </c>
      <c r="N671">
        <f t="shared" si="43"/>
        <v>2019</v>
      </c>
      <c r="O671" t="str">
        <f>VLOOKUP(M671,month_lookup!A:B,2,FALSE)</f>
        <v>Feb</v>
      </c>
      <c r="P671">
        <f t="shared" si="44"/>
        <v>-105522.72</v>
      </c>
    </row>
    <row r="672" spans="1:16" x14ac:dyDescent="0.25">
      <c r="A672" t="s">
        <v>105</v>
      </c>
      <c r="B672" s="1">
        <v>61374.06</v>
      </c>
      <c r="C672">
        <v>49099.25</v>
      </c>
      <c r="D672" s="2">
        <v>43881</v>
      </c>
      <c r="E672" t="s">
        <v>17</v>
      </c>
      <c r="F672" t="s">
        <v>101</v>
      </c>
      <c r="G672" t="s">
        <v>106</v>
      </c>
      <c r="H672" t="s">
        <v>107</v>
      </c>
      <c r="I672" t="s">
        <v>27</v>
      </c>
      <c r="J672" t="s">
        <v>829</v>
      </c>
      <c r="L672">
        <f t="shared" si="41"/>
        <v>202002</v>
      </c>
      <c r="M672">
        <f t="shared" si="42"/>
        <v>2</v>
      </c>
      <c r="N672">
        <f t="shared" si="43"/>
        <v>2020</v>
      </c>
      <c r="O672" t="str">
        <f>VLOOKUP(M672,month_lookup!A:B,2,FALSE)</f>
        <v>Feb</v>
      </c>
      <c r="P672">
        <f t="shared" si="44"/>
        <v>61374.06</v>
      </c>
    </row>
    <row r="673" spans="1:16" x14ac:dyDescent="0.25">
      <c r="A673" t="s">
        <v>22</v>
      </c>
      <c r="B673" s="1">
        <v>76856.570000000007</v>
      </c>
      <c r="C673">
        <v>65535.6</v>
      </c>
      <c r="D673" s="2">
        <v>43616</v>
      </c>
      <c r="E673" t="s">
        <v>23</v>
      </c>
      <c r="F673" t="s">
        <v>236</v>
      </c>
      <c r="G673" t="s">
        <v>25</v>
      </c>
      <c r="H673" t="s">
        <v>89</v>
      </c>
      <c r="I673" t="s">
        <v>27</v>
      </c>
      <c r="J673" t="s">
        <v>830</v>
      </c>
      <c r="L673">
        <f t="shared" si="41"/>
        <v>201905</v>
      </c>
      <c r="M673">
        <f t="shared" si="42"/>
        <v>5</v>
      </c>
      <c r="N673">
        <f t="shared" si="43"/>
        <v>2019</v>
      </c>
      <c r="O673" t="str">
        <f>VLOOKUP(M673,month_lookup!A:B,2,FALSE)</f>
        <v>May</v>
      </c>
      <c r="P673">
        <f t="shared" si="44"/>
        <v>-76856.570000000007</v>
      </c>
    </row>
    <row r="674" spans="1:16" x14ac:dyDescent="0.25">
      <c r="A674" t="s">
        <v>33</v>
      </c>
      <c r="B674" s="1">
        <v>174262.11</v>
      </c>
      <c r="C674">
        <v>143278.31</v>
      </c>
      <c r="D674" s="2">
        <v>43560</v>
      </c>
      <c r="E674" t="s">
        <v>17</v>
      </c>
      <c r="F674" t="s">
        <v>30</v>
      </c>
      <c r="G674" t="s">
        <v>35</v>
      </c>
      <c r="H674" t="s">
        <v>40</v>
      </c>
      <c r="I674" t="s">
        <v>27</v>
      </c>
      <c r="J674" t="s">
        <v>831</v>
      </c>
      <c r="L674">
        <f t="shared" si="41"/>
        <v>201904</v>
      </c>
      <c r="M674">
        <f t="shared" si="42"/>
        <v>4</v>
      </c>
      <c r="N674">
        <f t="shared" si="43"/>
        <v>2019</v>
      </c>
      <c r="O674" t="str">
        <f>VLOOKUP(M674,month_lookup!A:B,2,FALSE)</f>
        <v>Apr</v>
      </c>
      <c r="P674">
        <f t="shared" si="44"/>
        <v>-174262.11</v>
      </c>
    </row>
    <row r="675" spans="1:16" x14ac:dyDescent="0.25">
      <c r="A675" t="s">
        <v>9</v>
      </c>
      <c r="B675" s="1">
        <v>151315.26</v>
      </c>
      <c r="C675">
        <v>121173.26</v>
      </c>
      <c r="D675" s="2">
        <v>43608</v>
      </c>
      <c r="E675" t="s">
        <v>29</v>
      </c>
      <c r="F675" t="s">
        <v>125</v>
      </c>
      <c r="G675" t="s">
        <v>12</v>
      </c>
      <c r="H675" t="s">
        <v>117</v>
      </c>
      <c r="I675" t="s">
        <v>27</v>
      </c>
      <c r="J675" t="s">
        <v>832</v>
      </c>
      <c r="L675">
        <f t="shared" si="41"/>
        <v>201905</v>
      </c>
      <c r="M675">
        <f t="shared" si="42"/>
        <v>5</v>
      </c>
      <c r="N675">
        <f t="shared" si="43"/>
        <v>2019</v>
      </c>
      <c r="O675" t="str">
        <f>VLOOKUP(M675,month_lookup!A:B,2,FALSE)</f>
        <v>May</v>
      </c>
      <c r="P675">
        <f t="shared" si="44"/>
        <v>-151315.26</v>
      </c>
    </row>
    <row r="676" spans="1:16" x14ac:dyDescent="0.25">
      <c r="A676" t="s">
        <v>172</v>
      </c>
      <c r="B676" s="1">
        <v>50495.53</v>
      </c>
      <c r="C676">
        <v>40749.89</v>
      </c>
      <c r="D676" s="2">
        <v>44074</v>
      </c>
      <c r="E676" t="s">
        <v>59</v>
      </c>
      <c r="F676" t="s">
        <v>733</v>
      </c>
      <c r="G676" t="s">
        <v>174</v>
      </c>
      <c r="H676" t="s">
        <v>211</v>
      </c>
      <c r="I676" t="s">
        <v>14</v>
      </c>
      <c r="J676" t="s">
        <v>833</v>
      </c>
      <c r="L676">
        <f t="shared" si="41"/>
        <v>202008</v>
      </c>
      <c r="M676">
        <f t="shared" si="42"/>
        <v>8</v>
      </c>
      <c r="N676">
        <f t="shared" si="43"/>
        <v>2020</v>
      </c>
      <c r="O676" t="str">
        <f>VLOOKUP(M676,month_lookup!A:B,2,FALSE)</f>
        <v>Aug</v>
      </c>
      <c r="P676">
        <f t="shared" si="44"/>
        <v>50495.53</v>
      </c>
    </row>
    <row r="677" spans="1:16" x14ac:dyDescent="0.25">
      <c r="A677" t="s">
        <v>44</v>
      </c>
      <c r="B677" s="1">
        <v>36534.089999999997</v>
      </c>
      <c r="C677">
        <v>31138</v>
      </c>
      <c r="D677" s="2">
        <v>44029</v>
      </c>
      <c r="E677" t="s">
        <v>50</v>
      </c>
      <c r="F677" t="s">
        <v>152</v>
      </c>
      <c r="G677" t="s">
        <v>47</v>
      </c>
      <c r="H677" t="s">
        <v>48</v>
      </c>
      <c r="I677" t="s">
        <v>27</v>
      </c>
      <c r="J677" t="s">
        <v>834</v>
      </c>
      <c r="L677">
        <f t="shared" si="41"/>
        <v>202007</v>
      </c>
      <c r="M677">
        <f t="shared" si="42"/>
        <v>7</v>
      </c>
      <c r="N677">
        <f t="shared" si="43"/>
        <v>2020</v>
      </c>
      <c r="O677" t="str">
        <f>VLOOKUP(M677,month_lookup!A:B,2,FALSE)</f>
        <v>Jul</v>
      </c>
      <c r="P677">
        <f t="shared" si="44"/>
        <v>36534.089999999997</v>
      </c>
    </row>
    <row r="678" spans="1:16" x14ac:dyDescent="0.25">
      <c r="A678" t="s">
        <v>52</v>
      </c>
      <c r="B678" s="1">
        <v>134243.39000000001</v>
      </c>
      <c r="C678">
        <v>113019.51</v>
      </c>
      <c r="D678" s="2">
        <v>43486</v>
      </c>
      <c r="E678" t="s">
        <v>29</v>
      </c>
      <c r="F678" t="s">
        <v>233</v>
      </c>
      <c r="G678" t="s">
        <v>54</v>
      </c>
      <c r="H678" t="s">
        <v>55</v>
      </c>
      <c r="I678" t="s">
        <v>27</v>
      </c>
      <c r="J678" t="s">
        <v>835</v>
      </c>
      <c r="L678">
        <f t="shared" si="41"/>
        <v>201901</v>
      </c>
      <c r="M678">
        <f t="shared" si="42"/>
        <v>1</v>
      </c>
      <c r="N678">
        <f t="shared" si="43"/>
        <v>2019</v>
      </c>
      <c r="O678" t="str">
        <f>VLOOKUP(M678,month_lookup!A:B,2,FALSE)</f>
        <v>Jan</v>
      </c>
      <c r="P678">
        <f t="shared" si="44"/>
        <v>-134243.39000000001</v>
      </c>
    </row>
    <row r="679" spans="1:16" x14ac:dyDescent="0.25">
      <c r="A679" t="s">
        <v>52</v>
      </c>
      <c r="B679" s="1">
        <v>56068.7</v>
      </c>
      <c r="C679">
        <v>47378.05</v>
      </c>
      <c r="D679" s="2">
        <v>43502</v>
      </c>
      <c r="E679" t="s">
        <v>17</v>
      </c>
      <c r="F679" t="s">
        <v>209</v>
      </c>
      <c r="G679" t="s">
        <v>54</v>
      </c>
      <c r="H679" t="s">
        <v>132</v>
      </c>
      <c r="I679" t="s">
        <v>27</v>
      </c>
      <c r="J679" t="s">
        <v>836</v>
      </c>
      <c r="L679">
        <f t="shared" si="41"/>
        <v>201902</v>
      </c>
      <c r="M679">
        <f t="shared" si="42"/>
        <v>2</v>
      </c>
      <c r="N679">
        <f t="shared" si="43"/>
        <v>2019</v>
      </c>
      <c r="O679" t="str">
        <f>VLOOKUP(M679,month_lookup!A:B,2,FALSE)</f>
        <v>Feb</v>
      </c>
      <c r="P679">
        <f t="shared" si="44"/>
        <v>-56068.7</v>
      </c>
    </row>
    <row r="680" spans="1:16" x14ac:dyDescent="0.25">
      <c r="A680" t="s">
        <v>52</v>
      </c>
      <c r="B680" s="1">
        <v>31161.759999999998</v>
      </c>
      <c r="C680">
        <v>27300.82</v>
      </c>
      <c r="D680" s="2">
        <v>43960</v>
      </c>
      <c r="E680" t="s">
        <v>29</v>
      </c>
      <c r="F680" t="s">
        <v>46</v>
      </c>
      <c r="G680" t="s">
        <v>54</v>
      </c>
      <c r="H680" t="s">
        <v>55</v>
      </c>
      <c r="I680" t="s">
        <v>14</v>
      </c>
      <c r="J680" t="s">
        <v>837</v>
      </c>
      <c r="L680">
        <f t="shared" si="41"/>
        <v>202005</v>
      </c>
      <c r="M680">
        <f t="shared" si="42"/>
        <v>5</v>
      </c>
      <c r="N680">
        <f t="shared" si="43"/>
        <v>2020</v>
      </c>
      <c r="O680" t="str">
        <f>VLOOKUP(M680,month_lookup!A:B,2,FALSE)</f>
        <v>May</v>
      </c>
      <c r="P680">
        <f t="shared" si="44"/>
        <v>31161.759999999998</v>
      </c>
    </row>
    <row r="681" spans="1:16" x14ac:dyDescent="0.25">
      <c r="A681" t="s">
        <v>52</v>
      </c>
      <c r="B681" s="1">
        <v>98915.41</v>
      </c>
      <c r="C681">
        <v>85176.06</v>
      </c>
      <c r="D681" s="2">
        <v>43923</v>
      </c>
      <c r="E681" t="s">
        <v>79</v>
      </c>
      <c r="F681" t="s">
        <v>42</v>
      </c>
      <c r="G681" t="s">
        <v>54</v>
      </c>
      <c r="H681" t="s">
        <v>132</v>
      </c>
      <c r="I681" t="s">
        <v>14</v>
      </c>
      <c r="J681" t="s">
        <v>838</v>
      </c>
      <c r="L681">
        <f t="shared" si="41"/>
        <v>202004</v>
      </c>
      <c r="M681">
        <f t="shared" si="42"/>
        <v>4</v>
      </c>
      <c r="N681">
        <f t="shared" si="43"/>
        <v>2020</v>
      </c>
      <c r="O681" t="str">
        <f>VLOOKUP(M681,month_lookup!A:B,2,FALSE)</f>
        <v>Apr</v>
      </c>
      <c r="P681">
        <f t="shared" si="44"/>
        <v>98915.41</v>
      </c>
    </row>
    <row r="682" spans="1:16" x14ac:dyDescent="0.25">
      <c r="A682" t="s">
        <v>172</v>
      </c>
      <c r="B682" s="1">
        <v>114232.68</v>
      </c>
      <c r="C682">
        <v>95795.520000000004</v>
      </c>
      <c r="D682" s="2">
        <v>43547</v>
      </c>
      <c r="E682" t="s">
        <v>23</v>
      </c>
      <c r="F682" t="s">
        <v>34</v>
      </c>
      <c r="G682" t="s">
        <v>174</v>
      </c>
      <c r="H682" t="s">
        <v>175</v>
      </c>
      <c r="I682" t="s">
        <v>37</v>
      </c>
      <c r="J682" t="s">
        <v>839</v>
      </c>
      <c r="L682">
        <f t="shared" si="41"/>
        <v>201903</v>
      </c>
      <c r="M682">
        <f t="shared" si="42"/>
        <v>3</v>
      </c>
      <c r="N682">
        <f t="shared" si="43"/>
        <v>2019</v>
      </c>
      <c r="O682" t="str">
        <f>VLOOKUP(M682,month_lookup!A:B,2,FALSE)</f>
        <v>Mar</v>
      </c>
      <c r="P682">
        <f t="shared" si="44"/>
        <v>-114232.68</v>
      </c>
    </row>
    <row r="683" spans="1:16" x14ac:dyDescent="0.25">
      <c r="A683" t="s">
        <v>105</v>
      </c>
      <c r="B683" s="1">
        <v>71360.36</v>
      </c>
      <c r="C683">
        <v>59750.03</v>
      </c>
      <c r="D683" s="2">
        <v>43467</v>
      </c>
      <c r="E683" t="s">
        <v>79</v>
      </c>
      <c r="F683" t="s">
        <v>67</v>
      </c>
      <c r="G683" t="s">
        <v>106</v>
      </c>
      <c r="H683" t="s">
        <v>107</v>
      </c>
      <c r="I683" t="s">
        <v>27</v>
      </c>
      <c r="J683" t="s">
        <v>840</v>
      </c>
      <c r="L683">
        <f t="shared" si="41"/>
        <v>201901</v>
      </c>
      <c r="M683">
        <f t="shared" si="42"/>
        <v>1</v>
      </c>
      <c r="N683">
        <f t="shared" si="43"/>
        <v>2019</v>
      </c>
      <c r="O683" t="str">
        <f>VLOOKUP(M683,month_lookup!A:B,2,FALSE)</f>
        <v>Jan</v>
      </c>
      <c r="P683">
        <f t="shared" si="44"/>
        <v>-71360.36</v>
      </c>
    </row>
    <row r="684" spans="1:16" x14ac:dyDescent="0.25">
      <c r="A684" t="s">
        <v>22</v>
      </c>
      <c r="B684" s="1">
        <v>87459.79</v>
      </c>
      <c r="C684">
        <v>69967.83</v>
      </c>
      <c r="D684" s="2">
        <v>44151</v>
      </c>
      <c r="E684" t="s">
        <v>29</v>
      </c>
      <c r="F684" t="s">
        <v>301</v>
      </c>
      <c r="G684" t="s">
        <v>25</v>
      </c>
      <c r="H684" t="s">
        <v>218</v>
      </c>
      <c r="I684" t="s">
        <v>14</v>
      </c>
      <c r="J684" t="s">
        <v>841</v>
      </c>
      <c r="L684">
        <f t="shared" si="41"/>
        <v>202011</v>
      </c>
      <c r="M684">
        <f t="shared" si="42"/>
        <v>11</v>
      </c>
      <c r="N684">
        <f t="shared" si="43"/>
        <v>2020</v>
      </c>
      <c r="O684" t="str">
        <f>VLOOKUP(M684,month_lookup!A:B,2,FALSE)</f>
        <v>Nov</v>
      </c>
      <c r="P684">
        <f t="shared" si="44"/>
        <v>87459.79</v>
      </c>
    </row>
    <row r="685" spans="1:16" x14ac:dyDescent="0.25">
      <c r="A685" t="s">
        <v>16</v>
      </c>
      <c r="B685" s="1">
        <v>52388.85</v>
      </c>
      <c r="C685">
        <v>45641.17</v>
      </c>
      <c r="D685" s="2">
        <v>44043</v>
      </c>
      <c r="E685" t="s">
        <v>79</v>
      </c>
      <c r="F685" t="s">
        <v>34</v>
      </c>
      <c r="G685" t="s">
        <v>19</v>
      </c>
      <c r="H685" t="s">
        <v>352</v>
      </c>
      <c r="I685" t="s">
        <v>27</v>
      </c>
      <c r="J685" t="s">
        <v>842</v>
      </c>
      <c r="L685">
        <f t="shared" si="41"/>
        <v>202007</v>
      </c>
      <c r="M685">
        <f t="shared" si="42"/>
        <v>7</v>
      </c>
      <c r="N685">
        <f t="shared" si="43"/>
        <v>2020</v>
      </c>
      <c r="O685" t="str">
        <f>VLOOKUP(M685,month_lookup!A:B,2,FALSE)</f>
        <v>Jul</v>
      </c>
      <c r="P685">
        <f t="shared" si="44"/>
        <v>52388.85</v>
      </c>
    </row>
    <row r="686" spans="1:16" x14ac:dyDescent="0.25">
      <c r="A686" t="s">
        <v>9</v>
      </c>
      <c r="B686" s="1">
        <v>178304.35</v>
      </c>
      <c r="C686">
        <v>153573.54</v>
      </c>
      <c r="D686" s="2">
        <v>44174</v>
      </c>
      <c r="E686" t="s">
        <v>79</v>
      </c>
      <c r="F686" t="s">
        <v>120</v>
      </c>
      <c r="G686" t="s">
        <v>12</v>
      </c>
      <c r="H686" t="s">
        <v>169</v>
      </c>
      <c r="I686" t="s">
        <v>27</v>
      </c>
      <c r="J686" t="s">
        <v>843</v>
      </c>
      <c r="L686">
        <f t="shared" si="41"/>
        <v>202012</v>
      </c>
      <c r="M686">
        <f t="shared" si="42"/>
        <v>12</v>
      </c>
      <c r="N686">
        <f t="shared" si="43"/>
        <v>2020</v>
      </c>
      <c r="O686" t="str">
        <f>VLOOKUP(M686,month_lookup!A:B,2,FALSE)</f>
        <v>Dec</v>
      </c>
      <c r="P686">
        <f t="shared" si="44"/>
        <v>178304.35</v>
      </c>
    </row>
    <row r="687" spans="1:16" x14ac:dyDescent="0.25">
      <c r="A687" t="s">
        <v>44</v>
      </c>
      <c r="B687" s="1">
        <v>80013.81</v>
      </c>
      <c r="C687">
        <v>65587.320000000007</v>
      </c>
      <c r="D687" s="2">
        <v>43857</v>
      </c>
      <c r="E687" t="s">
        <v>79</v>
      </c>
      <c r="F687" t="s">
        <v>88</v>
      </c>
      <c r="G687" t="s">
        <v>47</v>
      </c>
      <c r="H687" t="s">
        <v>48</v>
      </c>
      <c r="I687" t="s">
        <v>27</v>
      </c>
      <c r="J687" t="s">
        <v>844</v>
      </c>
      <c r="L687">
        <f t="shared" si="41"/>
        <v>202001</v>
      </c>
      <c r="M687">
        <f t="shared" si="42"/>
        <v>1</v>
      </c>
      <c r="N687">
        <f t="shared" si="43"/>
        <v>2020</v>
      </c>
      <c r="O687" t="str">
        <f>VLOOKUP(M687,month_lookup!A:B,2,FALSE)</f>
        <v>Jan</v>
      </c>
      <c r="P687">
        <f t="shared" si="44"/>
        <v>80013.81</v>
      </c>
    </row>
    <row r="688" spans="1:16" x14ac:dyDescent="0.25">
      <c r="A688" t="s">
        <v>172</v>
      </c>
      <c r="B688" s="1">
        <v>88684.7</v>
      </c>
      <c r="C688">
        <v>75337.649999999994</v>
      </c>
      <c r="D688" s="2">
        <v>43853</v>
      </c>
      <c r="E688" t="s">
        <v>138</v>
      </c>
      <c r="F688" t="s">
        <v>167</v>
      </c>
      <c r="G688" t="s">
        <v>174</v>
      </c>
      <c r="H688" t="s">
        <v>211</v>
      </c>
      <c r="I688" t="s">
        <v>27</v>
      </c>
      <c r="J688" t="s">
        <v>845</v>
      </c>
      <c r="L688">
        <f t="shared" si="41"/>
        <v>202001</v>
      </c>
      <c r="M688">
        <f t="shared" si="42"/>
        <v>1</v>
      </c>
      <c r="N688">
        <f t="shared" si="43"/>
        <v>2020</v>
      </c>
      <c r="O688" t="str">
        <f>VLOOKUP(M688,month_lookup!A:B,2,FALSE)</f>
        <v>Jan</v>
      </c>
      <c r="P688">
        <f t="shared" si="44"/>
        <v>88684.7</v>
      </c>
    </row>
    <row r="689" spans="1:16" x14ac:dyDescent="0.25">
      <c r="A689" t="s">
        <v>44</v>
      </c>
      <c r="B689" s="1">
        <v>161773.31</v>
      </c>
      <c r="C689">
        <v>138283.82999999999</v>
      </c>
      <c r="D689" s="2">
        <v>43585</v>
      </c>
      <c r="E689" t="s">
        <v>10</v>
      </c>
      <c r="F689" t="s">
        <v>34</v>
      </c>
      <c r="G689" t="s">
        <v>47</v>
      </c>
      <c r="H689" t="s">
        <v>73</v>
      </c>
      <c r="I689" t="s">
        <v>27</v>
      </c>
      <c r="J689" t="s">
        <v>846</v>
      </c>
      <c r="L689">
        <f t="shared" si="41"/>
        <v>201904</v>
      </c>
      <c r="M689">
        <f t="shared" si="42"/>
        <v>4</v>
      </c>
      <c r="N689">
        <f t="shared" si="43"/>
        <v>2019</v>
      </c>
      <c r="O689" t="str">
        <f>VLOOKUP(M689,month_lookup!A:B,2,FALSE)</f>
        <v>Apr</v>
      </c>
      <c r="P689">
        <f t="shared" si="44"/>
        <v>-161773.31</v>
      </c>
    </row>
    <row r="690" spans="1:16" x14ac:dyDescent="0.25">
      <c r="A690" t="s">
        <v>52</v>
      </c>
      <c r="B690" s="1">
        <v>108968.67</v>
      </c>
      <c r="C690">
        <v>88395.39</v>
      </c>
      <c r="D690" s="2">
        <v>43755</v>
      </c>
      <c r="E690" t="s">
        <v>10</v>
      </c>
      <c r="F690" t="s">
        <v>34</v>
      </c>
      <c r="G690" t="s">
        <v>54</v>
      </c>
      <c r="H690" t="s">
        <v>132</v>
      </c>
      <c r="I690" t="s">
        <v>27</v>
      </c>
      <c r="J690" t="s">
        <v>847</v>
      </c>
      <c r="L690">
        <f t="shared" si="41"/>
        <v>201910</v>
      </c>
      <c r="M690">
        <f t="shared" si="42"/>
        <v>10</v>
      </c>
      <c r="N690">
        <f t="shared" si="43"/>
        <v>2019</v>
      </c>
      <c r="O690" t="str">
        <f>VLOOKUP(M690,month_lookup!A:B,2,FALSE)</f>
        <v>Oct</v>
      </c>
      <c r="P690">
        <f t="shared" si="44"/>
        <v>-108968.67</v>
      </c>
    </row>
    <row r="691" spans="1:16" x14ac:dyDescent="0.25">
      <c r="A691" t="s">
        <v>44</v>
      </c>
      <c r="B691" s="1">
        <v>50374.22</v>
      </c>
      <c r="C691">
        <v>44047.22</v>
      </c>
      <c r="D691" s="2">
        <v>43745</v>
      </c>
      <c r="E691" t="s">
        <v>17</v>
      </c>
      <c r="F691" t="s">
        <v>96</v>
      </c>
      <c r="G691" t="s">
        <v>47</v>
      </c>
      <c r="H691" t="s">
        <v>65</v>
      </c>
      <c r="I691" t="s">
        <v>27</v>
      </c>
      <c r="J691" t="s">
        <v>848</v>
      </c>
      <c r="L691">
        <f t="shared" si="41"/>
        <v>201910</v>
      </c>
      <c r="M691">
        <f t="shared" si="42"/>
        <v>10</v>
      </c>
      <c r="N691">
        <f t="shared" si="43"/>
        <v>2019</v>
      </c>
      <c r="O691" t="str">
        <f>VLOOKUP(M691,month_lookup!A:B,2,FALSE)</f>
        <v>Oct</v>
      </c>
      <c r="P691">
        <f t="shared" si="44"/>
        <v>-50374.22</v>
      </c>
    </row>
    <row r="692" spans="1:16" x14ac:dyDescent="0.25">
      <c r="A692" t="s">
        <v>9</v>
      </c>
      <c r="B692" s="1">
        <v>174380.2</v>
      </c>
      <c r="C692">
        <v>151518.96</v>
      </c>
      <c r="D692" s="2">
        <v>43467</v>
      </c>
      <c r="E692" t="s">
        <v>50</v>
      </c>
      <c r="F692" t="s">
        <v>24</v>
      </c>
      <c r="G692" t="s">
        <v>12</v>
      </c>
      <c r="H692" t="s">
        <v>169</v>
      </c>
      <c r="I692" t="s">
        <v>27</v>
      </c>
      <c r="J692" t="s">
        <v>849</v>
      </c>
      <c r="L692">
        <f t="shared" si="41"/>
        <v>201901</v>
      </c>
      <c r="M692">
        <f t="shared" si="42"/>
        <v>1</v>
      </c>
      <c r="N692">
        <f t="shared" si="43"/>
        <v>2019</v>
      </c>
      <c r="O692" t="str">
        <f>VLOOKUP(M692,month_lookup!A:B,2,FALSE)</f>
        <v>Jan</v>
      </c>
      <c r="P692">
        <f t="shared" si="44"/>
        <v>-174380.2</v>
      </c>
    </row>
    <row r="693" spans="1:16" x14ac:dyDescent="0.25">
      <c r="A693" t="s">
        <v>100</v>
      </c>
      <c r="B693" s="1">
        <v>81482.69</v>
      </c>
      <c r="C693">
        <v>64721.7</v>
      </c>
      <c r="D693" s="2">
        <v>43505</v>
      </c>
      <c r="E693" t="s">
        <v>79</v>
      </c>
      <c r="F693" t="s">
        <v>34</v>
      </c>
      <c r="G693" t="s">
        <v>102</v>
      </c>
      <c r="H693" t="s">
        <v>103</v>
      </c>
      <c r="I693" t="s">
        <v>27</v>
      </c>
      <c r="J693" t="s">
        <v>850</v>
      </c>
      <c r="L693">
        <f t="shared" si="41"/>
        <v>201902</v>
      </c>
      <c r="M693">
        <f t="shared" si="42"/>
        <v>2</v>
      </c>
      <c r="N693">
        <f t="shared" si="43"/>
        <v>2019</v>
      </c>
      <c r="O693" t="str">
        <f>VLOOKUP(M693,month_lookup!A:B,2,FALSE)</f>
        <v>Feb</v>
      </c>
      <c r="P693">
        <f t="shared" si="44"/>
        <v>-81482.69</v>
      </c>
    </row>
    <row r="694" spans="1:16" x14ac:dyDescent="0.25">
      <c r="A694" t="s">
        <v>52</v>
      </c>
      <c r="B694" s="1">
        <v>108158.8</v>
      </c>
      <c r="C694">
        <v>89328.35</v>
      </c>
      <c r="D694" s="2">
        <v>44113</v>
      </c>
      <c r="E694" t="s">
        <v>50</v>
      </c>
      <c r="F694" t="s">
        <v>159</v>
      </c>
      <c r="G694" t="s">
        <v>54</v>
      </c>
      <c r="H694" t="s">
        <v>127</v>
      </c>
      <c r="I694" t="s">
        <v>27</v>
      </c>
      <c r="J694" t="s">
        <v>851</v>
      </c>
      <c r="L694">
        <f t="shared" si="41"/>
        <v>202010</v>
      </c>
      <c r="M694">
        <f t="shared" si="42"/>
        <v>10</v>
      </c>
      <c r="N694">
        <f t="shared" si="43"/>
        <v>2020</v>
      </c>
      <c r="O694" t="str">
        <f>VLOOKUP(M694,month_lookup!A:B,2,FALSE)</f>
        <v>Oct</v>
      </c>
      <c r="P694">
        <f t="shared" si="44"/>
        <v>108158.8</v>
      </c>
    </row>
    <row r="695" spans="1:16" x14ac:dyDescent="0.25">
      <c r="A695" t="s">
        <v>22</v>
      </c>
      <c r="B695" s="1">
        <v>76943.740000000005</v>
      </c>
      <c r="C695">
        <v>62870.73</v>
      </c>
      <c r="D695" s="2">
        <v>43617</v>
      </c>
      <c r="E695" t="s">
        <v>79</v>
      </c>
      <c r="F695" t="s">
        <v>34</v>
      </c>
      <c r="G695" t="s">
        <v>25</v>
      </c>
      <c r="H695" t="s">
        <v>26</v>
      </c>
      <c r="I695" t="s">
        <v>27</v>
      </c>
      <c r="J695" t="s">
        <v>852</v>
      </c>
      <c r="L695">
        <f t="shared" si="41"/>
        <v>201906</v>
      </c>
      <c r="M695">
        <f t="shared" si="42"/>
        <v>6</v>
      </c>
      <c r="N695">
        <f t="shared" si="43"/>
        <v>2019</v>
      </c>
      <c r="O695" t="str">
        <f>VLOOKUP(M695,month_lookup!A:B,2,FALSE)</f>
        <v>Jun</v>
      </c>
      <c r="P695">
        <f t="shared" si="44"/>
        <v>-76943.740000000005</v>
      </c>
    </row>
    <row r="696" spans="1:16" x14ac:dyDescent="0.25">
      <c r="A696" t="s">
        <v>22</v>
      </c>
      <c r="B696" s="1">
        <v>57345.79</v>
      </c>
      <c r="C696">
        <v>45716.06</v>
      </c>
      <c r="D696" s="2">
        <v>44144</v>
      </c>
      <c r="E696" t="s">
        <v>23</v>
      </c>
      <c r="F696" t="s">
        <v>154</v>
      </c>
      <c r="G696" t="s">
        <v>25</v>
      </c>
      <c r="H696" t="s">
        <v>89</v>
      </c>
      <c r="I696" t="s">
        <v>27</v>
      </c>
      <c r="J696" t="s">
        <v>853</v>
      </c>
      <c r="L696">
        <f t="shared" si="41"/>
        <v>202011</v>
      </c>
      <c r="M696">
        <f t="shared" si="42"/>
        <v>11</v>
      </c>
      <c r="N696">
        <f t="shared" si="43"/>
        <v>2020</v>
      </c>
      <c r="O696" t="str">
        <f>VLOOKUP(M696,month_lookup!A:B,2,FALSE)</f>
        <v>Nov</v>
      </c>
      <c r="P696">
        <f t="shared" si="44"/>
        <v>57345.79</v>
      </c>
    </row>
    <row r="697" spans="1:16" x14ac:dyDescent="0.25">
      <c r="A697" t="s">
        <v>9</v>
      </c>
      <c r="B697" s="1">
        <v>71049.09</v>
      </c>
      <c r="C697">
        <v>58842.86</v>
      </c>
      <c r="D697" s="2">
        <v>43692</v>
      </c>
      <c r="E697" t="s">
        <v>61</v>
      </c>
      <c r="F697" t="s">
        <v>253</v>
      </c>
      <c r="G697" t="s">
        <v>12</v>
      </c>
      <c r="H697" t="s">
        <v>13</v>
      </c>
      <c r="I697" t="s">
        <v>27</v>
      </c>
      <c r="J697" t="s">
        <v>854</v>
      </c>
      <c r="L697">
        <f t="shared" si="41"/>
        <v>201908</v>
      </c>
      <c r="M697">
        <f t="shared" si="42"/>
        <v>8</v>
      </c>
      <c r="N697">
        <f t="shared" si="43"/>
        <v>2019</v>
      </c>
      <c r="O697" t="str">
        <f>VLOOKUP(M697,month_lookup!A:B,2,FALSE)</f>
        <v>Aug</v>
      </c>
      <c r="P697">
        <f t="shared" si="44"/>
        <v>-71049.09</v>
      </c>
    </row>
    <row r="698" spans="1:16" x14ac:dyDescent="0.25">
      <c r="A698" t="s">
        <v>52</v>
      </c>
      <c r="B698" s="1">
        <v>79205.19</v>
      </c>
      <c r="C698">
        <v>65423.49</v>
      </c>
      <c r="D698" s="2">
        <v>43592</v>
      </c>
      <c r="E698" t="s">
        <v>17</v>
      </c>
      <c r="F698" t="s">
        <v>157</v>
      </c>
      <c r="G698" t="s">
        <v>54</v>
      </c>
      <c r="H698" t="s">
        <v>143</v>
      </c>
      <c r="I698" t="s">
        <v>37</v>
      </c>
      <c r="J698" t="s">
        <v>855</v>
      </c>
      <c r="L698">
        <f t="shared" si="41"/>
        <v>201905</v>
      </c>
      <c r="M698">
        <f t="shared" si="42"/>
        <v>5</v>
      </c>
      <c r="N698">
        <f t="shared" si="43"/>
        <v>2019</v>
      </c>
      <c r="O698" t="str">
        <f>VLOOKUP(M698,month_lookup!A:B,2,FALSE)</f>
        <v>May</v>
      </c>
      <c r="P698">
        <f t="shared" si="44"/>
        <v>-79205.19</v>
      </c>
    </row>
    <row r="699" spans="1:16" x14ac:dyDescent="0.25">
      <c r="A699" t="s">
        <v>52</v>
      </c>
      <c r="B699" s="1">
        <v>42290.45</v>
      </c>
      <c r="C699">
        <v>34255.26</v>
      </c>
      <c r="D699" s="2">
        <v>43779</v>
      </c>
      <c r="E699" t="s">
        <v>23</v>
      </c>
      <c r="F699" t="s">
        <v>154</v>
      </c>
      <c r="G699" t="s">
        <v>54</v>
      </c>
      <c r="H699" t="s">
        <v>143</v>
      </c>
      <c r="I699" t="s">
        <v>37</v>
      </c>
      <c r="J699" t="s">
        <v>856</v>
      </c>
      <c r="L699">
        <f t="shared" si="41"/>
        <v>201911</v>
      </c>
      <c r="M699">
        <f t="shared" si="42"/>
        <v>11</v>
      </c>
      <c r="N699">
        <f t="shared" si="43"/>
        <v>2019</v>
      </c>
      <c r="O699" t="str">
        <f>VLOOKUP(M699,month_lookup!A:B,2,FALSE)</f>
        <v>Nov</v>
      </c>
      <c r="P699">
        <f t="shared" si="44"/>
        <v>-42290.45</v>
      </c>
    </row>
    <row r="700" spans="1:16" x14ac:dyDescent="0.25">
      <c r="A700" t="s">
        <v>52</v>
      </c>
      <c r="B700" s="1">
        <v>110090.36</v>
      </c>
      <c r="C700">
        <v>93433.69</v>
      </c>
      <c r="D700" s="2">
        <v>43497</v>
      </c>
      <c r="E700" t="s">
        <v>23</v>
      </c>
      <c r="F700" t="s">
        <v>167</v>
      </c>
      <c r="G700" t="s">
        <v>54</v>
      </c>
      <c r="H700" t="s">
        <v>55</v>
      </c>
      <c r="I700" t="s">
        <v>27</v>
      </c>
      <c r="J700" t="s">
        <v>857</v>
      </c>
      <c r="L700">
        <f t="shared" si="41"/>
        <v>201902</v>
      </c>
      <c r="M700">
        <f t="shared" si="42"/>
        <v>2</v>
      </c>
      <c r="N700">
        <f t="shared" si="43"/>
        <v>2019</v>
      </c>
      <c r="O700" t="str">
        <f>VLOOKUP(M700,month_lookup!A:B,2,FALSE)</f>
        <v>Feb</v>
      </c>
      <c r="P700">
        <f t="shared" si="44"/>
        <v>-110090.36</v>
      </c>
    </row>
    <row r="701" spans="1:16" x14ac:dyDescent="0.25">
      <c r="A701" t="s">
        <v>52</v>
      </c>
      <c r="B701" s="1">
        <v>121043.69</v>
      </c>
      <c r="C701">
        <v>96750.22</v>
      </c>
      <c r="D701" s="2">
        <v>44102</v>
      </c>
      <c r="E701" t="s">
        <v>10</v>
      </c>
      <c r="F701" t="s">
        <v>30</v>
      </c>
      <c r="G701" t="s">
        <v>54</v>
      </c>
      <c r="H701" t="s">
        <v>127</v>
      </c>
      <c r="I701" t="s">
        <v>27</v>
      </c>
      <c r="J701" t="s">
        <v>858</v>
      </c>
      <c r="L701">
        <f t="shared" si="41"/>
        <v>202009</v>
      </c>
      <c r="M701">
        <f t="shared" si="42"/>
        <v>9</v>
      </c>
      <c r="N701">
        <f t="shared" si="43"/>
        <v>2020</v>
      </c>
      <c r="O701" t="str">
        <f>VLOOKUP(M701,month_lookup!A:B,2,FALSE)</f>
        <v>Sep</v>
      </c>
      <c r="P701">
        <f t="shared" si="44"/>
        <v>121043.69</v>
      </c>
    </row>
    <row r="702" spans="1:16" x14ac:dyDescent="0.25">
      <c r="A702" t="s">
        <v>16</v>
      </c>
      <c r="B702" s="1">
        <v>130251.55</v>
      </c>
      <c r="C702">
        <v>105386.53</v>
      </c>
      <c r="D702" s="2">
        <v>43682</v>
      </c>
      <c r="E702" t="s">
        <v>29</v>
      </c>
      <c r="F702" t="s">
        <v>34</v>
      </c>
      <c r="G702" t="s">
        <v>19</v>
      </c>
      <c r="H702" t="s">
        <v>352</v>
      </c>
      <c r="I702" t="s">
        <v>27</v>
      </c>
      <c r="J702" t="s">
        <v>859</v>
      </c>
      <c r="L702">
        <f t="shared" si="41"/>
        <v>201908</v>
      </c>
      <c r="M702">
        <f t="shared" si="42"/>
        <v>8</v>
      </c>
      <c r="N702">
        <f t="shared" si="43"/>
        <v>2019</v>
      </c>
      <c r="O702" t="str">
        <f>VLOOKUP(M702,month_lookup!A:B,2,FALSE)</f>
        <v>Aug</v>
      </c>
      <c r="P702">
        <f t="shared" si="44"/>
        <v>-130251.55</v>
      </c>
    </row>
    <row r="703" spans="1:16" x14ac:dyDescent="0.25">
      <c r="A703" t="s">
        <v>52</v>
      </c>
      <c r="B703" s="1">
        <v>156110.39999999999</v>
      </c>
      <c r="C703">
        <v>132584.56</v>
      </c>
      <c r="D703" s="2">
        <v>43668</v>
      </c>
      <c r="E703" t="s">
        <v>29</v>
      </c>
      <c r="F703" t="s">
        <v>326</v>
      </c>
      <c r="G703" t="s">
        <v>54</v>
      </c>
      <c r="H703" t="s">
        <v>55</v>
      </c>
      <c r="I703" t="s">
        <v>27</v>
      </c>
      <c r="J703" t="s">
        <v>860</v>
      </c>
      <c r="L703">
        <f t="shared" si="41"/>
        <v>201907</v>
      </c>
      <c r="M703">
        <f t="shared" si="42"/>
        <v>7</v>
      </c>
      <c r="N703">
        <f t="shared" si="43"/>
        <v>2019</v>
      </c>
      <c r="O703" t="str">
        <f>VLOOKUP(M703,month_lookup!A:B,2,FALSE)</f>
        <v>Jul</v>
      </c>
      <c r="P703">
        <f t="shared" si="44"/>
        <v>-156110.39999999999</v>
      </c>
    </row>
    <row r="704" spans="1:16" x14ac:dyDescent="0.25">
      <c r="A704" t="s">
        <v>9</v>
      </c>
      <c r="B704" s="1">
        <v>122273</v>
      </c>
      <c r="C704">
        <v>104531.19</v>
      </c>
      <c r="D704" s="2">
        <v>43837</v>
      </c>
      <c r="E704" t="s">
        <v>50</v>
      </c>
      <c r="F704" t="s">
        <v>301</v>
      </c>
      <c r="G704" t="s">
        <v>12</v>
      </c>
      <c r="H704" t="s">
        <v>117</v>
      </c>
      <c r="I704" t="s">
        <v>27</v>
      </c>
      <c r="J704" t="s">
        <v>861</v>
      </c>
      <c r="L704">
        <f t="shared" si="41"/>
        <v>202001</v>
      </c>
      <c r="M704">
        <f t="shared" si="42"/>
        <v>1</v>
      </c>
      <c r="N704">
        <f t="shared" si="43"/>
        <v>2020</v>
      </c>
      <c r="O704" t="str">
        <f>VLOOKUP(M704,month_lookup!A:B,2,FALSE)</f>
        <v>Jan</v>
      </c>
      <c r="P704">
        <f t="shared" si="44"/>
        <v>122273</v>
      </c>
    </row>
    <row r="705" spans="1:16" x14ac:dyDescent="0.25">
      <c r="A705" t="s">
        <v>22</v>
      </c>
      <c r="B705" s="1">
        <v>126021.1</v>
      </c>
      <c r="C705">
        <v>101762.04</v>
      </c>
      <c r="D705" s="2">
        <v>43995</v>
      </c>
      <c r="E705" t="s">
        <v>29</v>
      </c>
      <c r="F705" t="s">
        <v>34</v>
      </c>
      <c r="G705" t="s">
        <v>25</v>
      </c>
      <c r="H705" t="s">
        <v>89</v>
      </c>
      <c r="I705" t="s">
        <v>14</v>
      </c>
      <c r="J705" t="s">
        <v>862</v>
      </c>
      <c r="L705">
        <f t="shared" si="41"/>
        <v>202006</v>
      </c>
      <c r="M705">
        <f t="shared" si="42"/>
        <v>6</v>
      </c>
      <c r="N705">
        <f t="shared" si="43"/>
        <v>2020</v>
      </c>
      <c r="O705" t="str">
        <f>VLOOKUP(M705,month_lookup!A:B,2,FALSE)</f>
        <v>Jun</v>
      </c>
      <c r="P705">
        <f t="shared" si="44"/>
        <v>126021.1</v>
      </c>
    </row>
    <row r="706" spans="1:16" x14ac:dyDescent="0.25">
      <c r="A706" t="s">
        <v>9</v>
      </c>
      <c r="B706" s="1">
        <v>69565.47</v>
      </c>
      <c r="C706">
        <v>57808.91</v>
      </c>
      <c r="D706" s="2">
        <v>43974</v>
      </c>
      <c r="E706" t="s">
        <v>29</v>
      </c>
      <c r="F706" t="s">
        <v>34</v>
      </c>
      <c r="G706" t="s">
        <v>12</v>
      </c>
      <c r="H706" t="s">
        <v>68</v>
      </c>
      <c r="I706" t="s">
        <v>27</v>
      </c>
      <c r="J706" t="s">
        <v>863</v>
      </c>
      <c r="L706">
        <f t="shared" si="41"/>
        <v>202005</v>
      </c>
      <c r="M706">
        <f t="shared" si="42"/>
        <v>5</v>
      </c>
      <c r="N706">
        <f t="shared" si="43"/>
        <v>2020</v>
      </c>
      <c r="O706" t="str">
        <f>VLOOKUP(M706,month_lookup!A:B,2,FALSE)</f>
        <v>May</v>
      </c>
      <c r="P706">
        <f t="shared" si="44"/>
        <v>69565.47</v>
      </c>
    </row>
    <row r="707" spans="1:16" x14ac:dyDescent="0.25">
      <c r="A707" t="s">
        <v>100</v>
      </c>
      <c r="B707" s="1">
        <v>174271.91</v>
      </c>
      <c r="C707">
        <v>142083.89000000001</v>
      </c>
      <c r="D707" s="2">
        <v>43605</v>
      </c>
      <c r="E707" t="s">
        <v>23</v>
      </c>
      <c r="F707" t="s">
        <v>30</v>
      </c>
      <c r="G707" t="s">
        <v>102</v>
      </c>
      <c r="H707" t="s">
        <v>103</v>
      </c>
      <c r="I707" t="s">
        <v>27</v>
      </c>
      <c r="J707" t="s">
        <v>864</v>
      </c>
      <c r="L707">
        <f t="shared" ref="L707:L770" si="45">YEAR(D707)*100+MONTH(D707)</f>
        <v>201905</v>
      </c>
      <c r="M707">
        <f t="shared" ref="M707:M770" si="46">MONTH(D707)</f>
        <v>5</v>
      </c>
      <c r="N707">
        <f t="shared" ref="N707:N770" si="47">YEAR(D707)</f>
        <v>2019</v>
      </c>
      <c r="O707" t="str">
        <f>VLOOKUP(M707,month_lookup!A:B,2,FALSE)</f>
        <v>May</v>
      </c>
      <c r="P707">
        <f t="shared" si="44"/>
        <v>-174271.91</v>
      </c>
    </row>
    <row r="708" spans="1:16" x14ac:dyDescent="0.25">
      <c r="A708" t="s">
        <v>22</v>
      </c>
      <c r="B708" s="1">
        <v>61994.02</v>
      </c>
      <c r="C708">
        <v>54250.97</v>
      </c>
      <c r="D708" s="2">
        <v>43515</v>
      </c>
      <c r="E708" t="s">
        <v>10</v>
      </c>
      <c r="F708" t="s">
        <v>113</v>
      </c>
      <c r="G708" t="s">
        <v>25</v>
      </c>
      <c r="H708" t="s">
        <v>75</v>
      </c>
      <c r="I708" t="s">
        <v>27</v>
      </c>
      <c r="J708" t="s">
        <v>865</v>
      </c>
      <c r="L708">
        <f t="shared" si="45"/>
        <v>201902</v>
      </c>
      <c r="M708">
        <f t="shared" si="46"/>
        <v>2</v>
      </c>
      <c r="N708">
        <f t="shared" si="47"/>
        <v>2019</v>
      </c>
      <c r="O708" t="str">
        <f>VLOOKUP(M708,month_lookup!A:B,2,FALSE)</f>
        <v>Feb</v>
      </c>
      <c r="P708">
        <f t="shared" si="44"/>
        <v>-61994.02</v>
      </c>
    </row>
    <row r="709" spans="1:16" x14ac:dyDescent="0.25">
      <c r="A709" t="s">
        <v>9</v>
      </c>
      <c r="B709" s="1">
        <v>207379.28</v>
      </c>
      <c r="C709">
        <v>166442.60999999999</v>
      </c>
      <c r="D709" s="2">
        <v>43817</v>
      </c>
      <c r="E709" t="s">
        <v>45</v>
      </c>
      <c r="F709" t="s">
        <v>91</v>
      </c>
      <c r="G709" t="s">
        <v>12</v>
      </c>
      <c r="H709" t="s">
        <v>68</v>
      </c>
      <c r="I709" t="s">
        <v>27</v>
      </c>
      <c r="J709" t="s">
        <v>866</v>
      </c>
      <c r="L709">
        <f t="shared" si="45"/>
        <v>201912</v>
      </c>
      <c r="M709">
        <f t="shared" si="46"/>
        <v>12</v>
      </c>
      <c r="N709">
        <f t="shared" si="47"/>
        <v>2019</v>
      </c>
      <c r="O709" t="str">
        <f>VLOOKUP(M709,month_lookup!A:B,2,FALSE)</f>
        <v>Dec</v>
      </c>
      <c r="P709">
        <f t="shared" si="44"/>
        <v>-207379.28</v>
      </c>
    </row>
    <row r="710" spans="1:16" x14ac:dyDescent="0.25">
      <c r="A710" t="s">
        <v>9</v>
      </c>
      <c r="B710" s="1">
        <v>153823.74</v>
      </c>
      <c r="C710">
        <v>129258.09</v>
      </c>
      <c r="D710" s="2">
        <v>44165</v>
      </c>
      <c r="E710" t="s">
        <v>79</v>
      </c>
      <c r="F710" t="s">
        <v>187</v>
      </c>
      <c r="G710" t="s">
        <v>12</v>
      </c>
      <c r="H710" t="s">
        <v>68</v>
      </c>
      <c r="I710" t="s">
        <v>14</v>
      </c>
      <c r="J710" t="s">
        <v>867</v>
      </c>
      <c r="L710">
        <f t="shared" si="45"/>
        <v>202011</v>
      </c>
      <c r="M710">
        <f t="shared" si="46"/>
        <v>11</v>
      </c>
      <c r="N710">
        <f t="shared" si="47"/>
        <v>2020</v>
      </c>
      <c r="O710" t="str">
        <f>VLOOKUP(M710,month_lookup!A:B,2,FALSE)</f>
        <v>Nov</v>
      </c>
      <c r="P710">
        <f t="shared" si="44"/>
        <v>153823.74</v>
      </c>
    </row>
    <row r="711" spans="1:16" x14ac:dyDescent="0.25">
      <c r="A711" t="s">
        <v>22</v>
      </c>
      <c r="B711" s="1">
        <v>251003.51</v>
      </c>
      <c r="C711">
        <v>214105.99</v>
      </c>
      <c r="D711" s="2">
        <v>43676</v>
      </c>
      <c r="E711" t="s">
        <v>23</v>
      </c>
      <c r="F711" t="s">
        <v>18</v>
      </c>
      <c r="G711" t="s">
        <v>25</v>
      </c>
      <c r="H711" t="s">
        <v>89</v>
      </c>
      <c r="I711" t="s">
        <v>27</v>
      </c>
      <c r="J711" t="s">
        <v>868</v>
      </c>
      <c r="L711">
        <f t="shared" si="45"/>
        <v>201907</v>
      </c>
      <c r="M711">
        <f t="shared" si="46"/>
        <v>7</v>
      </c>
      <c r="N711">
        <f t="shared" si="47"/>
        <v>2019</v>
      </c>
      <c r="O711" t="str">
        <f>VLOOKUP(M711,month_lookup!A:B,2,FALSE)</f>
        <v>Jul</v>
      </c>
      <c r="P711">
        <f t="shared" ref="P711:P774" si="48">IF(N711=2020,B711,-B711)</f>
        <v>-251003.51</v>
      </c>
    </row>
    <row r="712" spans="1:16" x14ac:dyDescent="0.25">
      <c r="A712" t="s">
        <v>44</v>
      </c>
      <c r="B712" s="1">
        <v>78013.63</v>
      </c>
      <c r="C712">
        <v>64509.47</v>
      </c>
      <c r="D712" s="2">
        <v>43925</v>
      </c>
      <c r="E712" t="s">
        <v>23</v>
      </c>
      <c r="F712" t="s">
        <v>115</v>
      </c>
      <c r="G712" t="s">
        <v>47</v>
      </c>
      <c r="H712" t="s">
        <v>65</v>
      </c>
      <c r="I712" t="s">
        <v>27</v>
      </c>
      <c r="J712" t="s">
        <v>869</v>
      </c>
      <c r="L712">
        <f t="shared" si="45"/>
        <v>202004</v>
      </c>
      <c r="M712">
        <f t="shared" si="46"/>
        <v>4</v>
      </c>
      <c r="N712">
        <f t="shared" si="47"/>
        <v>2020</v>
      </c>
      <c r="O712" t="str">
        <f>VLOOKUP(M712,month_lookup!A:B,2,FALSE)</f>
        <v>Apr</v>
      </c>
      <c r="P712">
        <f t="shared" si="48"/>
        <v>78013.63</v>
      </c>
    </row>
    <row r="713" spans="1:16" x14ac:dyDescent="0.25">
      <c r="A713" t="s">
        <v>16</v>
      </c>
      <c r="B713" s="1">
        <v>204138.34</v>
      </c>
      <c r="C713">
        <v>165617.44</v>
      </c>
      <c r="D713" s="2">
        <v>43636</v>
      </c>
      <c r="E713" t="s">
        <v>23</v>
      </c>
      <c r="F713" t="s">
        <v>433</v>
      </c>
      <c r="G713" t="s">
        <v>19</v>
      </c>
      <c r="H713" t="s">
        <v>20</v>
      </c>
      <c r="I713" t="s">
        <v>37</v>
      </c>
      <c r="J713" t="s">
        <v>870</v>
      </c>
      <c r="L713">
        <f t="shared" si="45"/>
        <v>201906</v>
      </c>
      <c r="M713">
        <f t="shared" si="46"/>
        <v>6</v>
      </c>
      <c r="N713">
        <f t="shared" si="47"/>
        <v>2019</v>
      </c>
      <c r="O713" t="str">
        <f>VLOOKUP(M713,month_lookup!A:B,2,FALSE)</f>
        <v>Jun</v>
      </c>
      <c r="P713">
        <f t="shared" si="48"/>
        <v>-204138.34</v>
      </c>
    </row>
    <row r="714" spans="1:16" x14ac:dyDescent="0.25">
      <c r="A714" t="s">
        <v>172</v>
      </c>
      <c r="B714" s="1">
        <v>81358.58</v>
      </c>
      <c r="C714">
        <v>68918.850000000006</v>
      </c>
      <c r="D714" s="2">
        <v>44064</v>
      </c>
      <c r="E714" t="s">
        <v>10</v>
      </c>
      <c r="F714" t="s">
        <v>67</v>
      </c>
      <c r="G714" t="s">
        <v>174</v>
      </c>
      <c r="H714" t="s">
        <v>211</v>
      </c>
      <c r="I714" t="s">
        <v>14</v>
      </c>
      <c r="J714" t="s">
        <v>871</v>
      </c>
      <c r="L714">
        <f t="shared" si="45"/>
        <v>202008</v>
      </c>
      <c r="M714">
        <f t="shared" si="46"/>
        <v>8</v>
      </c>
      <c r="N714">
        <f t="shared" si="47"/>
        <v>2020</v>
      </c>
      <c r="O714" t="str">
        <f>VLOOKUP(M714,month_lookup!A:B,2,FALSE)</f>
        <v>Aug</v>
      </c>
      <c r="P714">
        <f t="shared" si="48"/>
        <v>81358.58</v>
      </c>
    </row>
    <row r="715" spans="1:16" x14ac:dyDescent="0.25">
      <c r="A715" t="s">
        <v>22</v>
      </c>
      <c r="B715" s="1">
        <v>81458.94</v>
      </c>
      <c r="C715">
        <v>64434.02</v>
      </c>
      <c r="D715" s="2">
        <v>43783</v>
      </c>
      <c r="E715" t="s">
        <v>10</v>
      </c>
      <c r="F715" t="s">
        <v>34</v>
      </c>
      <c r="G715" t="s">
        <v>25</v>
      </c>
      <c r="H715" t="s">
        <v>31</v>
      </c>
      <c r="I715" t="s">
        <v>27</v>
      </c>
      <c r="J715" t="s">
        <v>872</v>
      </c>
      <c r="L715">
        <f t="shared" si="45"/>
        <v>201911</v>
      </c>
      <c r="M715">
        <f t="shared" si="46"/>
        <v>11</v>
      </c>
      <c r="N715">
        <f t="shared" si="47"/>
        <v>2019</v>
      </c>
      <c r="O715" t="str">
        <f>VLOOKUP(M715,month_lookup!A:B,2,FALSE)</f>
        <v>Nov</v>
      </c>
      <c r="P715">
        <f t="shared" si="48"/>
        <v>-81458.94</v>
      </c>
    </row>
    <row r="716" spans="1:16" x14ac:dyDescent="0.25">
      <c r="A716" t="s">
        <v>9</v>
      </c>
      <c r="B716" s="1">
        <v>79313.86</v>
      </c>
      <c r="C716">
        <v>63316.25</v>
      </c>
      <c r="D716" s="2">
        <v>43891</v>
      </c>
      <c r="E716" t="s">
        <v>50</v>
      </c>
      <c r="F716" t="s">
        <v>209</v>
      </c>
      <c r="G716" t="s">
        <v>12</v>
      </c>
      <c r="H716" t="s">
        <v>13</v>
      </c>
      <c r="I716" t="s">
        <v>27</v>
      </c>
      <c r="J716" t="s">
        <v>873</v>
      </c>
      <c r="L716">
        <f t="shared" si="45"/>
        <v>202003</v>
      </c>
      <c r="M716">
        <f t="shared" si="46"/>
        <v>3</v>
      </c>
      <c r="N716">
        <f t="shared" si="47"/>
        <v>2020</v>
      </c>
      <c r="O716" t="str">
        <f>VLOOKUP(M716,month_lookup!A:B,2,FALSE)</f>
        <v>Mar</v>
      </c>
      <c r="P716">
        <f t="shared" si="48"/>
        <v>79313.86</v>
      </c>
    </row>
    <row r="717" spans="1:16" x14ac:dyDescent="0.25">
      <c r="A717" t="s">
        <v>16</v>
      </c>
      <c r="B717" s="1">
        <v>100978.49</v>
      </c>
      <c r="C717">
        <v>86568.86</v>
      </c>
      <c r="D717" s="2">
        <v>43686</v>
      </c>
      <c r="E717" t="s">
        <v>50</v>
      </c>
      <c r="F717" t="s">
        <v>34</v>
      </c>
      <c r="G717" t="s">
        <v>19</v>
      </c>
      <c r="H717" t="s">
        <v>20</v>
      </c>
      <c r="I717" t="s">
        <v>27</v>
      </c>
      <c r="J717" t="s">
        <v>874</v>
      </c>
      <c r="L717">
        <f t="shared" si="45"/>
        <v>201908</v>
      </c>
      <c r="M717">
        <f t="shared" si="46"/>
        <v>8</v>
      </c>
      <c r="N717">
        <f t="shared" si="47"/>
        <v>2019</v>
      </c>
      <c r="O717" t="str">
        <f>VLOOKUP(M717,month_lookup!A:B,2,FALSE)</f>
        <v>Aug</v>
      </c>
      <c r="P717">
        <f t="shared" si="48"/>
        <v>-100978.49</v>
      </c>
    </row>
    <row r="718" spans="1:16" x14ac:dyDescent="0.25">
      <c r="A718" t="s">
        <v>22</v>
      </c>
      <c r="B718" s="1">
        <v>172444.09</v>
      </c>
      <c r="C718">
        <v>149681.47</v>
      </c>
      <c r="D718" s="2">
        <v>43470</v>
      </c>
      <c r="E718" t="s">
        <v>59</v>
      </c>
      <c r="F718" t="s">
        <v>24</v>
      </c>
      <c r="G718" t="s">
        <v>25</v>
      </c>
      <c r="H718" t="s">
        <v>89</v>
      </c>
      <c r="I718" t="s">
        <v>27</v>
      </c>
      <c r="J718" t="s">
        <v>875</v>
      </c>
      <c r="L718">
        <f t="shared" si="45"/>
        <v>201901</v>
      </c>
      <c r="M718">
        <f t="shared" si="46"/>
        <v>1</v>
      </c>
      <c r="N718">
        <f t="shared" si="47"/>
        <v>2019</v>
      </c>
      <c r="O718" t="str">
        <f>VLOOKUP(M718,month_lookup!A:B,2,FALSE)</f>
        <v>Jan</v>
      </c>
      <c r="P718">
        <f t="shared" si="48"/>
        <v>-172444.09</v>
      </c>
    </row>
    <row r="719" spans="1:16" x14ac:dyDescent="0.25">
      <c r="A719" t="s">
        <v>44</v>
      </c>
      <c r="B719" s="1">
        <v>111523.01</v>
      </c>
      <c r="C719">
        <v>98017.57</v>
      </c>
      <c r="D719" s="2">
        <v>43892</v>
      </c>
      <c r="E719" t="s">
        <v>61</v>
      </c>
      <c r="F719" t="s">
        <v>233</v>
      </c>
      <c r="G719" t="s">
        <v>47</v>
      </c>
      <c r="H719" t="s">
        <v>48</v>
      </c>
      <c r="I719" t="s">
        <v>27</v>
      </c>
      <c r="J719" t="s">
        <v>876</v>
      </c>
      <c r="L719">
        <f t="shared" si="45"/>
        <v>202003</v>
      </c>
      <c r="M719">
        <f t="shared" si="46"/>
        <v>3</v>
      </c>
      <c r="N719">
        <f t="shared" si="47"/>
        <v>2020</v>
      </c>
      <c r="O719" t="str">
        <f>VLOOKUP(M719,month_lookup!A:B,2,FALSE)</f>
        <v>Mar</v>
      </c>
      <c r="P719">
        <f t="shared" si="48"/>
        <v>111523.01</v>
      </c>
    </row>
    <row r="720" spans="1:16" x14ac:dyDescent="0.25">
      <c r="A720" t="s">
        <v>44</v>
      </c>
      <c r="B720" s="1">
        <v>62947.82</v>
      </c>
      <c r="C720">
        <v>49967.98</v>
      </c>
      <c r="D720" s="2">
        <v>43754</v>
      </c>
      <c r="E720" t="s">
        <v>45</v>
      </c>
      <c r="F720" t="s">
        <v>236</v>
      </c>
      <c r="G720" t="s">
        <v>47</v>
      </c>
      <c r="H720" t="s">
        <v>65</v>
      </c>
      <c r="I720" t="s">
        <v>27</v>
      </c>
      <c r="J720" t="s">
        <v>877</v>
      </c>
      <c r="L720">
        <f t="shared" si="45"/>
        <v>201910</v>
      </c>
      <c r="M720">
        <f t="shared" si="46"/>
        <v>10</v>
      </c>
      <c r="N720">
        <f t="shared" si="47"/>
        <v>2019</v>
      </c>
      <c r="O720" t="str">
        <f>VLOOKUP(M720,month_lookup!A:B,2,FALSE)</f>
        <v>Oct</v>
      </c>
      <c r="P720">
        <f t="shared" si="48"/>
        <v>-62947.82</v>
      </c>
    </row>
    <row r="721" spans="1:16" x14ac:dyDescent="0.25">
      <c r="A721" t="s">
        <v>52</v>
      </c>
      <c r="B721" s="1">
        <v>80294.559999999998</v>
      </c>
      <c r="C721">
        <v>65295.54</v>
      </c>
      <c r="D721" s="2">
        <v>43742</v>
      </c>
      <c r="E721" t="s">
        <v>10</v>
      </c>
      <c r="F721" t="s">
        <v>109</v>
      </c>
      <c r="G721" t="s">
        <v>54</v>
      </c>
      <c r="H721" t="s">
        <v>143</v>
      </c>
      <c r="I721" t="s">
        <v>27</v>
      </c>
      <c r="J721" t="s">
        <v>878</v>
      </c>
      <c r="L721">
        <f t="shared" si="45"/>
        <v>201910</v>
      </c>
      <c r="M721">
        <f t="shared" si="46"/>
        <v>10</v>
      </c>
      <c r="N721">
        <f t="shared" si="47"/>
        <v>2019</v>
      </c>
      <c r="O721" t="str">
        <f>VLOOKUP(M721,month_lookup!A:B,2,FALSE)</f>
        <v>Oct</v>
      </c>
      <c r="P721">
        <f t="shared" si="48"/>
        <v>-80294.559999999998</v>
      </c>
    </row>
    <row r="722" spans="1:16" x14ac:dyDescent="0.25">
      <c r="A722" t="s">
        <v>52</v>
      </c>
      <c r="B722" s="1">
        <v>234961.46</v>
      </c>
      <c r="C722">
        <v>199388.3</v>
      </c>
      <c r="D722" s="2">
        <v>43618</v>
      </c>
      <c r="E722" t="s">
        <v>45</v>
      </c>
      <c r="F722" t="s">
        <v>733</v>
      </c>
      <c r="G722" t="s">
        <v>54</v>
      </c>
      <c r="H722" t="s">
        <v>55</v>
      </c>
      <c r="I722" t="s">
        <v>14</v>
      </c>
      <c r="J722" t="s">
        <v>879</v>
      </c>
      <c r="L722">
        <f t="shared" si="45"/>
        <v>201906</v>
      </c>
      <c r="M722">
        <f t="shared" si="46"/>
        <v>6</v>
      </c>
      <c r="N722">
        <f t="shared" si="47"/>
        <v>2019</v>
      </c>
      <c r="O722" t="str">
        <f>VLOOKUP(M722,month_lookup!A:B,2,FALSE)</f>
        <v>Jun</v>
      </c>
      <c r="P722">
        <f t="shared" si="48"/>
        <v>-234961.46</v>
      </c>
    </row>
    <row r="723" spans="1:16" x14ac:dyDescent="0.25">
      <c r="A723" t="s">
        <v>52</v>
      </c>
      <c r="B723" s="1">
        <v>214615.79</v>
      </c>
      <c r="C723">
        <v>177637.49</v>
      </c>
      <c r="D723" s="2">
        <v>43646</v>
      </c>
      <c r="E723" t="s">
        <v>17</v>
      </c>
      <c r="F723" t="s">
        <v>179</v>
      </c>
      <c r="G723" t="s">
        <v>54</v>
      </c>
      <c r="H723" t="s">
        <v>71</v>
      </c>
      <c r="I723" t="s">
        <v>27</v>
      </c>
      <c r="J723" t="s">
        <v>880</v>
      </c>
      <c r="L723">
        <f t="shared" si="45"/>
        <v>201906</v>
      </c>
      <c r="M723">
        <f t="shared" si="46"/>
        <v>6</v>
      </c>
      <c r="N723">
        <f t="shared" si="47"/>
        <v>2019</v>
      </c>
      <c r="O723" t="str">
        <f>VLOOKUP(M723,month_lookup!A:B,2,FALSE)</f>
        <v>Jun</v>
      </c>
      <c r="P723">
        <f t="shared" si="48"/>
        <v>-214615.79</v>
      </c>
    </row>
    <row r="724" spans="1:16" x14ac:dyDescent="0.25">
      <c r="A724" t="s">
        <v>52</v>
      </c>
      <c r="B724" s="1">
        <v>173418.59</v>
      </c>
      <c r="C724">
        <v>140746.53</v>
      </c>
      <c r="D724" s="2">
        <v>43604</v>
      </c>
      <c r="E724" t="s">
        <v>79</v>
      </c>
      <c r="F724" t="s">
        <v>30</v>
      </c>
      <c r="G724" t="s">
        <v>54</v>
      </c>
      <c r="H724" t="s">
        <v>55</v>
      </c>
      <c r="I724" t="s">
        <v>27</v>
      </c>
      <c r="J724" t="s">
        <v>881</v>
      </c>
      <c r="L724">
        <f t="shared" si="45"/>
        <v>201905</v>
      </c>
      <c r="M724">
        <f t="shared" si="46"/>
        <v>5</v>
      </c>
      <c r="N724">
        <f t="shared" si="47"/>
        <v>2019</v>
      </c>
      <c r="O724" t="str">
        <f>VLOOKUP(M724,month_lookup!A:B,2,FALSE)</f>
        <v>May</v>
      </c>
      <c r="P724">
        <f t="shared" si="48"/>
        <v>-173418.59</v>
      </c>
    </row>
    <row r="725" spans="1:16" x14ac:dyDescent="0.25">
      <c r="A725" t="s">
        <v>52</v>
      </c>
      <c r="B725" s="1">
        <v>27400.69</v>
      </c>
      <c r="C725">
        <v>22832.99</v>
      </c>
      <c r="D725" s="2">
        <v>43726</v>
      </c>
      <c r="E725" t="s">
        <v>79</v>
      </c>
      <c r="F725" t="s">
        <v>367</v>
      </c>
      <c r="G725" t="s">
        <v>54</v>
      </c>
      <c r="H725" t="s">
        <v>55</v>
      </c>
      <c r="I725" t="s">
        <v>27</v>
      </c>
      <c r="J725" t="s">
        <v>882</v>
      </c>
      <c r="L725">
        <f t="shared" si="45"/>
        <v>201909</v>
      </c>
      <c r="M725">
        <f t="shared" si="46"/>
        <v>9</v>
      </c>
      <c r="N725">
        <f t="shared" si="47"/>
        <v>2019</v>
      </c>
      <c r="O725" t="str">
        <f>VLOOKUP(M725,month_lookup!A:B,2,FALSE)</f>
        <v>Sep</v>
      </c>
      <c r="P725">
        <f t="shared" si="48"/>
        <v>-27400.69</v>
      </c>
    </row>
    <row r="726" spans="1:16" x14ac:dyDescent="0.25">
      <c r="A726" t="s">
        <v>22</v>
      </c>
      <c r="B726" s="1">
        <v>179323.22</v>
      </c>
      <c r="C726">
        <v>150739.1</v>
      </c>
      <c r="D726" s="2">
        <v>44051</v>
      </c>
      <c r="E726" t="s">
        <v>59</v>
      </c>
      <c r="F726" t="s">
        <v>340</v>
      </c>
      <c r="G726" t="s">
        <v>25</v>
      </c>
      <c r="H726" t="s">
        <v>218</v>
      </c>
      <c r="I726" t="s">
        <v>37</v>
      </c>
      <c r="J726" t="s">
        <v>883</v>
      </c>
      <c r="L726">
        <f t="shared" si="45"/>
        <v>202008</v>
      </c>
      <c r="M726">
        <f t="shared" si="46"/>
        <v>8</v>
      </c>
      <c r="N726">
        <f t="shared" si="47"/>
        <v>2020</v>
      </c>
      <c r="O726" t="str">
        <f>VLOOKUP(M726,month_lookup!A:B,2,FALSE)</f>
        <v>Aug</v>
      </c>
      <c r="P726">
        <f t="shared" si="48"/>
        <v>179323.22</v>
      </c>
    </row>
    <row r="727" spans="1:16" x14ac:dyDescent="0.25">
      <c r="A727" t="s">
        <v>22</v>
      </c>
      <c r="B727" s="1">
        <v>135211.42000000001</v>
      </c>
      <c r="C727">
        <v>108534.21</v>
      </c>
      <c r="D727" s="2">
        <v>43689</v>
      </c>
      <c r="E727" t="s">
        <v>23</v>
      </c>
      <c r="F727" t="s">
        <v>24</v>
      </c>
      <c r="G727" t="s">
        <v>25</v>
      </c>
      <c r="H727" t="s">
        <v>75</v>
      </c>
      <c r="I727" t="s">
        <v>27</v>
      </c>
      <c r="J727" t="s">
        <v>884</v>
      </c>
      <c r="L727">
        <f t="shared" si="45"/>
        <v>201908</v>
      </c>
      <c r="M727">
        <f t="shared" si="46"/>
        <v>8</v>
      </c>
      <c r="N727">
        <f t="shared" si="47"/>
        <v>2019</v>
      </c>
      <c r="O727" t="str">
        <f>VLOOKUP(M727,month_lookup!A:B,2,FALSE)</f>
        <v>Aug</v>
      </c>
      <c r="P727">
        <f t="shared" si="48"/>
        <v>-135211.42000000001</v>
      </c>
    </row>
    <row r="728" spans="1:16" x14ac:dyDescent="0.25">
      <c r="A728" t="s">
        <v>52</v>
      </c>
      <c r="B728" s="1">
        <v>186209.44</v>
      </c>
      <c r="C728">
        <v>148818.57999999999</v>
      </c>
      <c r="D728" s="2">
        <v>43640</v>
      </c>
      <c r="E728" t="s">
        <v>23</v>
      </c>
      <c r="F728" t="s">
        <v>113</v>
      </c>
      <c r="G728" t="s">
        <v>54</v>
      </c>
      <c r="H728" t="s">
        <v>143</v>
      </c>
      <c r="I728" t="s">
        <v>14</v>
      </c>
      <c r="J728" t="s">
        <v>885</v>
      </c>
      <c r="L728">
        <f t="shared" si="45"/>
        <v>201906</v>
      </c>
      <c r="M728">
        <f t="shared" si="46"/>
        <v>6</v>
      </c>
      <c r="N728">
        <f t="shared" si="47"/>
        <v>2019</v>
      </c>
      <c r="O728" t="str">
        <f>VLOOKUP(M728,month_lookup!A:B,2,FALSE)</f>
        <v>Jun</v>
      </c>
      <c r="P728">
        <f t="shared" si="48"/>
        <v>-186209.44</v>
      </c>
    </row>
    <row r="729" spans="1:16" x14ac:dyDescent="0.25">
      <c r="A729" t="s">
        <v>172</v>
      </c>
      <c r="B729" s="1">
        <v>127591.73</v>
      </c>
      <c r="C729">
        <v>108988.86</v>
      </c>
      <c r="D729" s="2">
        <v>43951</v>
      </c>
      <c r="E729" t="s">
        <v>17</v>
      </c>
      <c r="F729" t="s">
        <v>57</v>
      </c>
      <c r="G729" t="s">
        <v>174</v>
      </c>
      <c r="H729" t="s">
        <v>211</v>
      </c>
      <c r="I729" t="s">
        <v>14</v>
      </c>
      <c r="J729" t="s">
        <v>886</v>
      </c>
      <c r="L729">
        <f t="shared" si="45"/>
        <v>202004</v>
      </c>
      <c r="M729">
        <f t="shared" si="46"/>
        <v>4</v>
      </c>
      <c r="N729">
        <f t="shared" si="47"/>
        <v>2020</v>
      </c>
      <c r="O729" t="str">
        <f>VLOOKUP(M729,month_lookup!A:B,2,FALSE)</f>
        <v>Apr</v>
      </c>
      <c r="P729">
        <f t="shared" si="48"/>
        <v>127591.73</v>
      </c>
    </row>
    <row r="730" spans="1:16" x14ac:dyDescent="0.25">
      <c r="A730" t="s">
        <v>9</v>
      </c>
      <c r="B730" s="1">
        <v>53093.47</v>
      </c>
      <c r="C730">
        <v>42533.18</v>
      </c>
      <c r="D730" s="2">
        <v>44129</v>
      </c>
      <c r="E730" t="s">
        <v>23</v>
      </c>
      <c r="F730" t="s">
        <v>301</v>
      </c>
      <c r="G730" t="s">
        <v>12</v>
      </c>
      <c r="H730" t="s">
        <v>68</v>
      </c>
      <c r="I730" t="s">
        <v>27</v>
      </c>
      <c r="J730" t="s">
        <v>887</v>
      </c>
      <c r="L730">
        <f t="shared" si="45"/>
        <v>202010</v>
      </c>
      <c r="M730">
        <f t="shared" si="46"/>
        <v>10</v>
      </c>
      <c r="N730">
        <f t="shared" si="47"/>
        <v>2020</v>
      </c>
      <c r="O730" t="str">
        <f>VLOOKUP(M730,month_lookup!A:B,2,FALSE)</f>
        <v>Oct</v>
      </c>
      <c r="P730">
        <f t="shared" si="48"/>
        <v>53093.47</v>
      </c>
    </row>
    <row r="731" spans="1:16" x14ac:dyDescent="0.25">
      <c r="A731" t="s">
        <v>83</v>
      </c>
      <c r="B731" s="1">
        <v>28787.17</v>
      </c>
      <c r="C731">
        <v>24610.15</v>
      </c>
      <c r="D731" s="2">
        <v>43683</v>
      </c>
      <c r="E731" t="s">
        <v>17</v>
      </c>
      <c r="F731" t="s">
        <v>181</v>
      </c>
      <c r="G731" t="s">
        <v>84</v>
      </c>
      <c r="H731" t="s">
        <v>85</v>
      </c>
      <c r="I731" t="s">
        <v>27</v>
      </c>
      <c r="J731" t="s">
        <v>888</v>
      </c>
      <c r="L731">
        <f t="shared" si="45"/>
        <v>201908</v>
      </c>
      <c r="M731">
        <f t="shared" si="46"/>
        <v>8</v>
      </c>
      <c r="N731">
        <f t="shared" si="47"/>
        <v>2019</v>
      </c>
      <c r="O731" t="str">
        <f>VLOOKUP(M731,month_lookup!A:B,2,FALSE)</f>
        <v>Aug</v>
      </c>
      <c r="P731">
        <f t="shared" si="48"/>
        <v>-28787.17</v>
      </c>
    </row>
    <row r="732" spans="1:16" x14ac:dyDescent="0.25">
      <c r="A732" t="s">
        <v>44</v>
      </c>
      <c r="B732" s="1">
        <v>49930.87</v>
      </c>
      <c r="C732">
        <v>40174.379999999997</v>
      </c>
      <c r="D732" s="2">
        <v>43882</v>
      </c>
      <c r="E732" t="s">
        <v>61</v>
      </c>
      <c r="F732" t="s">
        <v>122</v>
      </c>
      <c r="G732" t="s">
        <v>47</v>
      </c>
      <c r="H732" t="s">
        <v>65</v>
      </c>
      <c r="I732" t="s">
        <v>27</v>
      </c>
      <c r="J732" t="s">
        <v>889</v>
      </c>
      <c r="L732">
        <f t="shared" si="45"/>
        <v>202002</v>
      </c>
      <c r="M732">
        <f t="shared" si="46"/>
        <v>2</v>
      </c>
      <c r="N732">
        <f t="shared" si="47"/>
        <v>2020</v>
      </c>
      <c r="O732" t="str">
        <f>VLOOKUP(M732,month_lookup!A:B,2,FALSE)</f>
        <v>Feb</v>
      </c>
      <c r="P732">
        <f t="shared" si="48"/>
        <v>49930.87</v>
      </c>
    </row>
    <row r="733" spans="1:16" x14ac:dyDescent="0.25">
      <c r="A733" t="s">
        <v>22</v>
      </c>
      <c r="B733" s="1">
        <v>48763.58</v>
      </c>
      <c r="C733">
        <v>39435.11</v>
      </c>
      <c r="D733" s="2">
        <v>44026</v>
      </c>
      <c r="E733" t="s">
        <v>59</v>
      </c>
      <c r="F733" t="s">
        <v>122</v>
      </c>
      <c r="G733" t="s">
        <v>25</v>
      </c>
      <c r="H733" t="s">
        <v>26</v>
      </c>
      <c r="I733" t="s">
        <v>27</v>
      </c>
      <c r="J733" t="s">
        <v>890</v>
      </c>
      <c r="L733">
        <f t="shared" si="45"/>
        <v>202007</v>
      </c>
      <c r="M733">
        <f t="shared" si="46"/>
        <v>7</v>
      </c>
      <c r="N733">
        <f t="shared" si="47"/>
        <v>2020</v>
      </c>
      <c r="O733" t="str">
        <f>VLOOKUP(M733,month_lookup!A:B,2,FALSE)</f>
        <v>Jul</v>
      </c>
      <c r="P733">
        <f t="shared" si="48"/>
        <v>48763.58</v>
      </c>
    </row>
    <row r="734" spans="1:16" x14ac:dyDescent="0.25">
      <c r="A734" t="s">
        <v>52</v>
      </c>
      <c r="B734" s="1">
        <v>71079.8</v>
      </c>
      <c r="C734">
        <v>56778.54</v>
      </c>
      <c r="D734" s="2">
        <v>43784</v>
      </c>
      <c r="E734" t="s">
        <v>79</v>
      </c>
      <c r="F734" t="s">
        <v>57</v>
      </c>
      <c r="G734" t="s">
        <v>54</v>
      </c>
      <c r="H734" t="s">
        <v>143</v>
      </c>
      <c r="I734" t="s">
        <v>27</v>
      </c>
      <c r="J734" t="s">
        <v>891</v>
      </c>
      <c r="L734">
        <f t="shared" si="45"/>
        <v>201911</v>
      </c>
      <c r="M734">
        <f t="shared" si="46"/>
        <v>11</v>
      </c>
      <c r="N734">
        <f t="shared" si="47"/>
        <v>2019</v>
      </c>
      <c r="O734" t="str">
        <f>VLOOKUP(M734,month_lookup!A:B,2,FALSE)</f>
        <v>Nov</v>
      </c>
      <c r="P734">
        <f t="shared" si="48"/>
        <v>-71079.8</v>
      </c>
    </row>
    <row r="735" spans="1:16" x14ac:dyDescent="0.25">
      <c r="A735" t="s">
        <v>9</v>
      </c>
      <c r="B735" s="1">
        <v>43158.94</v>
      </c>
      <c r="C735">
        <v>36244.879999999997</v>
      </c>
      <c r="D735" s="2">
        <v>43598</v>
      </c>
      <c r="E735" t="s">
        <v>79</v>
      </c>
      <c r="F735" t="s">
        <v>187</v>
      </c>
      <c r="G735" t="s">
        <v>12</v>
      </c>
      <c r="H735" t="s">
        <v>68</v>
      </c>
      <c r="I735" t="s">
        <v>27</v>
      </c>
      <c r="J735" t="s">
        <v>892</v>
      </c>
      <c r="L735">
        <f t="shared" si="45"/>
        <v>201905</v>
      </c>
      <c r="M735">
        <f t="shared" si="46"/>
        <v>5</v>
      </c>
      <c r="N735">
        <f t="shared" si="47"/>
        <v>2019</v>
      </c>
      <c r="O735" t="str">
        <f>VLOOKUP(M735,month_lookup!A:B,2,FALSE)</f>
        <v>May</v>
      </c>
      <c r="P735">
        <f t="shared" si="48"/>
        <v>-43158.94</v>
      </c>
    </row>
    <row r="736" spans="1:16" x14ac:dyDescent="0.25">
      <c r="A736" t="s">
        <v>52</v>
      </c>
      <c r="B736" s="1">
        <v>117538.82</v>
      </c>
      <c r="C736">
        <v>100719.02</v>
      </c>
      <c r="D736" s="2">
        <v>43649</v>
      </c>
      <c r="E736" t="s">
        <v>29</v>
      </c>
      <c r="F736" t="s">
        <v>63</v>
      </c>
      <c r="G736" t="s">
        <v>54</v>
      </c>
      <c r="H736" t="s">
        <v>143</v>
      </c>
      <c r="I736" t="s">
        <v>27</v>
      </c>
      <c r="J736" t="s">
        <v>893</v>
      </c>
      <c r="L736">
        <f t="shared" si="45"/>
        <v>201907</v>
      </c>
      <c r="M736">
        <f t="shared" si="46"/>
        <v>7</v>
      </c>
      <c r="N736">
        <f t="shared" si="47"/>
        <v>2019</v>
      </c>
      <c r="O736" t="str">
        <f>VLOOKUP(M736,month_lookup!A:B,2,FALSE)</f>
        <v>Jul</v>
      </c>
      <c r="P736">
        <f t="shared" si="48"/>
        <v>-117538.82</v>
      </c>
    </row>
    <row r="737" spans="1:16" x14ac:dyDescent="0.25">
      <c r="A737" t="s">
        <v>22</v>
      </c>
      <c r="B737" s="1">
        <v>45725.53</v>
      </c>
      <c r="C737">
        <v>36571.279999999999</v>
      </c>
      <c r="D737" s="2">
        <v>44019</v>
      </c>
      <c r="E737" t="s">
        <v>138</v>
      </c>
      <c r="F737" t="s">
        <v>42</v>
      </c>
      <c r="G737" t="s">
        <v>25</v>
      </c>
      <c r="H737" t="s">
        <v>31</v>
      </c>
      <c r="I737" t="s">
        <v>14</v>
      </c>
      <c r="J737" t="s">
        <v>894</v>
      </c>
      <c r="L737">
        <f t="shared" si="45"/>
        <v>202007</v>
      </c>
      <c r="M737">
        <f t="shared" si="46"/>
        <v>7</v>
      </c>
      <c r="N737">
        <f t="shared" si="47"/>
        <v>2020</v>
      </c>
      <c r="O737" t="str">
        <f>VLOOKUP(M737,month_lookup!A:B,2,FALSE)</f>
        <v>Jul</v>
      </c>
      <c r="P737">
        <f t="shared" si="48"/>
        <v>45725.53</v>
      </c>
    </row>
    <row r="738" spans="1:16" x14ac:dyDescent="0.25">
      <c r="A738" t="s">
        <v>22</v>
      </c>
      <c r="B738" s="1">
        <v>77522.570000000007</v>
      </c>
      <c r="C738">
        <v>64227.45</v>
      </c>
      <c r="D738" s="2">
        <v>43677</v>
      </c>
      <c r="E738" t="s">
        <v>61</v>
      </c>
      <c r="F738" t="s">
        <v>179</v>
      </c>
      <c r="G738" t="s">
        <v>25</v>
      </c>
      <c r="H738" t="s">
        <v>31</v>
      </c>
      <c r="I738" t="s">
        <v>14</v>
      </c>
      <c r="J738" t="s">
        <v>895</v>
      </c>
      <c r="L738">
        <f t="shared" si="45"/>
        <v>201907</v>
      </c>
      <c r="M738">
        <f t="shared" si="46"/>
        <v>7</v>
      </c>
      <c r="N738">
        <f t="shared" si="47"/>
        <v>2019</v>
      </c>
      <c r="O738" t="str">
        <f>VLOOKUP(M738,month_lookup!A:B,2,FALSE)</f>
        <v>Jul</v>
      </c>
      <c r="P738">
        <f t="shared" si="48"/>
        <v>-77522.570000000007</v>
      </c>
    </row>
    <row r="739" spans="1:16" x14ac:dyDescent="0.25">
      <c r="A739" t="s">
        <v>214</v>
      </c>
      <c r="B739" s="1">
        <v>44118.5</v>
      </c>
      <c r="C739">
        <v>38250.74</v>
      </c>
      <c r="D739" s="2">
        <v>43894</v>
      </c>
      <c r="E739" t="s">
        <v>79</v>
      </c>
      <c r="F739" t="s">
        <v>88</v>
      </c>
      <c r="G739" t="s">
        <v>215</v>
      </c>
      <c r="H739" t="s">
        <v>216</v>
      </c>
      <c r="I739" t="s">
        <v>14</v>
      </c>
      <c r="J739" t="s">
        <v>896</v>
      </c>
      <c r="L739">
        <f t="shared" si="45"/>
        <v>202003</v>
      </c>
      <c r="M739">
        <f t="shared" si="46"/>
        <v>3</v>
      </c>
      <c r="N739">
        <f t="shared" si="47"/>
        <v>2020</v>
      </c>
      <c r="O739" t="str">
        <f>VLOOKUP(M739,month_lookup!A:B,2,FALSE)</f>
        <v>Mar</v>
      </c>
      <c r="P739">
        <f t="shared" si="48"/>
        <v>44118.5</v>
      </c>
    </row>
    <row r="740" spans="1:16" x14ac:dyDescent="0.25">
      <c r="A740" t="s">
        <v>44</v>
      </c>
      <c r="B740" s="1">
        <v>242526</v>
      </c>
      <c r="C740">
        <v>212113.24</v>
      </c>
      <c r="D740" s="2">
        <v>43619</v>
      </c>
      <c r="E740" t="s">
        <v>23</v>
      </c>
      <c r="F740" t="s">
        <v>165</v>
      </c>
      <c r="G740" t="s">
        <v>47</v>
      </c>
      <c r="H740" t="s">
        <v>48</v>
      </c>
      <c r="I740" t="s">
        <v>27</v>
      </c>
      <c r="J740" t="s">
        <v>897</v>
      </c>
      <c r="L740">
        <f t="shared" si="45"/>
        <v>201906</v>
      </c>
      <c r="M740">
        <f t="shared" si="46"/>
        <v>6</v>
      </c>
      <c r="N740">
        <f t="shared" si="47"/>
        <v>2019</v>
      </c>
      <c r="O740" t="str">
        <f>VLOOKUP(M740,month_lookup!A:B,2,FALSE)</f>
        <v>Jun</v>
      </c>
      <c r="P740">
        <f t="shared" si="48"/>
        <v>-242526</v>
      </c>
    </row>
    <row r="741" spans="1:16" x14ac:dyDescent="0.25">
      <c r="A741" t="s">
        <v>52</v>
      </c>
      <c r="B741" s="1">
        <v>140635.94</v>
      </c>
      <c r="C741">
        <v>115194.9</v>
      </c>
      <c r="D741" s="2">
        <v>44173</v>
      </c>
      <c r="E741" t="s">
        <v>59</v>
      </c>
      <c r="F741" t="s">
        <v>34</v>
      </c>
      <c r="G741" t="s">
        <v>54</v>
      </c>
      <c r="H741" t="s">
        <v>71</v>
      </c>
      <c r="I741" t="s">
        <v>27</v>
      </c>
      <c r="J741" t="s">
        <v>898</v>
      </c>
      <c r="L741">
        <f t="shared" si="45"/>
        <v>202012</v>
      </c>
      <c r="M741">
        <f t="shared" si="46"/>
        <v>12</v>
      </c>
      <c r="N741">
        <f t="shared" si="47"/>
        <v>2020</v>
      </c>
      <c r="O741" t="str">
        <f>VLOOKUP(M741,month_lookup!A:B,2,FALSE)</f>
        <v>Dec</v>
      </c>
      <c r="P741">
        <f t="shared" si="48"/>
        <v>140635.94</v>
      </c>
    </row>
    <row r="742" spans="1:16" x14ac:dyDescent="0.25">
      <c r="A742" t="s">
        <v>22</v>
      </c>
      <c r="B742" s="1">
        <v>157754.35999999999</v>
      </c>
      <c r="C742">
        <v>132166.6</v>
      </c>
      <c r="D742" s="2">
        <v>43686</v>
      </c>
      <c r="E742" t="s">
        <v>10</v>
      </c>
      <c r="F742" t="s">
        <v>179</v>
      </c>
      <c r="G742" t="s">
        <v>25</v>
      </c>
      <c r="H742" t="s">
        <v>31</v>
      </c>
      <c r="I742" t="s">
        <v>14</v>
      </c>
      <c r="J742" t="s">
        <v>899</v>
      </c>
      <c r="L742">
        <f t="shared" si="45"/>
        <v>201908</v>
      </c>
      <c r="M742">
        <f t="shared" si="46"/>
        <v>8</v>
      </c>
      <c r="N742">
        <f t="shared" si="47"/>
        <v>2019</v>
      </c>
      <c r="O742" t="str">
        <f>VLOOKUP(M742,month_lookup!A:B,2,FALSE)</f>
        <v>Aug</v>
      </c>
      <c r="P742">
        <f t="shared" si="48"/>
        <v>-157754.35999999999</v>
      </c>
    </row>
    <row r="743" spans="1:16" x14ac:dyDescent="0.25">
      <c r="A743" t="s">
        <v>52</v>
      </c>
      <c r="B743" s="1">
        <v>88977.22</v>
      </c>
      <c r="C743">
        <v>72534.23</v>
      </c>
      <c r="D743" s="2">
        <v>44107</v>
      </c>
      <c r="E743" t="s">
        <v>10</v>
      </c>
      <c r="F743" t="s">
        <v>91</v>
      </c>
      <c r="G743" t="s">
        <v>54</v>
      </c>
      <c r="H743" t="s">
        <v>132</v>
      </c>
      <c r="I743" t="s">
        <v>27</v>
      </c>
      <c r="J743" t="s">
        <v>900</v>
      </c>
      <c r="L743">
        <f t="shared" si="45"/>
        <v>202010</v>
      </c>
      <c r="M743">
        <f t="shared" si="46"/>
        <v>10</v>
      </c>
      <c r="N743">
        <f t="shared" si="47"/>
        <v>2020</v>
      </c>
      <c r="O743" t="str">
        <f>VLOOKUP(M743,month_lookup!A:B,2,FALSE)</f>
        <v>Oct</v>
      </c>
      <c r="P743">
        <f t="shared" si="48"/>
        <v>88977.22</v>
      </c>
    </row>
    <row r="744" spans="1:16" x14ac:dyDescent="0.25">
      <c r="A744" t="s">
        <v>22</v>
      </c>
      <c r="B744" s="1">
        <v>74231.25</v>
      </c>
      <c r="C744">
        <v>61604.51</v>
      </c>
      <c r="D744" s="2">
        <v>43780</v>
      </c>
      <c r="E744" t="s">
        <v>29</v>
      </c>
      <c r="F744" t="s">
        <v>53</v>
      </c>
      <c r="G744" t="s">
        <v>25</v>
      </c>
      <c r="H744" t="s">
        <v>218</v>
      </c>
      <c r="I744" t="s">
        <v>14</v>
      </c>
      <c r="J744" t="s">
        <v>901</v>
      </c>
      <c r="L744">
        <f t="shared" si="45"/>
        <v>201911</v>
      </c>
      <c r="M744">
        <f t="shared" si="46"/>
        <v>11</v>
      </c>
      <c r="N744">
        <f t="shared" si="47"/>
        <v>2019</v>
      </c>
      <c r="O744" t="str">
        <f>VLOOKUP(M744,month_lookup!A:B,2,FALSE)</f>
        <v>Nov</v>
      </c>
      <c r="P744">
        <f t="shared" si="48"/>
        <v>-74231.25</v>
      </c>
    </row>
    <row r="745" spans="1:16" x14ac:dyDescent="0.25">
      <c r="A745" t="s">
        <v>9</v>
      </c>
      <c r="B745" s="1">
        <v>131402.37</v>
      </c>
      <c r="C745">
        <v>106383.36</v>
      </c>
      <c r="D745" s="2">
        <v>43741</v>
      </c>
      <c r="E745" t="s">
        <v>29</v>
      </c>
      <c r="F745" t="s">
        <v>34</v>
      </c>
      <c r="G745" t="s">
        <v>12</v>
      </c>
      <c r="H745" t="s">
        <v>68</v>
      </c>
      <c r="I745" t="s">
        <v>27</v>
      </c>
      <c r="J745" t="s">
        <v>902</v>
      </c>
      <c r="L745">
        <f t="shared" si="45"/>
        <v>201910</v>
      </c>
      <c r="M745">
        <f t="shared" si="46"/>
        <v>10</v>
      </c>
      <c r="N745">
        <f t="shared" si="47"/>
        <v>2019</v>
      </c>
      <c r="O745" t="str">
        <f>VLOOKUP(M745,month_lookup!A:B,2,FALSE)</f>
        <v>Oct</v>
      </c>
      <c r="P745">
        <f t="shared" si="48"/>
        <v>-131402.37</v>
      </c>
    </row>
    <row r="746" spans="1:16" x14ac:dyDescent="0.25">
      <c r="A746" t="s">
        <v>9</v>
      </c>
      <c r="B746" s="1">
        <v>156505.37</v>
      </c>
      <c r="C746">
        <v>128647.41</v>
      </c>
      <c r="D746" s="2">
        <v>43589</v>
      </c>
      <c r="E746" t="s">
        <v>79</v>
      </c>
      <c r="F746" t="s">
        <v>131</v>
      </c>
      <c r="G746" t="s">
        <v>12</v>
      </c>
      <c r="H746" t="s">
        <v>81</v>
      </c>
      <c r="I746" t="s">
        <v>27</v>
      </c>
      <c r="J746" t="s">
        <v>903</v>
      </c>
      <c r="L746">
        <f t="shared" si="45"/>
        <v>201905</v>
      </c>
      <c r="M746">
        <f t="shared" si="46"/>
        <v>5</v>
      </c>
      <c r="N746">
        <f t="shared" si="47"/>
        <v>2019</v>
      </c>
      <c r="O746" t="str">
        <f>VLOOKUP(M746,month_lookup!A:B,2,FALSE)</f>
        <v>May</v>
      </c>
      <c r="P746">
        <f t="shared" si="48"/>
        <v>-156505.37</v>
      </c>
    </row>
    <row r="747" spans="1:16" x14ac:dyDescent="0.25">
      <c r="A747" t="s">
        <v>22</v>
      </c>
      <c r="B747" s="1">
        <v>139200.81</v>
      </c>
      <c r="C747">
        <v>120172.06</v>
      </c>
      <c r="D747" s="2">
        <v>43700</v>
      </c>
      <c r="E747" t="s">
        <v>17</v>
      </c>
      <c r="F747" t="s">
        <v>34</v>
      </c>
      <c r="G747" t="s">
        <v>25</v>
      </c>
      <c r="H747" t="s">
        <v>218</v>
      </c>
      <c r="I747" t="s">
        <v>27</v>
      </c>
      <c r="J747" t="s">
        <v>904</v>
      </c>
      <c r="L747">
        <f t="shared" si="45"/>
        <v>201908</v>
      </c>
      <c r="M747">
        <f t="shared" si="46"/>
        <v>8</v>
      </c>
      <c r="N747">
        <f t="shared" si="47"/>
        <v>2019</v>
      </c>
      <c r="O747" t="str">
        <f>VLOOKUP(M747,month_lookup!A:B,2,FALSE)</f>
        <v>Aug</v>
      </c>
      <c r="P747">
        <f t="shared" si="48"/>
        <v>-139200.81</v>
      </c>
    </row>
    <row r="748" spans="1:16" x14ac:dyDescent="0.25">
      <c r="A748" t="s">
        <v>9</v>
      </c>
      <c r="B748" s="1">
        <v>121292.94</v>
      </c>
      <c r="C748">
        <v>104384.7</v>
      </c>
      <c r="D748" s="2">
        <v>43547</v>
      </c>
      <c r="E748" t="s">
        <v>29</v>
      </c>
      <c r="F748" t="s">
        <v>42</v>
      </c>
      <c r="G748" t="s">
        <v>12</v>
      </c>
      <c r="H748" t="s">
        <v>169</v>
      </c>
      <c r="I748" t="s">
        <v>27</v>
      </c>
      <c r="J748" t="s">
        <v>905</v>
      </c>
      <c r="L748">
        <f t="shared" si="45"/>
        <v>201903</v>
      </c>
      <c r="M748">
        <f t="shared" si="46"/>
        <v>3</v>
      </c>
      <c r="N748">
        <f t="shared" si="47"/>
        <v>2019</v>
      </c>
      <c r="O748" t="str">
        <f>VLOOKUP(M748,month_lookup!A:B,2,FALSE)</f>
        <v>Mar</v>
      </c>
      <c r="P748">
        <f t="shared" si="48"/>
        <v>-121292.94</v>
      </c>
    </row>
    <row r="749" spans="1:16" x14ac:dyDescent="0.25">
      <c r="A749" t="s">
        <v>52</v>
      </c>
      <c r="B749" s="1">
        <v>84712.13</v>
      </c>
      <c r="C749">
        <v>73004.91</v>
      </c>
      <c r="D749" s="2">
        <v>44023</v>
      </c>
      <c r="E749" t="s">
        <v>10</v>
      </c>
      <c r="F749" t="s">
        <v>159</v>
      </c>
      <c r="G749" t="s">
        <v>54</v>
      </c>
      <c r="H749" t="s">
        <v>132</v>
      </c>
      <c r="I749" t="s">
        <v>27</v>
      </c>
      <c r="J749" t="s">
        <v>906</v>
      </c>
      <c r="L749">
        <f t="shared" si="45"/>
        <v>202007</v>
      </c>
      <c r="M749">
        <f t="shared" si="46"/>
        <v>7</v>
      </c>
      <c r="N749">
        <f t="shared" si="47"/>
        <v>2020</v>
      </c>
      <c r="O749" t="str">
        <f>VLOOKUP(M749,month_lookup!A:B,2,FALSE)</f>
        <v>Jul</v>
      </c>
      <c r="P749">
        <f t="shared" si="48"/>
        <v>84712.13</v>
      </c>
    </row>
    <row r="750" spans="1:16" x14ac:dyDescent="0.25">
      <c r="A750" t="s">
        <v>22</v>
      </c>
      <c r="B750" s="1">
        <v>172202.38</v>
      </c>
      <c r="C750">
        <v>149816.07</v>
      </c>
      <c r="D750" s="2">
        <v>43564</v>
      </c>
      <c r="E750" t="s">
        <v>50</v>
      </c>
      <c r="F750" t="s">
        <v>281</v>
      </c>
      <c r="G750" t="s">
        <v>25</v>
      </c>
      <c r="H750" t="s">
        <v>89</v>
      </c>
      <c r="I750" t="s">
        <v>37</v>
      </c>
      <c r="J750" t="s">
        <v>907</v>
      </c>
      <c r="L750">
        <f t="shared" si="45"/>
        <v>201904</v>
      </c>
      <c r="M750">
        <f t="shared" si="46"/>
        <v>4</v>
      </c>
      <c r="N750">
        <f t="shared" si="47"/>
        <v>2019</v>
      </c>
      <c r="O750" t="str">
        <f>VLOOKUP(M750,month_lookup!A:B,2,FALSE)</f>
        <v>Apr</v>
      </c>
      <c r="P750">
        <f t="shared" si="48"/>
        <v>-172202.38</v>
      </c>
    </row>
    <row r="751" spans="1:16" x14ac:dyDescent="0.25">
      <c r="A751" t="s">
        <v>9</v>
      </c>
      <c r="B751" s="1">
        <v>108978.79</v>
      </c>
      <c r="C751">
        <v>95432.73</v>
      </c>
      <c r="D751" s="2">
        <v>43797</v>
      </c>
      <c r="E751" t="s">
        <v>17</v>
      </c>
      <c r="F751" t="s">
        <v>179</v>
      </c>
      <c r="G751" t="s">
        <v>12</v>
      </c>
      <c r="H751" t="s">
        <v>13</v>
      </c>
      <c r="I751" t="s">
        <v>27</v>
      </c>
      <c r="J751" t="s">
        <v>908</v>
      </c>
      <c r="L751">
        <f t="shared" si="45"/>
        <v>201911</v>
      </c>
      <c r="M751">
        <f t="shared" si="46"/>
        <v>11</v>
      </c>
      <c r="N751">
        <f t="shared" si="47"/>
        <v>2019</v>
      </c>
      <c r="O751" t="str">
        <f>VLOOKUP(M751,month_lookup!A:B,2,FALSE)</f>
        <v>Nov</v>
      </c>
      <c r="P751">
        <f t="shared" si="48"/>
        <v>-108978.79</v>
      </c>
    </row>
    <row r="752" spans="1:16" x14ac:dyDescent="0.25">
      <c r="A752" t="s">
        <v>22</v>
      </c>
      <c r="B752" s="1">
        <v>69871.92</v>
      </c>
      <c r="C752">
        <v>58014.66</v>
      </c>
      <c r="D752" s="2">
        <v>44080</v>
      </c>
      <c r="E752" t="s">
        <v>17</v>
      </c>
      <c r="F752" t="s">
        <v>34</v>
      </c>
      <c r="G752" t="s">
        <v>25</v>
      </c>
      <c r="H752" t="s">
        <v>26</v>
      </c>
      <c r="I752" t="s">
        <v>27</v>
      </c>
      <c r="J752" t="s">
        <v>909</v>
      </c>
      <c r="L752">
        <f t="shared" si="45"/>
        <v>202009</v>
      </c>
      <c r="M752">
        <f t="shared" si="46"/>
        <v>9</v>
      </c>
      <c r="N752">
        <f t="shared" si="47"/>
        <v>2020</v>
      </c>
      <c r="O752" t="str">
        <f>VLOOKUP(M752,month_lookup!A:B,2,FALSE)</f>
        <v>Sep</v>
      </c>
      <c r="P752">
        <f t="shared" si="48"/>
        <v>69871.92</v>
      </c>
    </row>
    <row r="753" spans="1:16" x14ac:dyDescent="0.25">
      <c r="A753" t="s">
        <v>52</v>
      </c>
      <c r="B753" s="1">
        <v>184221.2</v>
      </c>
      <c r="C753">
        <v>150324.5</v>
      </c>
      <c r="D753" s="2">
        <v>43631</v>
      </c>
      <c r="E753" t="s">
        <v>79</v>
      </c>
      <c r="F753" t="s">
        <v>30</v>
      </c>
      <c r="G753" t="s">
        <v>54</v>
      </c>
      <c r="H753" t="s">
        <v>71</v>
      </c>
      <c r="I753" t="s">
        <v>27</v>
      </c>
      <c r="J753" t="s">
        <v>910</v>
      </c>
      <c r="L753">
        <f t="shared" si="45"/>
        <v>201906</v>
      </c>
      <c r="M753">
        <f t="shared" si="46"/>
        <v>6</v>
      </c>
      <c r="N753">
        <f t="shared" si="47"/>
        <v>2019</v>
      </c>
      <c r="O753" t="str">
        <f>VLOOKUP(M753,month_lookup!A:B,2,FALSE)</f>
        <v>Jun</v>
      </c>
      <c r="P753">
        <f t="shared" si="48"/>
        <v>-184221.2</v>
      </c>
    </row>
    <row r="754" spans="1:16" x14ac:dyDescent="0.25">
      <c r="A754" t="s">
        <v>52</v>
      </c>
      <c r="B754" s="1">
        <v>57348.43</v>
      </c>
      <c r="C754">
        <v>47587.73</v>
      </c>
      <c r="D754" s="2">
        <v>43477</v>
      </c>
      <c r="E754" t="s">
        <v>23</v>
      </c>
      <c r="F754" t="s">
        <v>30</v>
      </c>
      <c r="G754" t="s">
        <v>54</v>
      </c>
      <c r="H754" t="s">
        <v>127</v>
      </c>
      <c r="I754" t="s">
        <v>27</v>
      </c>
      <c r="J754" t="s">
        <v>911</v>
      </c>
      <c r="L754">
        <f t="shared" si="45"/>
        <v>201901</v>
      </c>
      <c r="M754">
        <f t="shared" si="46"/>
        <v>1</v>
      </c>
      <c r="N754">
        <f t="shared" si="47"/>
        <v>2019</v>
      </c>
      <c r="O754" t="str">
        <f>VLOOKUP(M754,month_lookup!A:B,2,FALSE)</f>
        <v>Jan</v>
      </c>
      <c r="P754">
        <f t="shared" si="48"/>
        <v>-57348.43</v>
      </c>
    </row>
    <row r="755" spans="1:16" x14ac:dyDescent="0.25">
      <c r="A755" t="s">
        <v>52</v>
      </c>
      <c r="B755" s="1">
        <v>197581.29</v>
      </c>
      <c r="C755">
        <v>169485.23</v>
      </c>
      <c r="D755" s="2">
        <v>43812</v>
      </c>
      <c r="E755" t="s">
        <v>79</v>
      </c>
      <c r="F755" t="s">
        <v>157</v>
      </c>
      <c r="G755" t="s">
        <v>54</v>
      </c>
      <c r="H755" t="s">
        <v>132</v>
      </c>
      <c r="I755" t="s">
        <v>27</v>
      </c>
      <c r="J755" t="s">
        <v>912</v>
      </c>
      <c r="L755">
        <f t="shared" si="45"/>
        <v>201912</v>
      </c>
      <c r="M755">
        <f t="shared" si="46"/>
        <v>12</v>
      </c>
      <c r="N755">
        <f t="shared" si="47"/>
        <v>2019</v>
      </c>
      <c r="O755" t="str">
        <f>VLOOKUP(M755,month_lookup!A:B,2,FALSE)</f>
        <v>Dec</v>
      </c>
      <c r="P755">
        <f t="shared" si="48"/>
        <v>-197581.29</v>
      </c>
    </row>
    <row r="756" spans="1:16" x14ac:dyDescent="0.25">
      <c r="A756" t="s">
        <v>22</v>
      </c>
      <c r="B756" s="1">
        <v>101321.52</v>
      </c>
      <c r="C756">
        <v>86710.96</v>
      </c>
      <c r="D756" s="2">
        <v>43513</v>
      </c>
      <c r="E756" t="s">
        <v>17</v>
      </c>
      <c r="F756" t="s">
        <v>120</v>
      </c>
      <c r="G756" t="s">
        <v>25</v>
      </c>
      <c r="H756" t="s">
        <v>218</v>
      </c>
      <c r="I756" t="s">
        <v>27</v>
      </c>
      <c r="J756" t="s">
        <v>913</v>
      </c>
      <c r="L756">
        <f t="shared" si="45"/>
        <v>201902</v>
      </c>
      <c r="M756">
        <f t="shared" si="46"/>
        <v>2</v>
      </c>
      <c r="N756">
        <f t="shared" si="47"/>
        <v>2019</v>
      </c>
      <c r="O756" t="str">
        <f>VLOOKUP(M756,month_lookup!A:B,2,FALSE)</f>
        <v>Feb</v>
      </c>
      <c r="P756">
        <f t="shared" si="48"/>
        <v>-101321.52</v>
      </c>
    </row>
    <row r="757" spans="1:16" x14ac:dyDescent="0.25">
      <c r="A757" t="s">
        <v>44</v>
      </c>
      <c r="B757" s="1">
        <v>124234.91</v>
      </c>
      <c r="C757">
        <v>98244.97</v>
      </c>
      <c r="D757" s="2">
        <v>44093</v>
      </c>
      <c r="E757" t="s">
        <v>61</v>
      </c>
      <c r="F757" t="s">
        <v>34</v>
      </c>
      <c r="G757" t="s">
        <v>47</v>
      </c>
      <c r="H757" t="s">
        <v>65</v>
      </c>
      <c r="I757" t="s">
        <v>27</v>
      </c>
      <c r="J757" t="s">
        <v>914</v>
      </c>
      <c r="L757">
        <f t="shared" si="45"/>
        <v>202009</v>
      </c>
      <c r="M757">
        <f t="shared" si="46"/>
        <v>9</v>
      </c>
      <c r="N757">
        <f t="shared" si="47"/>
        <v>2020</v>
      </c>
      <c r="O757" t="str">
        <f>VLOOKUP(M757,month_lookup!A:B,2,FALSE)</f>
        <v>Sep</v>
      </c>
      <c r="P757">
        <f t="shared" si="48"/>
        <v>124234.91</v>
      </c>
    </row>
    <row r="758" spans="1:16" x14ac:dyDescent="0.25">
      <c r="A758" t="s">
        <v>22</v>
      </c>
      <c r="B758" s="1">
        <v>254883.03</v>
      </c>
      <c r="C758">
        <v>213413.56</v>
      </c>
      <c r="D758" s="2">
        <v>43811</v>
      </c>
      <c r="E758" t="s">
        <v>50</v>
      </c>
      <c r="F758" t="s">
        <v>209</v>
      </c>
      <c r="G758" t="s">
        <v>25</v>
      </c>
      <c r="H758" t="s">
        <v>75</v>
      </c>
      <c r="I758" t="s">
        <v>27</v>
      </c>
      <c r="J758" t="s">
        <v>915</v>
      </c>
      <c r="L758">
        <f t="shared" si="45"/>
        <v>201912</v>
      </c>
      <c r="M758">
        <f t="shared" si="46"/>
        <v>12</v>
      </c>
      <c r="N758">
        <f t="shared" si="47"/>
        <v>2019</v>
      </c>
      <c r="O758" t="str">
        <f>VLOOKUP(M758,month_lookup!A:B,2,FALSE)</f>
        <v>Dec</v>
      </c>
      <c r="P758">
        <f t="shared" si="48"/>
        <v>-254883.03</v>
      </c>
    </row>
    <row r="759" spans="1:16" x14ac:dyDescent="0.25">
      <c r="A759" t="s">
        <v>52</v>
      </c>
      <c r="B759" s="1">
        <v>57333.85</v>
      </c>
      <c r="C759">
        <v>46308.55</v>
      </c>
      <c r="D759" s="2">
        <v>44128</v>
      </c>
      <c r="E759" t="s">
        <v>138</v>
      </c>
      <c r="F759" t="s">
        <v>11</v>
      </c>
      <c r="G759" t="s">
        <v>54</v>
      </c>
      <c r="H759" t="s">
        <v>71</v>
      </c>
      <c r="I759" t="s">
        <v>27</v>
      </c>
      <c r="J759" t="s">
        <v>916</v>
      </c>
      <c r="L759">
        <f t="shared" si="45"/>
        <v>202010</v>
      </c>
      <c r="M759">
        <f t="shared" si="46"/>
        <v>10</v>
      </c>
      <c r="N759">
        <f t="shared" si="47"/>
        <v>2020</v>
      </c>
      <c r="O759" t="str">
        <f>VLOOKUP(M759,month_lookup!A:B,2,FALSE)</f>
        <v>Oct</v>
      </c>
      <c r="P759">
        <f t="shared" si="48"/>
        <v>57333.85</v>
      </c>
    </row>
    <row r="760" spans="1:16" x14ac:dyDescent="0.25">
      <c r="A760" t="s">
        <v>22</v>
      </c>
      <c r="B760" s="1">
        <v>65760.39</v>
      </c>
      <c r="C760">
        <v>56672.3</v>
      </c>
      <c r="D760" s="2">
        <v>44113</v>
      </c>
      <c r="E760" t="s">
        <v>59</v>
      </c>
      <c r="F760" t="s">
        <v>236</v>
      </c>
      <c r="G760" t="s">
        <v>25</v>
      </c>
      <c r="H760" t="s">
        <v>31</v>
      </c>
      <c r="I760" t="s">
        <v>27</v>
      </c>
      <c r="J760" t="s">
        <v>917</v>
      </c>
      <c r="L760">
        <f t="shared" si="45"/>
        <v>202010</v>
      </c>
      <c r="M760">
        <f t="shared" si="46"/>
        <v>10</v>
      </c>
      <c r="N760">
        <f t="shared" si="47"/>
        <v>2020</v>
      </c>
      <c r="O760" t="str">
        <f>VLOOKUP(M760,month_lookup!A:B,2,FALSE)</f>
        <v>Oct</v>
      </c>
      <c r="P760">
        <f t="shared" si="48"/>
        <v>65760.39</v>
      </c>
    </row>
    <row r="761" spans="1:16" x14ac:dyDescent="0.25">
      <c r="A761" t="s">
        <v>22</v>
      </c>
      <c r="B761" s="1">
        <v>53485</v>
      </c>
      <c r="C761">
        <v>46713.8</v>
      </c>
      <c r="D761" s="2">
        <v>43879</v>
      </c>
      <c r="E761" t="s">
        <v>23</v>
      </c>
      <c r="F761" t="s">
        <v>34</v>
      </c>
      <c r="G761" t="s">
        <v>25</v>
      </c>
      <c r="H761" t="s">
        <v>75</v>
      </c>
      <c r="I761" t="s">
        <v>27</v>
      </c>
      <c r="J761" t="s">
        <v>918</v>
      </c>
      <c r="L761">
        <f t="shared" si="45"/>
        <v>202002</v>
      </c>
      <c r="M761">
        <f t="shared" si="46"/>
        <v>2</v>
      </c>
      <c r="N761">
        <f t="shared" si="47"/>
        <v>2020</v>
      </c>
      <c r="O761" t="str">
        <f>VLOOKUP(M761,month_lookup!A:B,2,FALSE)</f>
        <v>Feb</v>
      </c>
      <c r="P761">
        <f t="shared" si="48"/>
        <v>53485</v>
      </c>
    </row>
    <row r="762" spans="1:16" x14ac:dyDescent="0.25">
      <c r="A762" t="s">
        <v>52</v>
      </c>
      <c r="B762" s="1">
        <v>154950.74</v>
      </c>
      <c r="C762">
        <v>133195.66</v>
      </c>
      <c r="D762" s="2">
        <v>43747</v>
      </c>
      <c r="E762" t="s">
        <v>59</v>
      </c>
      <c r="F762" t="s">
        <v>233</v>
      </c>
      <c r="G762" t="s">
        <v>54</v>
      </c>
      <c r="H762" t="s">
        <v>127</v>
      </c>
      <c r="I762" t="s">
        <v>37</v>
      </c>
      <c r="J762" t="s">
        <v>919</v>
      </c>
      <c r="L762">
        <f t="shared" si="45"/>
        <v>201910</v>
      </c>
      <c r="M762">
        <f t="shared" si="46"/>
        <v>10</v>
      </c>
      <c r="N762">
        <f t="shared" si="47"/>
        <v>2019</v>
      </c>
      <c r="O762" t="str">
        <f>VLOOKUP(M762,month_lookup!A:B,2,FALSE)</f>
        <v>Oct</v>
      </c>
      <c r="P762">
        <f t="shared" si="48"/>
        <v>-154950.74</v>
      </c>
    </row>
    <row r="763" spans="1:16" x14ac:dyDescent="0.25">
      <c r="A763" t="s">
        <v>44</v>
      </c>
      <c r="B763" s="1">
        <v>19949.11</v>
      </c>
      <c r="C763">
        <v>16364.25</v>
      </c>
      <c r="D763" s="2">
        <v>43521</v>
      </c>
      <c r="E763" t="s">
        <v>29</v>
      </c>
      <c r="F763" t="s">
        <v>173</v>
      </c>
      <c r="G763" t="s">
        <v>47</v>
      </c>
      <c r="H763" t="s">
        <v>48</v>
      </c>
      <c r="I763" t="s">
        <v>37</v>
      </c>
      <c r="J763" t="s">
        <v>920</v>
      </c>
      <c r="L763">
        <f t="shared" si="45"/>
        <v>201902</v>
      </c>
      <c r="M763">
        <f t="shared" si="46"/>
        <v>2</v>
      </c>
      <c r="N763">
        <f t="shared" si="47"/>
        <v>2019</v>
      </c>
      <c r="O763" t="str">
        <f>VLOOKUP(M763,month_lookup!A:B,2,FALSE)</f>
        <v>Feb</v>
      </c>
      <c r="P763">
        <f t="shared" si="48"/>
        <v>-19949.11</v>
      </c>
    </row>
    <row r="764" spans="1:16" x14ac:dyDescent="0.25">
      <c r="A764" t="s">
        <v>52</v>
      </c>
      <c r="B764" s="1">
        <v>124784.67</v>
      </c>
      <c r="C764">
        <v>106853.11</v>
      </c>
      <c r="D764" s="2">
        <v>43973</v>
      </c>
      <c r="E764" t="s">
        <v>79</v>
      </c>
      <c r="F764" t="s">
        <v>57</v>
      </c>
      <c r="G764" t="s">
        <v>54</v>
      </c>
      <c r="H764" t="s">
        <v>132</v>
      </c>
      <c r="I764" t="s">
        <v>37</v>
      </c>
      <c r="J764" t="s">
        <v>921</v>
      </c>
      <c r="L764">
        <f t="shared" si="45"/>
        <v>202005</v>
      </c>
      <c r="M764">
        <f t="shared" si="46"/>
        <v>5</v>
      </c>
      <c r="N764">
        <f t="shared" si="47"/>
        <v>2020</v>
      </c>
      <c r="O764" t="str">
        <f>VLOOKUP(M764,month_lookup!A:B,2,FALSE)</f>
        <v>May</v>
      </c>
      <c r="P764">
        <f t="shared" si="48"/>
        <v>124784.67</v>
      </c>
    </row>
    <row r="765" spans="1:16" x14ac:dyDescent="0.25">
      <c r="A765" t="s">
        <v>105</v>
      </c>
      <c r="B765" s="1">
        <v>120831.28</v>
      </c>
      <c r="C765">
        <v>95746.71</v>
      </c>
      <c r="D765" s="2">
        <v>43973</v>
      </c>
      <c r="E765" t="s">
        <v>61</v>
      </c>
      <c r="F765" t="s">
        <v>647</v>
      </c>
      <c r="G765" t="s">
        <v>106</v>
      </c>
      <c r="H765" t="s">
        <v>107</v>
      </c>
      <c r="I765" t="s">
        <v>27</v>
      </c>
      <c r="J765" t="s">
        <v>922</v>
      </c>
      <c r="L765">
        <f t="shared" si="45"/>
        <v>202005</v>
      </c>
      <c r="M765">
        <f t="shared" si="46"/>
        <v>5</v>
      </c>
      <c r="N765">
        <f t="shared" si="47"/>
        <v>2020</v>
      </c>
      <c r="O765" t="str">
        <f>VLOOKUP(M765,month_lookup!A:B,2,FALSE)</f>
        <v>May</v>
      </c>
      <c r="P765">
        <f t="shared" si="48"/>
        <v>120831.28</v>
      </c>
    </row>
    <row r="766" spans="1:16" x14ac:dyDescent="0.25">
      <c r="A766" t="s">
        <v>22</v>
      </c>
      <c r="B766" s="1">
        <v>127631.89</v>
      </c>
      <c r="C766">
        <v>110963.17</v>
      </c>
      <c r="D766" s="2">
        <v>43793</v>
      </c>
      <c r="E766" t="s">
        <v>23</v>
      </c>
      <c r="F766" t="s">
        <v>236</v>
      </c>
      <c r="G766" t="s">
        <v>25</v>
      </c>
      <c r="H766" t="s">
        <v>75</v>
      </c>
      <c r="I766" t="s">
        <v>27</v>
      </c>
      <c r="J766" t="s">
        <v>923</v>
      </c>
      <c r="L766">
        <f t="shared" si="45"/>
        <v>201911</v>
      </c>
      <c r="M766">
        <f t="shared" si="46"/>
        <v>11</v>
      </c>
      <c r="N766">
        <f t="shared" si="47"/>
        <v>2019</v>
      </c>
      <c r="O766" t="str">
        <f>VLOOKUP(M766,month_lookup!A:B,2,FALSE)</f>
        <v>Nov</v>
      </c>
      <c r="P766">
        <f t="shared" si="48"/>
        <v>-127631.89</v>
      </c>
    </row>
    <row r="767" spans="1:16" x14ac:dyDescent="0.25">
      <c r="A767" t="s">
        <v>105</v>
      </c>
      <c r="B767" s="1">
        <v>68984.17</v>
      </c>
      <c r="C767">
        <v>59560.93</v>
      </c>
      <c r="D767" s="2">
        <v>43476</v>
      </c>
      <c r="E767" t="s">
        <v>29</v>
      </c>
      <c r="F767" t="s">
        <v>131</v>
      </c>
      <c r="G767" t="s">
        <v>106</v>
      </c>
      <c r="H767" t="s">
        <v>107</v>
      </c>
      <c r="I767" t="s">
        <v>27</v>
      </c>
      <c r="J767" t="s">
        <v>924</v>
      </c>
      <c r="L767">
        <f t="shared" si="45"/>
        <v>201901</v>
      </c>
      <c r="M767">
        <f t="shared" si="46"/>
        <v>1</v>
      </c>
      <c r="N767">
        <f t="shared" si="47"/>
        <v>2019</v>
      </c>
      <c r="O767" t="str">
        <f>VLOOKUP(M767,month_lookup!A:B,2,FALSE)</f>
        <v>Jan</v>
      </c>
      <c r="P767">
        <f t="shared" si="48"/>
        <v>-68984.17</v>
      </c>
    </row>
    <row r="768" spans="1:16" x14ac:dyDescent="0.25">
      <c r="A768" t="s">
        <v>52</v>
      </c>
      <c r="B768" s="1">
        <v>56823.17</v>
      </c>
      <c r="C768">
        <v>46583.63</v>
      </c>
      <c r="D768" s="2">
        <v>43820</v>
      </c>
      <c r="E768" t="s">
        <v>29</v>
      </c>
      <c r="F768" t="s">
        <v>70</v>
      </c>
      <c r="G768" t="s">
        <v>54</v>
      </c>
      <c r="H768" t="s">
        <v>132</v>
      </c>
      <c r="I768" t="s">
        <v>14</v>
      </c>
      <c r="J768" t="s">
        <v>925</v>
      </c>
      <c r="L768">
        <f t="shared" si="45"/>
        <v>201912</v>
      </c>
      <c r="M768">
        <f t="shared" si="46"/>
        <v>12</v>
      </c>
      <c r="N768">
        <f t="shared" si="47"/>
        <v>2019</v>
      </c>
      <c r="O768" t="str">
        <f>VLOOKUP(M768,month_lookup!A:B,2,FALSE)</f>
        <v>Dec</v>
      </c>
      <c r="P768">
        <f t="shared" si="48"/>
        <v>-56823.17</v>
      </c>
    </row>
    <row r="769" spans="1:16" x14ac:dyDescent="0.25">
      <c r="A769" t="s">
        <v>22</v>
      </c>
      <c r="B769" s="1">
        <v>126974.92</v>
      </c>
      <c r="C769">
        <v>101516.45</v>
      </c>
      <c r="D769" s="2">
        <v>43478</v>
      </c>
      <c r="E769" t="s">
        <v>17</v>
      </c>
      <c r="F769" t="s">
        <v>24</v>
      </c>
      <c r="G769" t="s">
        <v>25</v>
      </c>
      <c r="H769" t="s">
        <v>89</v>
      </c>
      <c r="I769" t="s">
        <v>27</v>
      </c>
      <c r="J769" t="s">
        <v>926</v>
      </c>
      <c r="L769">
        <f t="shared" si="45"/>
        <v>201901</v>
      </c>
      <c r="M769">
        <f t="shared" si="46"/>
        <v>1</v>
      </c>
      <c r="N769">
        <f t="shared" si="47"/>
        <v>2019</v>
      </c>
      <c r="O769" t="str">
        <f>VLOOKUP(M769,month_lookup!A:B,2,FALSE)</f>
        <v>Jan</v>
      </c>
      <c r="P769">
        <f t="shared" si="48"/>
        <v>-126974.92</v>
      </c>
    </row>
    <row r="770" spans="1:16" x14ac:dyDescent="0.25">
      <c r="A770" t="s">
        <v>22</v>
      </c>
      <c r="B770" s="1">
        <v>121736.23</v>
      </c>
      <c r="C770">
        <v>106214.86</v>
      </c>
      <c r="D770" s="2">
        <v>43957</v>
      </c>
      <c r="E770" t="s">
        <v>45</v>
      </c>
      <c r="F770" t="s">
        <v>177</v>
      </c>
      <c r="G770" t="s">
        <v>25</v>
      </c>
      <c r="H770" t="s">
        <v>26</v>
      </c>
      <c r="I770" t="s">
        <v>27</v>
      </c>
      <c r="J770" t="s">
        <v>927</v>
      </c>
      <c r="L770">
        <f t="shared" si="45"/>
        <v>202005</v>
      </c>
      <c r="M770">
        <f t="shared" si="46"/>
        <v>5</v>
      </c>
      <c r="N770">
        <f t="shared" si="47"/>
        <v>2020</v>
      </c>
      <c r="O770" t="str">
        <f>VLOOKUP(M770,month_lookup!A:B,2,FALSE)</f>
        <v>May</v>
      </c>
      <c r="P770">
        <f t="shared" si="48"/>
        <v>121736.23</v>
      </c>
    </row>
    <row r="771" spans="1:16" x14ac:dyDescent="0.25">
      <c r="A771" t="s">
        <v>52</v>
      </c>
      <c r="B771" s="1">
        <v>150287.47</v>
      </c>
      <c r="C771">
        <v>123611.44</v>
      </c>
      <c r="D771" s="2">
        <v>44048</v>
      </c>
      <c r="E771" t="s">
        <v>10</v>
      </c>
      <c r="F771" t="s">
        <v>145</v>
      </c>
      <c r="G771" t="s">
        <v>54</v>
      </c>
      <c r="H771" t="s">
        <v>143</v>
      </c>
      <c r="I771" t="s">
        <v>27</v>
      </c>
      <c r="J771" t="s">
        <v>928</v>
      </c>
      <c r="L771">
        <f t="shared" ref="L771:L834" si="49">YEAR(D771)*100+MONTH(D771)</f>
        <v>202008</v>
      </c>
      <c r="M771">
        <f t="shared" ref="M771:M834" si="50">MONTH(D771)</f>
        <v>8</v>
      </c>
      <c r="N771">
        <f t="shared" ref="N771:N834" si="51">YEAR(D771)</f>
        <v>2020</v>
      </c>
      <c r="O771" t="str">
        <f>VLOOKUP(M771,month_lookup!A:B,2,FALSE)</f>
        <v>Aug</v>
      </c>
      <c r="P771">
        <f t="shared" si="48"/>
        <v>150287.47</v>
      </c>
    </row>
    <row r="772" spans="1:16" x14ac:dyDescent="0.25">
      <c r="A772" t="s">
        <v>16</v>
      </c>
      <c r="B772" s="1">
        <v>93007.22</v>
      </c>
      <c r="C772">
        <v>81837.05</v>
      </c>
      <c r="D772" s="2">
        <v>44144</v>
      </c>
      <c r="E772" t="s">
        <v>61</v>
      </c>
      <c r="F772" t="s">
        <v>181</v>
      </c>
      <c r="G772" t="s">
        <v>19</v>
      </c>
      <c r="H772" t="s">
        <v>20</v>
      </c>
      <c r="I772" t="s">
        <v>27</v>
      </c>
      <c r="J772" t="s">
        <v>929</v>
      </c>
      <c r="L772">
        <f t="shared" si="49"/>
        <v>202011</v>
      </c>
      <c r="M772">
        <f t="shared" si="50"/>
        <v>11</v>
      </c>
      <c r="N772">
        <f t="shared" si="51"/>
        <v>2020</v>
      </c>
      <c r="O772" t="str">
        <f>VLOOKUP(M772,month_lookup!A:B,2,FALSE)</f>
        <v>Nov</v>
      </c>
      <c r="P772">
        <f t="shared" si="48"/>
        <v>93007.22</v>
      </c>
    </row>
    <row r="773" spans="1:16" x14ac:dyDescent="0.25">
      <c r="A773" t="s">
        <v>172</v>
      </c>
      <c r="B773" s="1">
        <v>165747.20000000001</v>
      </c>
      <c r="C773">
        <v>132912.68</v>
      </c>
      <c r="D773" s="2">
        <v>43851</v>
      </c>
      <c r="E773" t="s">
        <v>10</v>
      </c>
      <c r="F773" t="s">
        <v>39</v>
      </c>
      <c r="G773" t="s">
        <v>174</v>
      </c>
      <c r="H773" t="s">
        <v>175</v>
      </c>
      <c r="I773" t="s">
        <v>27</v>
      </c>
      <c r="J773" t="s">
        <v>930</v>
      </c>
      <c r="L773">
        <f t="shared" si="49"/>
        <v>202001</v>
      </c>
      <c r="M773">
        <f t="shared" si="50"/>
        <v>1</v>
      </c>
      <c r="N773">
        <f t="shared" si="51"/>
        <v>2020</v>
      </c>
      <c r="O773" t="str">
        <f>VLOOKUP(M773,month_lookup!A:B,2,FALSE)</f>
        <v>Jan</v>
      </c>
      <c r="P773">
        <f t="shared" si="48"/>
        <v>165747.20000000001</v>
      </c>
    </row>
    <row r="774" spans="1:16" x14ac:dyDescent="0.25">
      <c r="A774" t="s">
        <v>9</v>
      </c>
      <c r="B774" s="1">
        <v>177215.51</v>
      </c>
      <c r="C774">
        <v>155807.88</v>
      </c>
      <c r="D774" s="2">
        <v>43592</v>
      </c>
      <c r="E774" t="s">
        <v>23</v>
      </c>
      <c r="F774" t="s">
        <v>131</v>
      </c>
      <c r="G774" t="s">
        <v>12</v>
      </c>
      <c r="H774" t="s">
        <v>81</v>
      </c>
      <c r="I774" t="s">
        <v>27</v>
      </c>
      <c r="J774" t="s">
        <v>931</v>
      </c>
      <c r="L774">
        <f t="shared" si="49"/>
        <v>201905</v>
      </c>
      <c r="M774">
        <f t="shared" si="50"/>
        <v>5</v>
      </c>
      <c r="N774">
        <f t="shared" si="51"/>
        <v>2019</v>
      </c>
      <c r="O774" t="str">
        <f>VLOOKUP(M774,month_lookup!A:B,2,FALSE)</f>
        <v>May</v>
      </c>
      <c r="P774">
        <f t="shared" si="48"/>
        <v>-177215.51</v>
      </c>
    </row>
    <row r="775" spans="1:16" x14ac:dyDescent="0.25">
      <c r="A775" t="s">
        <v>52</v>
      </c>
      <c r="B775" s="1">
        <v>99132.04</v>
      </c>
      <c r="C775">
        <v>78819.89</v>
      </c>
      <c r="D775" s="2">
        <v>43911</v>
      </c>
      <c r="E775" t="s">
        <v>59</v>
      </c>
      <c r="F775" t="s">
        <v>111</v>
      </c>
      <c r="G775" t="s">
        <v>54</v>
      </c>
      <c r="H775" t="s">
        <v>143</v>
      </c>
      <c r="I775" t="s">
        <v>27</v>
      </c>
      <c r="J775" t="s">
        <v>932</v>
      </c>
      <c r="L775">
        <f t="shared" si="49"/>
        <v>202003</v>
      </c>
      <c r="M775">
        <f t="shared" si="50"/>
        <v>3</v>
      </c>
      <c r="N775">
        <f t="shared" si="51"/>
        <v>2020</v>
      </c>
      <c r="O775" t="str">
        <f>VLOOKUP(M775,month_lookup!A:B,2,FALSE)</f>
        <v>Mar</v>
      </c>
      <c r="P775">
        <f t="shared" ref="P775:P838" si="52">IF(N775=2020,B775,-B775)</f>
        <v>99132.04</v>
      </c>
    </row>
    <row r="776" spans="1:16" x14ac:dyDescent="0.25">
      <c r="A776" t="s">
        <v>214</v>
      </c>
      <c r="B776" s="1">
        <v>180519.86</v>
      </c>
      <c r="C776">
        <v>145968.35999999999</v>
      </c>
      <c r="D776" s="2">
        <v>43650</v>
      </c>
      <c r="E776" t="s">
        <v>17</v>
      </c>
      <c r="F776" t="s">
        <v>93</v>
      </c>
      <c r="G776" t="s">
        <v>215</v>
      </c>
      <c r="H776" t="s">
        <v>216</v>
      </c>
      <c r="I776" t="s">
        <v>27</v>
      </c>
      <c r="J776" t="s">
        <v>933</v>
      </c>
      <c r="L776">
        <f t="shared" si="49"/>
        <v>201907</v>
      </c>
      <c r="M776">
        <f t="shared" si="50"/>
        <v>7</v>
      </c>
      <c r="N776">
        <f t="shared" si="51"/>
        <v>2019</v>
      </c>
      <c r="O776" t="str">
        <f>VLOOKUP(M776,month_lookup!A:B,2,FALSE)</f>
        <v>Jul</v>
      </c>
      <c r="P776">
        <f t="shared" si="52"/>
        <v>-180519.86</v>
      </c>
    </row>
    <row r="777" spans="1:16" x14ac:dyDescent="0.25">
      <c r="A777" t="s">
        <v>52</v>
      </c>
      <c r="B777" s="1">
        <v>68173.22</v>
      </c>
      <c r="C777">
        <v>54040.91</v>
      </c>
      <c r="D777" s="2">
        <v>44149</v>
      </c>
      <c r="E777" t="s">
        <v>59</v>
      </c>
      <c r="F777" t="s">
        <v>24</v>
      </c>
      <c r="G777" t="s">
        <v>54</v>
      </c>
      <c r="H777" t="s">
        <v>71</v>
      </c>
      <c r="I777" t="s">
        <v>27</v>
      </c>
      <c r="J777" t="s">
        <v>934</v>
      </c>
      <c r="L777">
        <f t="shared" si="49"/>
        <v>202011</v>
      </c>
      <c r="M777">
        <f t="shared" si="50"/>
        <v>11</v>
      </c>
      <c r="N777">
        <f t="shared" si="51"/>
        <v>2020</v>
      </c>
      <c r="O777" t="str">
        <f>VLOOKUP(M777,month_lookup!A:B,2,FALSE)</f>
        <v>Nov</v>
      </c>
      <c r="P777">
        <f t="shared" si="52"/>
        <v>68173.22</v>
      </c>
    </row>
    <row r="778" spans="1:16" x14ac:dyDescent="0.25">
      <c r="A778" t="s">
        <v>22</v>
      </c>
      <c r="B778" s="1">
        <v>97439.360000000001</v>
      </c>
      <c r="C778">
        <v>79773.600000000006</v>
      </c>
      <c r="D778" s="2">
        <v>43685</v>
      </c>
      <c r="E778" t="s">
        <v>17</v>
      </c>
      <c r="F778" t="s">
        <v>122</v>
      </c>
      <c r="G778" t="s">
        <v>25</v>
      </c>
      <c r="H778" t="s">
        <v>218</v>
      </c>
      <c r="I778" t="s">
        <v>27</v>
      </c>
      <c r="J778" t="s">
        <v>935</v>
      </c>
      <c r="L778">
        <f t="shared" si="49"/>
        <v>201908</v>
      </c>
      <c r="M778">
        <f t="shared" si="50"/>
        <v>8</v>
      </c>
      <c r="N778">
        <f t="shared" si="51"/>
        <v>2019</v>
      </c>
      <c r="O778" t="str">
        <f>VLOOKUP(M778,month_lookup!A:B,2,FALSE)</f>
        <v>Aug</v>
      </c>
      <c r="P778">
        <f t="shared" si="52"/>
        <v>-97439.360000000001</v>
      </c>
    </row>
    <row r="779" spans="1:16" x14ac:dyDescent="0.25">
      <c r="A779" t="s">
        <v>9</v>
      </c>
      <c r="B779" s="1">
        <v>103638.67</v>
      </c>
      <c r="C779">
        <v>84030.23</v>
      </c>
      <c r="D779" s="2">
        <v>44126</v>
      </c>
      <c r="E779" t="s">
        <v>79</v>
      </c>
      <c r="F779" t="s">
        <v>167</v>
      </c>
      <c r="G779" t="s">
        <v>12</v>
      </c>
      <c r="H779" t="s">
        <v>68</v>
      </c>
      <c r="I779" t="s">
        <v>27</v>
      </c>
      <c r="J779" t="s">
        <v>936</v>
      </c>
      <c r="L779">
        <f t="shared" si="49"/>
        <v>202010</v>
      </c>
      <c r="M779">
        <f t="shared" si="50"/>
        <v>10</v>
      </c>
      <c r="N779">
        <f t="shared" si="51"/>
        <v>2020</v>
      </c>
      <c r="O779" t="str">
        <f>VLOOKUP(M779,month_lookup!A:B,2,FALSE)</f>
        <v>Oct</v>
      </c>
      <c r="P779">
        <f t="shared" si="52"/>
        <v>103638.67</v>
      </c>
    </row>
    <row r="780" spans="1:16" x14ac:dyDescent="0.25">
      <c r="A780" t="s">
        <v>9</v>
      </c>
      <c r="B780" s="1">
        <v>169810.63</v>
      </c>
      <c r="C780">
        <v>145952.24</v>
      </c>
      <c r="D780" s="2">
        <v>44163</v>
      </c>
      <c r="E780" t="s">
        <v>59</v>
      </c>
      <c r="F780" t="s">
        <v>236</v>
      </c>
      <c r="G780" t="s">
        <v>12</v>
      </c>
      <c r="H780" t="s">
        <v>117</v>
      </c>
      <c r="I780" t="s">
        <v>27</v>
      </c>
      <c r="J780" t="s">
        <v>937</v>
      </c>
      <c r="L780">
        <f t="shared" si="49"/>
        <v>202011</v>
      </c>
      <c r="M780">
        <f t="shared" si="50"/>
        <v>11</v>
      </c>
      <c r="N780">
        <f t="shared" si="51"/>
        <v>2020</v>
      </c>
      <c r="O780" t="str">
        <f>VLOOKUP(M780,month_lookup!A:B,2,FALSE)</f>
        <v>Nov</v>
      </c>
      <c r="P780">
        <f t="shared" si="52"/>
        <v>169810.63</v>
      </c>
    </row>
    <row r="781" spans="1:16" x14ac:dyDescent="0.25">
      <c r="A781" t="s">
        <v>52</v>
      </c>
      <c r="B781" s="1">
        <v>75264.84</v>
      </c>
      <c r="C781">
        <v>61694.59</v>
      </c>
      <c r="D781" s="2">
        <v>44090</v>
      </c>
      <c r="E781" t="s">
        <v>23</v>
      </c>
      <c r="F781" t="s">
        <v>67</v>
      </c>
      <c r="G781" t="s">
        <v>54</v>
      </c>
      <c r="H781" t="s">
        <v>132</v>
      </c>
      <c r="I781" t="s">
        <v>14</v>
      </c>
      <c r="J781" t="s">
        <v>938</v>
      </c>
      <c r="L781">
        <f t="shared" si="49"/>
        <v>202009</v>
      </c>
      <c r="M781">
        <f t="shared" si="50"/>
        <v>9</v>
      </c>
      <c r="N781">
        <f t="shared" si="51"/>
        <v>2020</v>
      </c>
      <c r="O781" t="str">
        <f>VLOOKUP(M781,month_lookup!A:B,2,FALSE)</f>
        <v>Sep</v>
      </c>
      <c r="P781">
        <f t="shared" si="52"/>
        <v>75264.84</v>
      </c>
    </row>
    <row r="782" spans="1:16" x14ac:dyDescent="0.25">
      <c r="A782" t="s">
        <v>33</v>
      </c>
      <c r="B782" s="1">
        <v>58933.16</v>
      </c>
      <c r="C782">
        <v>51855.29</v>
      </c>
      <c r="D782" s="2">
        <v>43728</v>
      </c>
      <c r="E782" t="s">
        <v>79</v>
      </c>
      <c r="F782" t="s">
        <v>236</v>
      </c>
      <c r="G782" t="s">
        <v>35</v>
      </c>
      <c r="H782" t="s">
        <v>36</v>
      </c>
      <c r="I782" t="s">
        <v>14</v>
      </c>
      <c r="J782" t="s">
        <v>939</v>
      </c>
      <c r="L782">
        <f t="shared" si="49"/>
        <v>201909</v>
      </c>
      <c r="M782">
        <f t="shared" si="50"/>
        <v>9</v>
      </c>
      <c r="N782">
        <f t="shared" si="51"/>
        <v>2019</v>
      </c>
      <c r="O782" t="str">
        <f>VLOOKUP(M782,month_lookup!A:B,2,FALSE)</f>
        <v>Sep</v>
      </c>
      <c r="P782">
        <f t="shared" si="52"/>
        <v>-58933.16</v>
      </c>
    </row>
    <row r="783" spans="1:16" x14ac:dyDescent="0.25">
      <c r="A783" t="s">
        <v>22</v>
      </c>
      <c r="B783" s="1">
        <v>168773.6</v>
      </c>
      <c r="C783">
        <v>137398.59</v>
      </c>
      <c r="D783" s="2">
        <v>43699</v>
      </c>
      <c r="E783" t="s">
        <v>17</v>
      </c>
      <c r="F783" t="s">
        <v>67</v>
      </c>
      <c r="G783" t="s">
        <v>25</v>
      </c>
      <c r="H783" t="s">
        <v>75</v>
      </c>
      <c r="I783" t="s">
        <v>27</v>
      </c>
      <c r="J783" t="s">
        <v>940</v>
      </c>
      <c r="L783">
        <f t="shared" si="49"/>
        <v>201908</v>
      </c>
      <c r="M783">
        <f t="shared" si="50"/>
        <v>8</v>
      </c>
      <c r="N783">
        <f t="shared" si="51"/>
        <v>2019</v>
      </c>
      <c r="O783" t="str">
        <f>VLOOKUP(M783,month_lookup!A:B,2,FALSE)</f>
        <v>Aug</v>
      </c>
      <c r="P783">
        <f t="shared" si="52"/>
        <v>-168773.6</v>
      </c>
    </row>
    <row r="784" spans="1:16" x14ac:dyDescent="0.25">
      <c r="A784" t="s">
        <v>22</v>
      </c>
      <c r="B784" s="1">
        <v>152676.76999999999</v>
      </c>
      <c r="C784">
        <v>122385.7</v>
      </c>
      <c r="D784" s="2">
        <v>44019</v>
      </c>
      <c r="E784" t="s">
        <v>61</v>
      </c>
      <c r="F784" t="s">
        <v>149</v>
      </c>
      <c r="G784" t="s">
        <v>25</v>
      </c>
      <c r="H784" t="s">
        <v>26</v>
      </c>
      <c r="I784" t="s">
        <v>27</v>
      </c>
      <c r="J784" t="s">
        <v>941</v>
      </c>
      <c r="L784">
        <f t="shared" si="49"/>
        <v>202007</v>
      </c>
      <c r="M784">
        <f t="shared" si="50"/>
        <v>7</v>
      </c>
      <c r="N784">
        <f t="shared" si="51"/>
        <v>2020</v>
      </c>
      <c r="O784" t="str">
        <f>VLOOKUP(M784,month_lookup!A:B,2,FALSE)</f>
        <v>Jul</v>
      </c>
      <c r="P784">
        <f t="shared" si="52"/>
        <v>152676.76999999999</v>
      </c>
    </row>
    <row r="785" spans="1:16" x14ac:dyDescent="0.25">
      <c r="A785" t="s">
        <v>22</v>
      </c>
      <c r="B785" s="1">
        <v>116556.81</v>
      </c>
      <c r="C785">
        <v>95448.37</v>
      </c>
      <c r="D785" s="2">
        <v>43975</v>
      </c>
      <c r="E785" t="s">
        <v>61</v>
      </c>
      <c r="F785" t="s">
        <v>46</v>
      </c>
      <c r="G785" t="s">
        <v>25</v>
      </c>
      <c r="H785" t="s">
        <v>89</v>
      </c>
      <c r="I785" t="s">
        <v>27</v>
      </c>
      <c r="J785" t="s">
        <v>942</v>
      </c>
      <c r="L785">
        <f t="shared" si="49"/>
        <v>202005</v>
      </c>
      <c r="M785">
        <f t="shared" si="50"/>
        <v>5</v>
      </c>
      <c r="N785">
        <f t="shared" si="51"/>
        <v>2020</v>
      </c>
      <c r="O785" t="str">
        <f>VLOOKUP(M785,month_lookup!A:B,2,FALSE)</f>
        <v>May</v>
      </c>
      <c r="P785">
        <f t="shared" si="52"/>
        <v>116556.81</v>
      </c>
    </row>
    <row r="786" spans="1:16" x14ac:dyDescent="0.25">
      <c r="A786" t="s">
        <v>52</v>
      </c>
      <c r="B786" s="1">
        <v>310539</v>
      </c>
      <c r="C786">
        <v>248275.93</v>
      </c>
      <c r="D786" s="2">
        <v>44176</v>
      </c>
      <c r="E786" t="s">
        <v>79</v>
      </c>
      <c r="F786" t="s">
        <v>34</v>
      </c>
      <c r="G786" t="s">
        <v>54</v>
      </c>
      <c r="H786" t="s">
        <v>132</v>
      </c>
      <c r="I786" t="s">
        <v>27</v>
      </c>
      <c r="J786" t="s">
        <v>943</v>
      </c>
      <c r="L786">
        <f t="shared" si="49"/>
        <v>202012</v>
      </c>
      <c r="M786">
        <f t="shared" si="50"/>
        <v>12</v>
      </c>
      <c r="N786">
        <f t="shared" si="51"/>
        <v>2020</v>
      </c>
      <c r="O786" t="str">
        <f>VLOOKUP(M786,month_lookup!A:B,2,FALSE)</f>
        <v>Dec</v>
      </c>
      <c r="P786">
        <f t="shared" si="52"/>
        <v>310539</v>
      </c>
    </row>
    <row r="787" spans="1:16" x14ac:dyDescent="0.25">
      <c r="A787" t="s">
        <v>22</v>
      </c>
      <c r="B787" s="1">
        <v>106325.72</v>
      </c>
      <c r="C787">
        <v>92705.4</v>
      </c>
      <c r="D787" s="2">
        <v>43727</v>
      </c>
      <c r="E787" t="s">
        <v>17</v>
      </c>
      <c r="F787" t="s">
        <v>11</v>
      </c>
      <c r="G787" t="s">
        <v>25</v>
      </c>
      <c r="H787" t="s">
        <v>31</v>
      </c>
      <c r="I787" t="s">
        <v>14</v>
      </c>
      <c r="J787" t="s">
        <v>944</v>
      </c>
      <c r="L787">
        <f t="shared" si="49"/>
        <v>201909</v>
      </c>
      <c r="M787">
        <f t="shared" si="50"/>
        <v>9</v>
      </c>
      <c r="N787">
        <f t="shared" si="51"/>
        <v>2019</v>
      </c>
      <c r="O787" t="str">
        <f>VLOOKUP(M787,month_lookup!A:B,2,FALSE)</f>
        <v>Sep</v>
      </c>
      <c r="P787">
        <f t="shared" si="52"/>
        <v>-106325.72</v>
      </c>
    </row>
    <row r="788" spans="1:16" x14ac:dyDescent="0.25">
      <c r="A788" t="s">
        <v>9</v>
      </c>
      <c r="B788" s="1">
        <v>90602.07</v>
      </c>
      <c r="C788">
        <v>71630</v>
      </c>
      <c r="D788" s="2">
        <v>43895</v>
      </c>
      <c r="E788" t="s">
        <v>79</v>
      </c>
      <c r="F788" t="s">
        <v>147</v>
      </c>
      <c r="G788" t="s">
        <v>12</v>
      </c>
      <c r="H788" t="s">
        <v>169</v>
      </c>
      <c r="I788" t="s">
        <v>27</v>
      </c>
      <c r="J788" t="s">
        <v>945</v>
      </c>
      <c r="L788">
        <f t="shared" si="49"/>
        <v>202003</v>
      </c>
      <c r="M788">
        <f t="shared" si="50"/>
        <v>3</v>
      </c>
      <c r="N788">
        <f t="shared" si="51"/>
        <v>2020</v>
      </c>
      <c r="O788" t="str">
        <f>VLOOKUP(M788,month_lookup!A:B,2,FALSE)</f>
        <v>Mar</v>
      </c>
      <c r="P788">
        <f t="shared" si="52"/>
        <v>90602.07</v>
      </c>
    </row>
    <row r="789" spans="1:16" x14ac:dyDescent="0.25">
      <c r="A789" t="s">
        <v>33</v>
      </c>
      <c r="B789" s="1">
        <v>120012.56</v>
      </c>
      <c r="C789">
        <v>97762.23</v>
      </c>
      <c r="D789" s="2">
        <v>43962</v>
      </c>
      <c r="E789" t="s">
        <v>17</v>
      </c>
      <c r="F789" t="s">
        <v>131</v>
      </c>
      <c r="G789" t="s">
        <v>35</v>
      </c>
      <c r="H789" t="s">
        <v>36</v>
      </c>
      <c r="I789" t="s">
        <v>14</v>
      </c>
      <c r="J789" t="s">
        <v>946</v>
      </c>
      <c r="L789">
        <f t="shared" si="49"/>
        <v>202005</v>
      </c>
      <c r="M789">
        <f t="shared" si="50"/>
        <v>5</v>
      </c>
      <c r="N789">
        <f t="shared" si="51"/>
        <v>2020</v>
      </c>
      <c r="O789" t="str">
        <f>VLOOKUP(M789,month_lookup!A:B,2,FALSE)</f>
        <v>May</v>
      </c>
      <c r="P789">
        <f t="shared" si="52"/>
        <v>120012.56</v>
      </c>
    </row>
    <row r="790" spans="1:16" x14ac:dyDescent="0.25">
      <c r="A790" t="s">
        <v>52</v>
      </c>
      <c r="B790" s="1">
        <v>143658.22</v>
      </c>
      <c r="C790">
        <v>123158.19</v>
      </c>
      <c r="D790" s="2">
        <v>44134</v>
      </c>
      <c r="E790" t="s">
        <v>50</v>
      </c>
      <c r="F790" t="s">
        <v>63</v>
      </c>
      <c r="G790" t="s">
        <v>54</v>
      </c>
      <c r="H790" t="s">
        <v>71</v>
      </c>
      <c r="I790" t="s">
        <v>27</v>
      </c>
      <c r="J790" t="s">
        <v>947</v>
      </c>
      <c r="L790">
        <f t="shared" si="49"/>
        <v>202010</v>
      </c>
      <c r="M790">
        <f t="shared" si="50"/>
        <v>10</v>
      </c>
      <c r="N790">
        <f t="shared" si="51"/>
        <v>2020</v>
      </c>
      <c r="O790" t="str">
        <f>VLOOKUP(M790,month_lookup!A:B,2,FALSE)</f>
        <v>Oct</v>
      </c>
      <c r="P790">
        <f t="shared" si="52"/>
        <v>143658.22</v>
      </c>
    </row>
    <row r="791" spans="1:16" x14ac:dyDescent="0.25">
      <c r="A791" t="s">
        <v>22</v>
      </c>
      <c r="B791" s="1">
        <v>263571.82</v>
      </c>
      <c r="C791">
        <v>216155.25</v>
      </c>
      <c r="D791" s="2">
        <v>43990</v>
      </c>
      <c r="E791" t="s">
        <v>61</v>
      </c>
      <c r="F791" t="s">
        <v>209</v>
      </c>
      <c r="G791" t="s">
        <v>25</v>
      </c>
      <c r="H791" t="s">
        <v>31</v>
      </c>
      <c r="I791" t="s">
        <v>27</v>
      </c>
      <c r="J791" t="s">
        <v>948</v>
      </c>
      <c r="L791">
        <f t="shared" si="49"/>
        <v>202006</v>
      </c>
      <c r="M791">
        <f t="shared" si="50"/>
        <v>6</v>
      </c>
      <c r="N791">
        <f t="shared" si="51"/>
        <v>2020</v>
      </c>
      <c r="O791" t="str">
        <f>VLOOKUP(M791,month_lookup!A:B,2,FALSE)</f>
        <v>Jun</v>
      </c>
      <c r="P791">
        <f t="shared" si="52"/>
        <v>263571.82</v>
      </c>
    </row>
    <row r="792" spans="1:16" x14ac:dyDescent="0.25">
      <c r="A792" t="s">
        <v>52</v>
      </c>
      <c r="B792" s="1">
        <v>131097.04999999999</v>
      </c>
      <c r="C792">
        <v>109203.84</v>
      </c>
      <c r="D792" s="2">
        <v>44008</v>
      </c>
      <c r="E792" t="s">
        <v>29</v>
      </c>
      <c r="F792" t="s">
        <v>24</v>
      </c>
      <c r="G792" t="s">
        <v>54</v>
      </c>
      <c r="H792" t="s">
        <v>55</v>
      </c>
      <c r="I792" t="s">
        <v>27</v>
      </c>
      <c r="J792" t="s">
        <v>949</v>
      </c>
      <c r="L792">
        <f t="shared" si="49"/>
        <v>202006</v>
      </c>
      <c r="M792">
        <f t="shared" si="50"/>
        <v>6</v>
      </c>
      <c r="N792">
        <f t="shared" si="51"/>
        <v>2020</v>
      </c>
      <c r="O792" t="str">
        <f>VLOOKUP(M792,month_lookup!A:B,2,FALSE)</f>
        <v>Jun</v>
      </c>
      <c r="P792">
        <f t="shared" si="52"/>
        <v>131097.04999999999</v>
      </c>
    </row>
    <row r="793" spans="1:16" x14ac:dyDescent="0.25">
      <c r="A793" t="s">
        <v>137</v>
      </c>
      <c r="B793" s="1">
        <v>127830.38</v>
      </c>
      <c r="C793">
        <v>103874.97</v>
      </c>
      <c r="D793" s="2">
        <v>43972</v>
      </c>
      <c r="E793" t="s">
        <v>17</v>
      </c>
      <c r="F793" t="s">
        <v>88</v>
      </c>
      <c r="G793" t="s">
        <v>139</v>
      </c>
      <c r="H793" t="s">
        <v>140</v>
      </c>
      <c r="I793" t="s">
        <v>27</v>
      </c>
      <c r="J793" t="s">
        <v>950</v>
      </c>
      <c r="L793">
        <f t="shared" si="49"/>
        <v>202005</v>
      </c>
      <c r="M793">
        <f t="shared" si="50"/>
        <v>5</v>
      </c>
      <c r="N793">
        <f t="shared" si="51"/>
        <v>2020</v>
      </c>
      <c r="O793" t="str">
        <f>VLOOKUP(M793,month_lookup!A:B,2,FALSE)</f>
        <v>May</v>
      </c>
      <c r="P793">
        <f t="shared" si="52"/>
        <v>127830.38</v>
      </c>
    </row>
    <row r="794" spans="1:16" x14ac:dyDescent="0.25">
      <c r="A794" t="s">
        <v>22</v>
      </c>
      <c r="B794" s="1">
        <v>129353.22</v>
      </c>
      <c r="C794">
        <v>111593.02</v>
      </c>
      <c r="D794" s="2">
        <v>43483</v>
      </c>
      <c r="E794" t="s">
        <v>17</v>
      </c>
      <c r="F794" t="s">
        <v>233</v>
      </c>
      <c r="G794" t="s">
        <v>25</v>
      </c>
      <c r="H794" t="s">
        <v>75</v>
      </c>
      <c r="I794" t="s">
        <v>14</v>
      </c>
      <c r="J794" t="s">
        <v>951</v>
      </c>
      <c r="L794">
        <f t="shared" si="49"/>
        <v>201901</v>
      </c>
      <c r="M794">
        <f t="shared" si="50"/>
        <v>1</v>
      </c>
      <c r="N794">
        <f t="shared" si="51"/>
        <v>2019</v>
      </c>
      <c r="O794" t="str">
        <f>VLOOKUP(M794,month_lookup!A:B,2,FALSE)</f>
        <v>Jan</v>
      </c>
      <c r="P794">
        <f t="shared" si="52"/>
        <v>-129353.22</v>
      </c>
    </row>
    <row r="795" spans="1:16" x14ac:dyDescent="0.25">
      <c r="A795" t="s">
        <v>9</v>
      </c>
      <c r="B795" s="1">
        <v>176473.32</v>
      </c>
      <c r="C795">
        <v>139413.92000000001</v>
      </c>
      <c r="D795" s="2">
        <v>43638</v>
      </c>
      <c r="E795" t="s">
        <v>17</v>
      </c>
      <c r="F795" t="s">
        <v>63</v>
      </c>
      <c r="G795" t="s">
        <v>12</v>
      </c>
      <c r="H795" t="s">
        <v>68</v>
      </c>
      <c r="I795" t="s">
        <v>27</v>
      </c>
      <c r="J795" t="s">
        <v>952</v>
      </c>
      <c r="L795">
        <f t="shared" si="49"/>
        <v>201906</v>
      </c>
      <c r="M795">
        <f t="shared" si="50"/>
        <v>6</v>
      </c>
      <c r="N795">
        <f t="shared" si="51"/>
        <v>2019</v>
      </c>
      <c r="O795" t="str">
        <f>VLOOKUP(M795,month_lookup!A:B,2,FALSE)</f>
        <v>Jun</v>
      </c>
      <c r="P795">
        <f t="shared" si="52"/>
        <v>-176473.32</v>
      </c>
    </row>
    <row r="796" spans="1:16" x14ac:dyDescent="0.25">
      <c r="A796" t="s">
        <v>345</v>
      </c>
      <c r="B796" s="1">
        <v>43609.57</v>
      </c>
      <c r="C796">
        <v>34634.720000000001</v>
      </c>
      <c r="D796" s="2">
        <v>43891</v>
      </c>
      <c r="E796" t="s">
        <v>50</v>
      </c>
      <c r="F796" t="s">
        <v>154</v>
      </c>
      <c r="G796" t="s">
        <v>346</v>
      </c>
      <c r="H796" t="s">
        <v>700</v>
      </c>
      <c r="I796" t="s">
        <v>27</v>
      </c>
      <c r="J796" t="s">
        <v>953</v>
      </c>
      <c r="L796">
        <f t="shared" si="49"/>
        <v>202003</v>
      </c>
      <c r="M796">
        <f t="shared" si="50"/>
        <v>3</v>
      </c>
      <c r="N796">
        <f t="shared" si="51"/>
        <v>2020</v>
      </c>
      <c r="O796" t="str">
        <f>VLOOKUP(M796,month_lookup!A:B,2,FALSE)</f>
        <v>Mar</v>
      </c>
      <c r="P796">
        <f t="shared" si="52"/>
        <v>43609.57</v>
      </c>
    </row>
    <row r="797" spans="1:16" x14ac:dyDescent="0.25">
      <c r="A797" t="s">
        <v>22</v>
      </c>
      <c r="B797" s="1">
        <v>137562.42000000001</v>
      </c>
      <c r="C797">
        <v>112140.88</v>
      </c>
      <c r="D797" s="2">
        <v>43935</v>
      </c>
      <c r="E797" t="s">
        <v>23</v>
      </c>
      <c r="F797" t="s">
        <v>120</v>
      </c>
      <c r="G797" t="s">
        <v>25</v>
      </c>
      <c r="H797" t="s">
        <v>89</v>
      </c>
      <c r="I797" t="s">
        <v>27</v>
      </c>
      <c r="J797" t="s">
        <v>954</v>
      </c>
      <c r="L797">
        <f t="shared" si="49"/>
        <v>202004</v>
      </c>
      <c r="M797">
        <f t="shared" si="50"/>
        <v>4</v>
      </c>
      <c r="N797">
        <f t="shared" si="51"/>
        <v>2020</v>
      </c>
      <c r="O797" t="str">
        <f>VLOOKUP(M797,month_lookup!A:B,2,FALSE)</f>
        <v>Apr</v>
      </c>
      <c r="P797">
        <f t="shared" si="52"/>
        <v>137562.42000000001</v>
      </c>
    </row>
    <row r="798" spans="1:16" x14ac:dyDescent="0.25">
      <c r="A798" t="s">
        <v>52</v>
      </c>
      <c r="B798" s="1">
        <v>51504.5</v>
      </c>
      <c r="C798">
        <v>44592.6</v>
      </c>
      <c r="D798" s="2">
        <v>43730</v>
      </c>
      <c r="E798" t="s">
        <v>50</v>
      </c>
      <c r="F798" t="s">
        <v>120</v>
      </c>
      <c r="G798" t="s">
        <v>54</v>
      </c>
      <c r="H798" t="s">
        <v>71</v>
      </c>
      <c r="I798" t="s">
        <v>27</v>
      </c>
      <c r="J798" t="s">
        <v>955</v>
      </c>
      <c r="L798">
        <f t="shared" si="49"/>
        <v>201909</v>
      </c>
      <c r="M798">
        <f t="shared" si="50"/>
        <v>9</v>
      </c>
      <c r="N798">
        <f t="shared" si="51"/>
        <v>2019</v>
      </c>
      <c r="O798" t="str">
        <f>VLOOKUP(M798,month_lookup!A:B,2,FALSE)</f>
        <v>Sep</v>
      </c>
      <c r="P798">
        <f t="shared" si="52"/>
        <v>-51504.5</v>
      </c>
    </row>
    <row r="799" spans="1:16" x14ac:dyDescent="0.25">
      <c r="A799" t="s">
        <v>52</v>
      </c>
      <c r="B799" s="1">
        <v>38750.53</v>
      </c>
      <c r="C799">
        <v>31298.799999999999</v>
      </c>
      <c r="D799" s="2">
        <v>43709</v>
      </c>
      <c r="E799" t="s">
        <v>61</v>
      </c>
      <c r="F799" t="s">
        <v>34</v>
      </c>
      <c r="G799" t="s">
        <v>54</v>
      </c>
      <c r="H799" t="s">
        <v>71</v>
      </c>
      <c r="I799" t="s">
        <v>27</v>
      </c>
      <c r="J799" t="s">
        <v>956</v>
      </c>
      <c r="L799">
        <f t="shared" si="49"/>
        <v>201909</v>
      </c>
      <c r="M799">
        <f t="shared" si="50"/>
        <v>9</v>
      </c>
      <c r="N799">
        <f t="shared" si="51"/>
        <v>2019</v>
      </c>
      <c r="O799" t="str">
        <f>VLOOKUP(M799,month_lookup!A:B,2,FALSE)</f>
        <v>Sep</v>
      </c>
      <c r="P799">
        <f t="shared" si="52"/>
        <v>-38750.53</v>
      </c>
    </row>
    <row r="800" spans="1:16" x14ac:dyDescent="0.25">
      <c r="A800" t="s">
        <v>52</v>
      </c>
      <c r="B800" s="1">
        <v>111676.46</v>
      </c>
      <c r="C800">
        <v>92791.97</v>
      </c>
      <c r="D800" s="2">
        <v>43624</v>
      </c>
      <c r="E800" t="s">
        <v>29</v>
      </c>
      <c r="F800" t="s">
        <v>96</v>
      </c>
      <c r="G800" t="s">
        <v>54</v>
      </c>
      <c r="H800" t="s">
        <v>132</v>
      </c>
      <c r="I800" t="s">
        <v>27</v>
      </c>
      <c r="J800" t="s">
        <v>957</v>
      </c>
      <c r="L800">
        <f t="shared" si="49"/>
        <v>201906</v>
      </c>
      <c r="M800">
        <f t="shared" si="50"/>
        <v>6</v>
      </c>
      <c r="N800">
        <f t="shared" si="51"/>
        <v>2019</v>
      </c>
      <c r="O800" t="str">
        <f>VLOOKUP(M800,month_lookup!A:B,2,FALSE)</f>
        <v>Jun</v>
      </c>
      <c r="P800">
        <f t="shared" si="52"/>
        <v>-111676.46</v>
      </c>
    </row>
    <row r="801" spans="1:16" x14ac:dyDescent="0.25">
      <c r="A801" t="s">
        <v>9</v>
      </c>
      <c r="B801" s="1">
        <v>46849.71</v>
      </c>
      <c r="C801">
        <v>39630.17</v>
      </c>
      <c r="D801" s="2">
        <v>43703</v>
      </c>
      <c r="E801" t="s">
        <v>29</v>
      </c>
      <c r="F801" t="s">
        <v>167</v>
      </c>
      <c r="G801" t="s">
        <v>12</v>
      </c>
      <c r="H801" t="s">
        <v>68</v>
      </c>
      <c r="I801" t="s">
        <v>27</v>
      </c>
      <c r="J801" t="s">
        <v>958</v>
      </c>
      <c r="L801">
        <f t="shared" si="49"/>
        <v>201908</v>
      </c>
      <c r="M801">
        <f t="shared" si="50"/>
        <v>8</v>
      </c>
      <c r="N801">
        <f t="shared" si="51"/>
        <v>2019</v>
      </c>
      <c r="O801" t="str">
        <f>VLOOKUP(M801,month_lookup!A:B,2,FALSE)</f>
        <v>Aug</v>
      </c>
      <c r="P801">
        <f t="shared" si="52"/>
        <v>-46849.71</v>
      </c>
    </row>
    <row r="802" spans="1:16" x14ac:dyDescent="0.25">
      <c r="A802" t="s">
        <v>9</v>
      </c>
      <c r="B802" s="1">
        <v>296844.24</v>
      </c>
      <c r="C802">
        <v>244926.18</v>
      </c>
      <c r="D802" s="2">
        <v>43624</v>
      </c>
      <c r="E802" t="s">
        <v>138</v>
      </c>
      <c r="F802" t="s">
        <v>154</v>
      </c>
      <c r="G802" t="s">
        <v>12</v>
      </c>
      <c r="H802" t="s">
        <v>169</v>
      </c>
      <c r="I802" t="s">
        <v>27</v>
      </c>
      <c r="J802" t="s">
        <v>959</v>
      </c>
      <c r="L802">
        <f t="shared" si="49"/>
        <v>201906</v>
      </c>
      <c r="M802">
        <f t="shared" si="50"/>
        <v>6</v>
      </c>
      <c r="N802">
        <f t="shared" si="51"/>
        <v>2019</v>
      </c>
      <c r="O802" t="str">
        <f>VLOOKUP(M802,month_lookup!A:B,2,FALSE)</f>
        <v>Jun</v>
      </c>
      <c r="P802">
        <f t="shared" si="52"/>
        <v>-296844.24</v>
      </c>
    </row>
    <row r="803" spans="1:16" x14ac:dyDescent="0.25">
      <c r="A803" t="s">
        <v>22</v>
      </c>
      <c r="B803" s="1">
        <v>163492.16</v>
      </c>
      <c r="C803">
        <v>134178.01999999999</v>
      </c>
      <c r="D803" s="2">
        <v>44055</v>
      </c>
      <c r="E803" t="s">
        <v>50</v>
      </c>
      <c r="F803" t="s">
        <v>200</v>
      </c>
      <c r="G803" t="s">
        <v>25</v>
      </c>
      <c r="H803" t="s">
        <v>75</v>
      </c>
      <c r="I803" t="s">
        <v>27</v>
      </c>
      <c r="J803" t="s">
        <v>960</v>
      </c>
      <c r="L803">
        <f t="shared" si="49"/>
        <v>202008</v>
      </c>
      <c r="M803">
        <f t="shared" si="50"/>
        <v>8</v>
      </c>
      <c r="N803">
        <f t="shared" si="51"/>
        <v>2020</v>
      </c>
      <c r="O803" t="str">
        <f>VLOOKUP(M803,month_lookup!A:B,2,FALSE)</f>
        <v>Aug</v>
      </c>
      <c r="P803">
        <f t="shared" si="52"/>
        <v>163492.16</v>
      </c>
    </row>
    <row r="804" spans="1:16" x14ac:dyDescent="0.25">
      <c r="A804" t="s">
        <v>52</v>
      </c>
      <c r="B804" s="1">
        <v>116206.87</v>
      </c>
      <c r="C804">
        <v>93104.94</v>
      </c>
      <c r="D804" s="2">
        <v>43570</v>
      </c>
      <c r="E804" t="s">
        <v>17</v>
      </c>
      <c r="F804" t="s">
        <v>115</v>
      </c>
      <c r="G804" t="s">
        <v>54</v>
      </c>
      <c r="H804" t="s">
        <v>71</v>
      </c>
      <c r="I804" t="s">
        <v>27</v>
      </c>
      <c r="J804" t="s">
        <v>961</v>
      </c>
      <c r="L804">
        <f t="shared" si="49"/>
        <v>201904</v>
      </c>
      <c r="M804">
        <f t="shared" si="50"/>
        <v>4</v>
      </c>
      <c r="N804">
        <f t="shared" si="51"/>
        <v>2019</v>
      </c>
      <c r="O804" t="str">
        <f>VLOOKUP(M804,month_lookup!A:B,2,FALSE)</f>
        <v>Apr</v>
      </c>
      <c r="P804">
        <f t="shared" si="52"/>
        <v>-116206.87</v>
      </c>
    </row>
    <row r="805" spans="1:16" x14ac:dyDescent="0.25">
      <c r="A805" t="s">
        <v>52</v>
      </c>
      <c r="B805" s="1">
        <v>195214.72</v>
      </c>
      <c r="C805">
        <v>154649.1</v>
      </c>
      <c r="D805" s="2">
        <v>43642</v>
      </c>
      <c r="E805" t="s">
        <v>10</v>
      </c>
      <c r="F805" t="s">
        <v>115</v>
      </c>
      <c r="G805" t="s">
        <v>54</v>
      </c>
      <c r="H805" t="s">
        <v>55</v>
      </c>
      <c r="I805" t="s">
        <v>27</v>
      </c>
      <c r="J805" t="s">
        <v>962</v>
      </c>
      <c r="L805">
        <f t="shared" si="49"/>
        <v>201906</v>
      </c>
      <c r="M805">
        <f t="shared" si="50"/>
        <v>6</v>
      </c>
      <c r="N805">
        <f t="shared" si="51"/>
        <v>2019</v>
      </c>
      <c r="O805" t="str">
        <f>VLOOKUP(M805,month_lookup!A:B,2,FALSE)</f>
        <v>Jun</v>
      </c>
      <c r="P805">
        <f t="shared" si="52"/>
        <v>-195214.72</v>
      </c>
    </row>
    <row r="806" spans="1:16" x14ac:dyDescent="0.25">
      <c r="A806" t="s">
        <v>52</v>
      </c>
      <c r="B806" s="1">
        <v>168226.52</v>
      </c>
      <c r="C806">
        <v>136818.63</v>
      </c>
      <c r="D806" s="2">
        <v>43855</v>
      </c>
      <c r="E806" t="s">
        <v>59</v>
      </c>
      <c r="F806" t="s">
        <v>159</v>
      </c>
      <c r="G806" t="s">
        <v>54</v>
      </c>
      <c r="H806" t="s">
        <v>143</v>
      </c>
      <c r="I806" t="s">
        <v>27</v>
      </c>
      <c r="J806" t="s">
        <v>963</v>
      </c>
      <c r="L806">
        <f t="shared" si="49"/>
        <v>202001</v>
      </c>
      <c r="M806">
        <f t="shared" si="50"/>
        <v>1</v>
      </c>
      <c r="N806">
        <f t="shared" si="51"/>
        <v>2020</v>
      </c>
      <c r="O806" t="str">
        <f>VLOOKUP(M806,month_lookup!A:B,2,FALSE)</f>
        <v>Jan</v>
      </c>
      <c r="P806">
        <f t="shared" si="52"/>
        <v>168226.52</v>
      </c>
    </row>
    <row r="807" spans="1:16" x14ac:dyDescent="0.25">
      <c r="A807" t="s">
        <v>9</v>
      </c>
      <c r="B807" s="1">
        <v>249842.77</v>
      </c>
      <c r="C807">
        <v>218737.35</v>
      </c>
      <c r="D807" s="2">
        <v>44021</v>
      </c>
      <c r="E807" t="s">
        <v>10</v>
      </c>
      <c r="F807" t="s">
        <v>30</v>
      </c>
      <c r="G807" t="s">
        <v>12</v>
      </c>
      <c r="H807" t="s">
        <v>81</v>
      </c>
      <c r="I807" t="s">
        <v>27</v>
      </c>
      <c r="J807" t="s">
        <v>964</v>
      </c>
      <c r="L807">
        <f t="shared" si="49"/>
        <v>202007</v>
      </c>
      <c r="M807">
        <f t="shared" si="50"/>
        <v>7</v>
      </c>
      <c r="N807">
        <f t="shared" si="51"/>
        <v>2020</v>
      </c>
      <c r="O807" t="str">
        <f>VLOOKUP(M807,month_lookup!A:B,2,FALSE)</f>
        <v>Jul</v>
      </c>
      <c r="P807">
        <f t="shared" si="52"/>
        <v>249842.77</v>
      </c>
    </row>
    <row r="808" spans="1:16" x14ac:dyDescent="0.25">
      <c r="A808" t="s">
        <v>83</v>
      </c>
      <c r="B808" s="1">
        <v>105678.39</v>
      </c>
      <c r="C808">
        <v>89720.95</v>
      </c>
      <c r="D808" s="2">
        <v>43958</v>
      </c>
      <c r="E808" t="s">
        <v>17</v>
      </c>
      <c r="F808" t="s">
        <v>165</v>
      </c>
      <c r="G808" t="s">
        <v>84</v>
      </c>
      <c r="H808" t="s">
        <v>85</v>
      </c>
      <c r="I808" t="s">
        <v>14</v>
      </c>
      <c r="J808" t="s">
        <v>965</v>
      </c>
      <c r="L808">
        <f t="shared" si="49"/>
        <v>202005</v>
      </c>
      <c r="M808">
        <f t="shared" si="50"/>
        <v>5</v>
      </c>
      <c r="N808">
        <f t="shared" si="51"/>
        <v>2020</v>
      </c>
      <c r="O808" t="str">
        <f>VLOOKUP(M808,month_lookup!A:B,2,FALSE)</f>
        <v>May</v>
      </c>
      <c r="P808">
        <f t="shared" si="52"/>
        <v>105678.39</v>
      </c>
    </row>
    <row r="809" spans="1:16" x14ac:dyDescent="0.25">
      <c r="A809" t="s">
        <v>22</v>
      </c>
      <c r="B809" s="1">
        <v>253580.08</v>
      </c>
      <c r="C809">
        <v>212449.39</v>
      </c>
      <c r="D809" s="2">
        <v>44018</v>
      </c>
      <c r="E809" t="s">
        <v>17</v>
      </c>
      <c r="F809" t="s">
        <v>605</v>
      </c>
      <c r="G809" t="s">
        <v>25</v>
      </c>
      <c r="H809" t="s">
        <v>218</v>
      </c>
      <c r="I809" t="s">
        <v>27</v>
      </c>
      <c r="J809" t="s">
        <v>966</v>
      </c>
      <c r="L809">
        <f t="shared" si="49"/>
        <v>202007</v>
      </c>
      <c r="M809">
        <f t="shared" si="50"/>
        <v>7</v>
      </c>
      <c r="N809">
        <f t="shared" si="51"/>
        <v>2020</v>
      </c>
      <c r="O809" t="str">
        <f>VLOOKUP(M809,month_lookup!A:B,2,FALSE)</f>
        <v>Jul</v>
      </c>
      <c r="P809">
        <f t="shared" si="52"/>
        <v>253580.08</v>
      </c>
    </row>
    <row r="810" spans="1:16" x14ac:dyDescent="0.25">
      <c r="A810" t="s">
        <v>52</v>
      </c>
      <c r="B810" s="1">
        <v>56705.66</v>
      </c>
      <c r="C810">
        <v>46986.31</v>
      </c>
      <c r="D810" s="2">
        <v>43497</v>
      </c>
      <c r="E810" t="s">
        <v>61</v>
      </c>
      <c r="F810" t="s">
        <v>34</v>
      </c>
      <c r="G810" t="s">
        <v>54</v>
      </c>
      <c r="H810" t="s">
        <v>127</v>
      </c>
      <c r="I810" t="s">
        <v>27</v>
      </c>
      <c r="J810" t="s">
        <v>967</v>
      </c>
      <c r="L810">
        <f t="shared" si="49"/>
        <v>201902</v>
      </c>
      <c r="M810">
        <f t="shared" si="50"/>
        <v>2</v>
      </c>
      <c r="N810">
        <f t="shared" si="51"/>
        <v>2019</v>
      </c>
      <c r="O810" t="str">
        <f>VLOOKUP(M810,month_lookup!A:B,2,FALSE)</f>
        <v>Feb</v>
      </c>
      <c r="P810">
        <f t="shared" si="52"/>
        <v>-56705.66</v>
      </c>
    </row>
    <row r="811" spans="1:16" x14ac:dyDescent="0.25">
      <c r="A811" t="s">
        <v>9</v>
      </c>
      <c r="B811" s="1">
        <v>35354.22</v>
      </c>
      <c r="C811">
        <v>30517.759999999998</v>
      </c>
      <c r="D811" s="2">
        <v>43523</v>
      </c>
      <c r="E811" t="s">
        <v>59</v>
      </c>
      <c r="F811" t="s">
        <v>209</v>
      </c>
      <c r="G811" t="s">
        <v>12</v>
      </c>
      <c r="H811" t="s">
        <v>117</v>
      </c>
      <c r="I811" t="s">
        <v>27</v>
      </c>
      <c r="J811" t="s">
        <v>968</v>
      </c>
      <c r="L811">
        <f t="shared" si="49"/>
        <v>201902</v>
      </c>
      <c r="M811">
        <f t="shared" si="50"/>
        <v>2</v>
      </c>
      <c r="N811">
        <f t="shared" si="51"/>
        <v>2019</v>
      </c>
      <c r="O811" t="str">
        <f>VLOOKUP(M811,month_lookup!A:B,2,FALSE)</f>
        <v>Feb</v>
      </c>
      <c r="P811">
        <f t="shared" si="52"/>
        <v>-35354.22</v>
      </c>
    </row>
    <row r="812" spans="1:16" x14ac:dyDescent="0.25">
      <c r="A812" t="s">
        <v>22</v>
      </c>
      <c r="B812" s="1">
        <v>25834.34</v>
      </c>
      <c r="C812">
        <v>22450.04</v>
      </c>
      <c r="D812" s="2">
        <v>43903</v>
      </c>
      <c r="E812" t="s">
        <v>79</v>
      </c>
      <c r="F812" t="s">
        <v>88</v>
      </c>
      <c r="G812" t="s">
        <v>25</v>
      </c>
      <c r="H812" t="s">
        <v>218</v>
      </c>
      <c r="I812" t="s">
        <v>14</v>
      </c>
      <c r="J812" t="s">
        <v>969</v>
      </c>
      <c r="L812">
        <f t="shared" si="49"/>
        <v>202003</v>
      </c>
      <c r="M812">
        <f t="shared" si="50"/>
        <v>3</v>
      </c>
      <c r="N812">
        <f t="shared" si="51"/>
        <v>2020</v>
      </c>
      <c r="O812" t="str">
        <f>VLOOKUP(M812,month_lookup!A:B,2,FALSE)</f>
        <v>Mar</v>
      </c>
      <c r="P812">
        <f t="shared" si="52"/>
        <v>25834.34</v>
      </c>
    </row>
    <row r="813" spans="1:16" x14ac:dyDescent="0.25">
      <c r="A813" t="s">
        <v>22</v>
      </c>
      <c r="B813" s="1">
        <v>121928.48</v>
      </c>
      <c r="C813">
        <v>98408.48</v>
      </c>
      <c r="D813" s="2">
        <v>43727</v>
      </c>
      <c r="E813" t="s">
        <v>23</v>
      </c>
      <c r="F813" t="s">
        <v>159</v>
      </c>
      <c r="G813" t="s">
        <v>25</v>
      </c>
      <c r="H813" t="s">
        <v>218</v>
      </c>
      <c r="I813" t="s">
        <v>14</v>
      </c>
      <c r="J813" t="s">
        <v>970</v>
      </c>
      <c r="L813">
        <f t="shared" si="49"/>
        <v>201909</v>
      </c>
      <c r="M813">
        <f t="shared" si="50"/>
        <v>9</v>
      </c>
      <c r="N813">
        <f t="shared" si="51"/>
        <v>2019</v>
      </c>
      <c r="O813" t="str">
        <f>VLOOKUP(M813,month_lookup!A:B,2,FALSE)</f>
        <v>Sep</v>
      </c>
      <c r="P813">
        <f t="shared" si="52"/>
        <v>-121928.48</v>
      </c>
    </row>
    <row r="814" spans="1:16" x14ac:dyDescent="0.25">
      <c r="A814" t="s">
        <v>52</v>
      </c>
      <c r="B814" s="1">
        <v>167935.31</v>
      </c>
      <c r="C814">
        <v>137942.06</v>
      </c>
      <c r="D814" s="2">
        <v>43573</v>
      </c>
      <c r="E814" t="s">
        <v>17</v>
      </c>
      <c r="F814" t="s">
        <v>301</v>
      </c>
      <c r="G814" t="s">
        <v>54</v>
      </c>
      <c r="H814" t="s">
        <v>71</v>
      </c>
      <c r="I814" t="s">
        <v>27</v>
      </c>
      <c r="J814" t="s">
        <v>971</v>
      </c>
      <c r="L814">
        <f t="shared" si="49"/>
        <v>201904</v>
      </c>
      <c r="M814">
        <f t="shared" si="50"/>
        <v>4</v>
      </c>
      <c r="N814">
        <f t="shared" si="51"/>
        <v>2019</v>
      </c>
      <c r="O814" t="str">
        <f>VLOOKUP(M814,month_lookup!A:B,2,FALSE)</f>
        <v>Apr</v>
      </c>
      <c r="P814">
        <f t="shared" si="52"/>
        <v>-167935.31</v>
      </c>
    </row>
    <row r="815" spans="1:16" x14ac:dyDescent="0.25">
      <c r="A815" t="s">
        <v>22</v>
      </c>
      <c r="B815" s="1">
        <v>151151.76999999999</v>
      </c>
      <c r="C815">
        <v>124035.14</v>
      </c>
      <c r="D815" s="2">
        <v>43829</v>
      </c>
      <c r="E815" t="s">
        <v>50</v>
      </c>
      <c r="F815" t="s">
        <v>70</v>
      </c>
      <c r="G815" t="s">
        <v>25</v>
      </c>
      <c r="H815" t="s">
        <v>31</v>
      </c>
      <c r="I815" t="s">
        <v>27</v>
      </c>
      <c r="J815" t="s">
        <v>972</v>
      </c>
      <c r="L815">
        <f t="shared" si="49"/>
        <v>201912</v>
      </c>
      <c r="M815">
        <f t="shared" si="50"/>
        <v>12</v>
      </c>
      <c r="N815">
        <f t="shared" si="51"/>
        <v>2019</v>
      </c>
      <c r="O815" t="str">
        <f>VLOOKUP(M815,month_lookup!A:B,2,FALSE)</f>
        <v>Dec</v>
      </c>
      <c r="P815">
        <f t="shared" si="52"/>
        <v>-151151.76999999999</v>
      </c>
    </row>
    <row r="816" spans="1:16" x14ac:dyDescent="0.25">
      <c r="A816" t="s">
        <v>52</v>
      </c>
      <c r="B816" s="1">
        <v>95966.17</v>
      </c>
      <c r="C816">
        <v>75976.42</v>
      </c>
      <c r="D816" s="2">
        <v>43701</v>
      </c>
      <c r="E816" t="s">
        <v>79</v>
      </c>
      <c r="F816" t="s">
        <v>973</v>
      </c>
      <c r="G816" t="s">
        <v>54</v>
      </c>
      <c r="H816" t="s">
        <v>71</v>
      </c>
      <c r="I816" t="s">
        <v>27</v>
      </c>
      <c r="J816" t="s">
        <v>974</v>
      </c>
      <c r="L816">
        <f t="shared" si="49"/>
        <v>201908</v>
      </c>
      <c r="M816">
        <f t="shared" si="50"/>
        <v>8</v>
      </c>
      <c r="N816">
        <f t="shared" si="51"/>
        <v>2019</v>
      </c>
      <c r="O816" t="str">
        <f>VLOOKUP(M816,month_lookup!A:B,2,FALSE)</f>
        <v>Aug</v>
      </c>
      <c r="P816">
        <f t="shared" si="52"/>
        <v>-95966.17</v>
      </c>
    </row>
    <row r="817" spans="1:16" x14ac:dyDescent="0.25">
      <c r="A817" t="s">
        <v>22</v>
      </c>
      <c r="B817" s="1">
        <v>123424.43</v>
      </c>
      <c r="C817">
        <v>98171.79</v>
      </c>
      <c r="D817" s="2">
        <v>43566</v>
      </c>
      <c r="E817" t="s">
        <v>23</v>
      </c>
      <c r="F817" t="s">
        <v>149</v>
      </c>
      <c r="G817" t="s">
        <v>25</v>
      </c>
      <c r="H817" t="s">
        <v>75</v>
      </c>
      <c r="I817" t="s">
        <v>27</v>
      </c>
      <c r="J817" t="s">
        <v>975</v>
      </c>
      <c r="L817">
        <f t="shared" si="49"/>
        <v>201904</v>
      </c>
      <c r="M817">
        <f t="shared" si="50"/>
        <v>4</v>
      </c>
      <c r="N817">
        <f t="shared" si="51"/>
        <v>2019</v>
      </c>
      <c r="O817" t="str">
        <f>VLOOKUP(M817,month_lookup!A:B,2,FALSE)</f>
        <v>Apr</v>
      </c>
      <c r="P817">
        <f t="shared" si="52"/>
        <v>-123424.43</v>
      </c>
    </row>
    <row r="818" spans="1:16" x14ac:dyDescent="0.25">
      <c r="A818" t="s">
        <v>52</v>
      </c>
      <c r="B818" s="1">
        <v>128221.13</v>
      </c>
      <c r="C818">
        <v>102217.88</v>
      </c>
      <c r="D818" s="2">
        <v>44003</v>
      </c>
      <c r="E818" t="s">
        <v>23</v>
      </c>
      <c r="F818" t="s">
        <v>34</v>
      </c>
      <c r="G818" t="s">
        <v>54</v>
      </c>
      <c r="H818" t="s">
        <v>71</v>
      </c>
      <c r="I818" t="s">
        <v>27</v>
      </c>
      <c r="J818" t="s">
        <v>976</v>
      </c>
      <c r="L818">
        <f t="shared" si="49"/>
        <v>202006</v>
      </c>
      <c r="M818">
        <f t="shared" si="50"/>
        <v>6</v>
      </c>
      <c r="N818">
        <f t="shared" si="51"/>
        <v>2020</v>
      </c>
      <c r="O818" t="str">
        <f>VLOOKUP(M818,month_lookup!A:B,2,FALSE)</f>
        <v>Jun</v>
      </c>
      <c r="P818">
        <f t="shared" si="52"/>
        <v>128221.13</v>
      </c>
    </row>
    <row r="819" spans="1:16" x14ac:dyDescent="0.25">
      <c r="A819" t="s">
        <v>22</v>
      </c>
      <c r="B819" s="1">
        <v>204133.95</v>
      </c>
      <c r="C819">
        <v>167553.15</v>
      </c>
      <c r="D819" s="2">
        <v>43995</v>
      </c>
      <c r="E819" t="s">
        <v>17</v>
      </c>
      <c r="F819" t="s">
        <v>167</v>
      </c>
      <c r="G819" t="s">
        <v>25</v>
      </c>
      <c r="H819" t="s">
        <v>75</v>
      </c>
      <c r="I819" t="s">
        <v>27</v>
      </c>
      <c r="J819" t="s">
        <v>977</v>
      </c>
      <c r="L819">
        <f t="shared" si="49"/>
        <v>202006</v>
      </c>
      <c r="M819">
        <f t="shared" si="50"/>
        <v>6</v>
      </c>
      <c r="N819">
        <f t="shared" si="51"/>
        <v>2020</v>
      </c>
      <c r="O819" t="str">
        <f>VLOOKUP(M819,month_lookup!A:B,2,FALSE)</f>
        <v>Jun</v>
      </c>
      <c r="P819">
        <f t="shared" si="52"/>
        <v>204133.95</v>
      </c>
    </row>
    <row r="820" spans="1:16" x14ac:dyDescent="0.25">
      <c r="A820" t="s">
        <v>9</v>
      </c>
      <c r="B820" s="1">
        <v>89376.84</v>
      </c>
      <c r="C820">
        <v>73646.52</v>
      </c>
      <c r="D820" s="2">
        <v>43513</v>
      </c>
      <c r="E820" t="s">
        <v>29</v>
      </c>
      <c r="F820" t="s">
        <v>34</v>
      </c>
      <c r="G820" t="s">
        <v>12</v>
      </c>
      <c r="H820" t="s">
        <v>81</v>
      </c>
      <c r="I820" t="s">
        <v>27</v>
      </c>
      <c r="J820" t="s">
        <v>978</v>
      </c>
      <c r="L820">
        <f t="shared" si="49"/>
        <v>201902</v>
      </c>
      <c r="M820">
        <f t="shared" si="50"/>
        <v>2</v>
      </c>
      <c r="N820">
        <f t="shared" si="51"/>
        <v>2019</v>
      </c>
      <c r="O820" t="str">
        <f>VLOOKUP(M820,month_lookup!A:B,2,FALSE)</f>
        <v>Feb</v>
      </c>
      <c r="P820">
        <f t="shared" si="52"/>
        <v>-89376.84</v>
      </c>
    </row>
    <row r="821" spans="1:16" x14ac:dyDescent="0.25">
      <c r="A821" t="s">
        <v>9</v>
      </c>
      <c r="B821" s="1">
        <v>110837.96</v>
      </c>
      <c r="C821">
        <v>92106.34</v>
      </c>
      <c r="D821" s="2">
        <v>43521</v>
      </c>
      <c r="E821" t="s">
        <v>79</v>
      </c>
      <c r="F821" t="s">
        <v>209</v>
      </c>
      <c r="G821" t="s">
        <v>12</v>
      </c>
      <c r="H821" t="s">
        <v>81</v>
      </c>
      <c r="I821" t="s">
        <v>27</v>
      </c>
      <c r="J821" t="s">
        <v>979</v>
      </c>
      <c r="L821">
        <f t="shared" si="49"/>
        <v>201902</v>
      </c>
      <c r="M821">
        <f t="shared" si="50"/>
        <v>2</v>
      </c>
      <c r="N821">
        <f t="shared" si="51"/>
        <v>2019</v>
      </c>
      <c r="O821" t="str">
        <f>VLOOKUP(M821,month_lookup!A:B,2,FALSE)</f>
        <v>Feb</v>
      </c>
      <c r="P821">
        <f t="shared" si="52"/>
        <v>-110837.96</v>
      </c>
    </row>
    <row r="822" spans="1:16" x14ac:dyDescent="0.25">
      <c r="A822" t="s">
        <v>83</v>
      </c>
      <c r="B822" s="1">
        <v>118026.37</v>
      </c>
      <c r="C822">
        <v>99873.91</v>
      </c>
      <c r="D822" s="2">
        <v>44016</v>
      </c>
      <c r="E822" t="s">
        <v>50</v>
      </c>
      <c r="F822" t="s">
        <v>30</v>
      </c>
      <c r="G822" t="s">
        <v>84</v>
      </c>
      <c r="H822" t="s">
        <v>85</v>
      </c>
      <c r="I822" t="s">
        <v>27</v>
      </c>
      <c r="J822" t="s">
        <v>980</v>
      </c>
      <c r="L822">
        <f t="shared" si="49"/>
        <v>202007</v>
      </c>
      <c r="M822">
        <f t="shared" si="50"/>
        <v>7</v>
      </c>
      <c r="N822">
        <f t="shared" si="51"/>
        <v>2020</v>
      </c>
      <c r="O822" t="str">
        <f>VLOOKUP(M822,month_lookup!A:B,2,FALSE)</f>
        <v>Jul</v>
      </c>
      <c r="P822">
        <f t="shared" si="52"/>
        <v>118026.37</v>
      </c>
    </row>
    <row r="823" spans="1:16" x14ac:dyDescent="0.25">
      <c r="A823" t="s">
        <v>22</v>
      </c>
      <c r="B823" s="1">
        <v>177208.76</v>
      </c>
      <c r="C823">
        <v>151779.29999999999</v>
      </c>
      <c r="D823" s="2">
        <v>43467</v>
      </c>
      <c r="E823" t="s">
        <v>50</v>
      </c>
      <c r="F823" t="s">
        <v>88</v>
      </c>
      <c r="G823" t="s">
        <v>25</v>
      </c>
      <c r="H823" t="s">
        <v>26</v>
      </c>
      <c r="I823" t="s">
        <v>14</v>
      </c>
      <c r="J823" t="s">
        <v>981</v>
      </c>
      <c r="L823">
        <f t="shared" si="49"/>
        <v>201901</v>
      </c>
      <c r="M823">
        <f t="shared" si="50"/>
        <v>1</v>
      </c>
      <c r="N823">
        <f t="shared" si="51"/>
        <v>2019</v>
      </c>
      <c r="O823" t="str">
        <f>VLOOKUP(M823,month_lookup!A:B,2,FALSE)</f>
        <v>Jan</v>
      </c>
      <c r="P823">
        <f t="shared" si="52"/>
        <v>-177208.76</v>
      </c>
    </row>
    <row r="824" spans="1:16" x14ac:dyDescent="0.25">
      <c r="A824" t="s">
        <v>9</v>
      </c>
      <c r="B824" s="1">
        <v>97148.34</v>
      </c>
      <c r="C824">
        <v>77806.11</v>
      </c>
      <c r="D824" s="2">
        <v>43950</v>
      </c>
      <c r="E824" t="s">
        <v>10</v>
      </c>
      <c r="F824" t="s">
        <v>88</v>
      </c>
      <c r="G824" t="s">
        <v>12</v>
      </c>
      <c r="H824" t="s">
        <v>169</v>
      </c>
      <c r="I824" t="s">
        <v>27</v>
      </c>
      <c r="J824" t="s">
        <v>982</v>
      </c>
      <c r="L824">
        <f t="shared" si="49"/>
        <v>202004</v>
      </c>
      <c r="M824">
        <f t="shared" si="50"/>
        <v>4</v>
      </c>
      <c r="N824">
        <f t="shared" si="51"/>
        <v>2020</v>
      </c>
      <c r="O824" t="str">
        <f>VLOOKUP(M824,month_lookup!A:B,2,FALSE)</f>
        <v>Apr</v>
      </c>
      <c r="P824">
        <f t="shared" si="52"/>
        <v>97148.34</v>
      </c>
    </row>
    <row r="825" spans="1:16" x14ac:dyDescent="0.25">
      <c r="A825" t="s">
        <v>33</v>
      </c>
      <c r="B825" s="1">
        <v>144530.35</v>
      </c>
      <c r="C825">
        <v>115407.48</v>
      </c>
      <c r="D825" s="2">
        <v>44047</v>
      </c>
      <c r="E825" t="s">
        <v>138</v>
      </c>
      <c r="F825" t="s">
        <v>57</v>
      </c>
      <c r="G825" t="s">
        <v>35</v>
      </c>
      <c r="H825" t="s">
        <v>424</v>
      </c>
      <c r="I825" t="s">
        <v>27</v>
      </c>
      <c r="J825" t="s">
        <v>983</v>
      </c>
      <c r="L825">
        <f t="shared" si="49"/>
        <v>202008</v>
      </c>
      <c r="M825">
        <f t="shared" si="50"/>
        <v>8</v>
      </c>
      <c r="N825">
        <f t="shared" si="51"/>
        <v>2020</v>
      </c>
      <c r="O825" t="str">
        <f>VLOOKUP(M825,month_lookup!A:B,2,FALSE)</f>
        <v>Aug</v>
      </c>
      <c r="P825">
        <f t="shared" si="52"/>
        <v>144530.35</v>
      </c>
    </row>
    <row r="826" spans="1:16" x14ac:dyDescent="0.25">
      <c r="A826" t="s">
        <v>9</v>
      </c>
      <c r="B826" s="1">
        <v>45261.84</v>
      </c>
      <c r="C826">
        <v>37816.269999999997</v>
      </c>
      <c r="D826" s="2">
        <v>44156</v>
      </c>
      <c r="E826" t="s">
        <v>29</v>
      </c>
      <c r="F826" t="s">
        <v>67</v>
      </c>
      <c r="G826" t="s">
        <v>12</v>
      </c>
      <c r="H826" t="s">
        <v>13</v>
      </c>
      <c r="I826" t="s">
        <v>27</v>
      </c>
      <c r="J826" t="s">
        <v>984</v>
      </c>
      <c r="L826">
        <f t="shared" si="49"/>
        <v>202011</v>
      </c>
      <c r="M826">
        <f t="shared" si="50"/>
        <v>11</v>
      </c>
      <c r="N826">
        <f t="shared" si="51"/>
        <v>2020</v>
      </c>
      <c r="O826" t="str">
        <f>VLOOKUP(M826,month_lookup!A:B,2,FALSE)</f>
        <v>Nov</v>
      </c>
      <c r="P826">
        <f t="shared" si="52"/>
        <v>45261.84</v>
      </c>
    </row>
    <row r="827" spans="1:16" x14ac:dyDescent="0.25">
      <c r="A827" t="s">
        <v>100</v>
      </c>
      <c r="B827" s="1">
        <v>105277.2</v>
      </c>
      <c r="C827">
        <v>90759.47</v>
      </c>
      <c r="D827" s="2">
        <v>43790</v>
      </c>
      <c r="E827" t="s">
        <v>10</v>
      </c>
      <c r="F827" t="s">
        <v>149</v>
      </c>
      <c r="G827" t="s">
        <v>102</v>
      </c>
      <c r="H827" t="s">
        <v>103</v>
      </c>
      <c r="I827" t="s">
        <v>27</v>
      </c>
      <c r="J827" t="s">
        <v>985</v>
      </c>
      <c r="L827">
        <f t="shared" si="49"/>
        <v>201911</v>
      </c>
      <c r="M827">
        <f t="shared" si="50"/>
        <v>11</v>
      </c>
      <c r="N827">
        <f t="shared" si="51"/>
        <v>2019</v>
      </c>
      <c r="O827" t="str">
        <f>VLOOKUP(M827,month_lookup!A:B,2,FALSE)</f>
        <v>Nov</v>
      </c>
      <c r="P827">
        <f t="shared" si="52"/>
        <v>-105277.2</v>
      </c>
    </row>
    <row r="828" spans="1:16" x14ac:dyDescent="0.25">
      <c r="A828" t="s">
        <v>345</v>
      </c>
      <c r="B828" s="1">
        <v>65822.05</v>
      </c>
      <c r="C828">
        <v>54790.27</v>
      </c>
      <c r="D828" s="2">
        <v>44146</v>
      </c>
      <c r="E828" t="s">
        <v>23</v>
      </c>
      <c r="F828" t="s">
        <v>115</v>
      </c>
      <c r="G828" t="s">
        <v>346</v>
      </c>
      <c r="H828" t="s">
        <v>347</v>
      </c>
      <c r="I828" t="s">
        <v>27</v>
      </c>
      <c r="J828" t="s">
        <v>986</v>
      </c>
      <c r="L828">
        <f t="shared" si="49"/>
        <v>202011</v>
      </c>
      <c r="M828">
        <f t="shared" si="50"/>
        <v>11</v>
      </c>
      <c r="N828">
        <f t="shared" si="51"/>
        <v>2020</v>
      </c>
      <c r="O828" t="str">
        <f>VLOOKUP(M828,month_lookup!A:B,2,FALSE)</f>
        <v>Nov</v>
      </c>
      <c r="P828">
        <f t="shared" si="52"/>
        <v>65822.05</v>
      </c>
    </row>
    <row r="829" spans="1:16" x14ac:dyDescent="0.25">
      <c r="A829" t="s">
        <v>52</v>
      </c>
      <c r="B829" s="1">
        <v>78540.62</v>
      </c>
      <c r="C829">
        <v>63987.040000000001</v>
      </c>
      <c r="D829" s="2">
        <v>43746</v>
      </c>
      <c r="E829" t="s">
        <v>23</v>
      </c>
      <c r="F829" t="s">
        <v>109</v>
      </c>
      <c r="G829" t="s">
        <v>54</v>
      </c>
      <c r="H829" t="s">
        <v>127</v>
      </c>
      <c r="I829" t="s">
        <v>27</v>
      </c>
      <c r="J829" t="s">
        <v>987</v>
      </c>
      <c r="L829">
        <f t="shared" si="49"/>
        <v>201910</v>
      </c>
      <c r="M829">
        <f t="shared" si="50"/>
        <v>10</v>
      </c>
      <c r="N829">
        <f t="shared" si="51"/>
        <v>2019</v>
      </c>
      <c r="O829" t="str">
        <f>VLOOKUP(M829,month_lookup!A:B,2,FALSE)</f>
        <v>Oct</v>
      </c>
      <c r="P829">
        <f t="shared" si="52"/>
        <v>-78540.62</v>
      </c>
    </row>
    <row r="830" spans="1:16" x14ac:dyDescent="0.25">
      <c r="A830" t="s">
        <v>137</v>
      </c>
      <c r="B830" s="1">
        <v>37636.910000000003</v>
      </c>
      <c r="C830">
        <v>30847.21</v>
      </c>
      <c r="D830" s="2">
        <v>43906</v>
      </c>
      <c r="E830" t="s">
        <v>50</v>
      </c>
      <c r="F830" t="s">
        <v>187</v>
      </c>
      <c r="G830" t="s">
        <v>139</v>
      </c>
      <c r="H830" t="s">
        <v>140</v>
      </c>
      <c r="I830" t="s">
        <v>14</v>
      </c>
      <c r="J830" t="s">
        <v>988</v>
      </c>
      <c r="L830">
        <f t="shared" si="49"/>
        <v>202003</v>
      </c>
      <c r="M830">
        <f t="shared" si="50"/>
        <v>3</v>
      </c>
      <c r="N830">
        <f t="shared" si="51"/>
        <v>2020</v>
      </c>
      <c r="O830" t="str">
        <f>VLOOKUP(M830,month_lookup!A:B,2,FALSE)</f>
        <v>Mar</v>
      </c>
      <c r="P830">
        <f t="shared" si="52"/>
        <v>37636.910000000003</v>
      </c>
    </row>
    <row r="831" spans="1:16" x14ac:dyDescent="0.25">
      <c r="A831" t="s">
        <v>22</v>
      </c>
      <c r="B831" s="1">
        <v>138127.81</v>
      </c>
      <c r="C831">
        <v>115240.03</v>
      </c>
      <c r="D831" s="2">
        <v>43975</v>
      </c>
      <c r="E831" t="s">
        <v>50</v>
      </c>
      <c r="F831" t="s">
        <v>134</v>
      </c>
      <c r="G831" t="s">
        <v>25</v>
      </c>
      <c r="H831" t="s">
        <v>75</v>
      </c>
      <c r="I831" t="s">
        <v>27</v>
      </c>
      <c r="J831" t="s">
        <v>989</v>
      </c>
      <c r="L831">
        <f t="shared" si="49"/>
        <v>202005</v>
      </c>
      <c r="M831">
        <f t="shared" si="50"/>
        <v>5</v>
      </c>
      <c r="N831">
        <f t="shared" si="51"/>
        <v>2020</v>
      </c>
      <c r="O831" t="str">
        <f>VLOOKUP(M831,month_lookup!A:B,2,FALSE)</f>
        <v>May</v>
      </c>
      <c r="P831">
        <f t="shared" si="52"/>
        <v>138127.81</v>
      </c>
    </row>
    <row r="832" spans="1:16" x14ac:dyDescent="0.25">
      <c r="A832" t="s">
        <v>172</v>
      </c>
      <c r="B832" s="1">
        <v>37892.58</v>
      </c>
      <c r="C832">
        <v>30010.92</v>
      </c>
      <c r="D832" s="2">
        <v>43486</v>
      </c>
      <c r="E832" t="s">
        <v>79</v>
      </c>
      <c r="F832" t="s">
        <v>34</v>
      </c>
      <c r="G832" t="s">
        <v>174</v>
      </c>
      <c r="H832" t="s">
        <v>211</v>
      </c>
      <c r="I832" t="s">
        <v>27</v>
      </c>
      <c r="J832" t="s">
        <v>990</v>
      </c>
      <c r="L832">
        <f t="shared" si="49"/>
        <v>201901</v>
      </c>
      <c r="M832">
        <f t="shared" si="50"/>
        <v>1</v>
      </c>
      <c r="N832">
        <f t="shared" si="51"/>
        <v>2019</v>
      </c>
      <c r="O832" t="str">
        <f>VLOOKUP(M832,month_lookup!A:B,2,FALSE)</f>
        <v>Jan</v>
      </c>
      <c r="P832">
        <f t="shared" si="52"/>
        <v>-37892.58</v>
      </c>
    </row>
    <row r="833" spans="1:16" x14ac:dyDescent="0.25">
      <c r="A833" t="s">
        <v>100</v>
      </c>
      <c r="B833" s="1">
        <v>65329.65</v>
      </c>
      <c r="C833">
        <v>53237.13</v>
      </c>
      <c r="D833" s="2">
        <v>43887</v>
      </c>
      <c r="E833" t="s">
        <v>23</v>
      </c>
      <c r="F833" t="s">
        <v>157</v>
      </c>
      <c r="G833" t="s">
        <v>102</v>
      </c>
      <c r="H833" t="s">
        <v>103</v>
      </c>
      <c r="I833" t="s">
        <v>14</v>
      </c>
      <c r="J833" t="s">
        <v>991</v>
      </c>
      <c r="L833">
        <f t="shared" si="49"/>
        <v>202002</v>
      </c>
      <c r="M833">
        <f t="shared" si="50"/>
        <v>2</v>
      </c>
      <c r="N833">
        <f t="shared" si="51"/>
        <v>2020</v>
      </c>
      <c r="O833" t="str">
        <f>VLOOKUP(M833,month_lookup!A:B,2,FALSE)</f>
        <v>Feb</v>
      </c>
      <c r="P833">
        <f t="shared" si="52"/>
        <v>65329.65</v>
      </c>
    </row>
    <row r="834" spans="1:16" x14ac:dyDescent="0.25">
      <c r="A834" t="s">
        <v>52</v>
      </c>
      <c r="B834" s="1">
        <v>167072.72</v>
      </c>
      <c r="C834">
        <v>135044.88</v>
      </c>
      <c r="D834" s="2">
        <v>43759</v>
      </c>
      <c r="E834" t="s">
        <v>23</v>
      </c>
      <c r="F834" t="s">
        <v>184</v>
      </c>
      <c r="G834" t="s">
        <v>54</v>
      </c>
      <c r="H834" t="s">
        <v>132</v>
      </c>
      <c r="I834" t="s">
        <v>27</v>
      </c>
      <c r="J834" t="s">
        <v>992</v>
      </c>
      <c r="L834">
        <f t="shared" si="49"/>
        <v>201910</v>
      </c>
      <c r="M834">
        <f t="shared" si="50"/>
        <v>10</v>
      </c>
      <c r="N834">
        <f t="shared" si="51"/>
        <v>2019</v>
      </c>
      <c r="O834" t="str">
        <f>VLOOKUP(M834,month_lookup!A:B,2,FALSE)</f>
        <v>Oct</v>
      </c>
      <c r="P834">
        <f t="shared" si="52"/>
        <v>-167072.72</v>
      </c>
    </row>
    <row r="835" spans="1:16" x14ac:dyDescent="0.25">
      <c r="A835" t="s">
        <v>52</v>
      </c>
      <c r="B835" s="1">
        <v>164243.32</v>
      </c>
      <c r="C835">
        <v>134121.1</v>
      </c>
      <c r="D835" s="2">
        <v>43605</v>
      </c>
      <c r="E835" t="s">
        <v>59</v>
      </c>
      <c r="F835" t="s">
        <v>111</v>
      </c>
      <c r="G835" t="s">
        <v>54</v>
      </c>
      <c r="H835" t="s">
        <v>71</v>
      </c>
      <c r="I835" t="s">
        <v>27</v>
      </c>
      <c r="J835" t="s">
        <v>993</v>
      </c>
      <c r="L835">
        <f t="shared" ref="L835:L898" si="53">YEAR(D835)*100+MONTH(D835)</f>
        <v>201905</v>
      </c>
      <c r="M835">
        <f t="shared" ref="M835:M898" si="54">MONTH(D835)</f>
        <v>5</v>
      </c>
      <c r="N835">
        <f t="shared" ref="N835:N898" si="55">YEAR(D835)</f>
        <v>2019</v>
      </c>
      <c r="O835" t="str">
        <f>VLOOKUP(M835,month_lookup!A:B,2,FALSE)</f>
        <v>May</v>
      </c>
      <c r="P835">
        <f t="shared" si="52"/>
        <v>-164243.32</v>
      </c>
    </row>
    <row r="836" spans="1:16" x14ac:dyDescent="0.25">
      <c r="A836" t="s">
        <v>52</v>
      </c>
      <c r="B836" s="1">
        <v>174951.18</v>
      </c>
      <c r="C836">
        <v>142690.18</v>
      </c>
      <c r="D836" s="2">
        <v>43726</v>
      </c>
      <c r="E836" t="s">
        <v>23</v>
      </c>
      <c r="F836" t="s">
        <v>67</v>
      </c>
      <c r="G836" t="s">
        <v>54</v>
      </c>
      <c r="H836" t="s">
        <v>71</v>
      </c>
      <c r="I836" t="s">
        <v>14</v>
      </c>
      <c r="J836" t="s">
        <v>994</v>
      </c>
      <c r="L836">
        <f t="shared" si="53"/>
        <v>201909</v>
      </c>
      <c r="M836">
        <f t="shared" si="54"/>
        <v>9</v>
      </c>
      <c r="N836">
        <f t="shared" si="55"/>
        <v>2019</v>
      </c>
      <c r="O836" t="str">
        <f>VLOOKUP(M836,month_lookup!A:B,2,FALSE)</f>
        <v>Sep</v>
      </c>
      <c r="P836">
        <f t="shared" si="52"/>
        <v>-174951.18</v>
      </c>
    </row>
    <row r="837" spans="1:16" x14ac:dyDescent="0.25">
      <c r="A837" t="s">
        <v>22</v>
      </c>
      <c r="B837" s="1">
        <v>98521.87</v>
      </c>
      <c r="C837">
        <v>84571.17</v>
      </c>
      <c r="D837" s="2">
        <v>43832</v>
      </c>
      <c r="E837" t="s">
        <v>23</v>
      </c>
      <c r="F837" t="s">
        <v>34</v>
      </c>
      <c r="G837" t="s">
        <v>25</v>
      </c>
      <c r="H837" t="s">
        <v>218</v>
      </c>
      <c r="I837" t="s">
        <v>27</v>
      </c>
      <c r="J837" t="s">
        <v>995</v>
      </c>
      <c r="L837">
        <f t="shared" si="53"/>
        <v>202001</v>
      </c>
      <c r="M837">
        <f t="shared" si="54"/>
        <v>1</v>
      </c>
      <c r="N837">
        <f t="shared" si="55"/>
        <v>2020</v>
      </c>
      <c r="O837" t="str">
        <f>VLOOKUP(M837,month_lookup!A:B,2,FALSE)</f>
        <v>Jan</v>
      </c>
      <c r="P837">
        <f t="shared" si="52"/>
        <v>98521.87</v>
      </c>
    </row>
    <row r="838" spans="1:16" x14ac:dyDescent="0.25">
      <c r="A838" t="s">
        <v>22</v>
      </c>
      <c r="B838" s="1">
        <v>69750.570000000007</v>
      </c>
      <c r="C838">
        <v>60731.82</v>
      </c>
      <c r="D838" s="2">
        <v>43543</v>
      </c>
      <c r="E838" t="s">
        <v>17</v>
      </c>
      <c r="F838" t="s">
        <v>34</v>
      </c>
      <c r="G838" t="s">
        <v>25</v>
      </c>
      <c r="H838" t="s">
        <v>89</v>
      </c>
      <c r="I838" t="s">
        <v>27</v>
      </c>
      <c r="J838" t="s">
        <v>996</v>
      </c>
      <c r="L838">
        <f t="shared" si="53"/>
        <v>201903</v>
      </c>
      <c r="M838">
        <f t="shared" si="54"/>
        <v>3</v>
      </c>
      <c r="N838">
        <f t="shared" si="55"/>
        <v>2019</v>
      </c>
      <c r="O838" t="str">
        <f>VLOOKUP(M838,month_lookup!A:B,2,FALSE)</f>
        <v>Mar</v>
      </c>
      <c r="P838">
        <f t="shared" si="52"/>
        <v>-69750.570000000007</v>
      </c>
    </row>
    <row r="839" spans="1:16" x14ac:dyDescent="0.25">
      <c r="A839" t="s">
        <v>22</v>
      </c>
      <c r="B839" s="1">
        <v>129022.02</v>
      </c>
      <c r="C839">
        <v>104585.25</v>
      </c>
      <c r="D839" s="2">
        <v>44002</v>
      </c>
      <c r="E839" t="s">
        <v>79</v>
      </c>
      <c r="F839" t="s">
        <v>154</v>
      </c>
      <c r="G839" t="s">
        <v>25</v>
      </c>
      <c r="H839" t="s">
        <v>75</v>
      </c>
      <c r="I839" t="s">
        <v>27</v>
      </c>
      <c r="J839" t="s">
        <v>997</v>
      </c>
      <c r="L839">
        <f t="shared" si="53"/>
        <v>202006</v>
      </c>
      <c r="M839">
        <f t="shared" si="54"/>
        <v>6</v>
      </c>
      <c r="N839">
        <f t="shared" si="55"/>
        <v>2020</v>
      </c>
      <c r="O839" t="str">
        <f>VLOOKUP(M839,month_lookup!A:B,2,FALSE)</f>
        <v>Jun</v>
      </c>
      <c r="P839">
        <f t="shared" ref="P839:P902" si="56">IF(N839=2020,B839,-B839)</f>
        <v>129022.02</v>
      </c>
    </row>
    <row r="840" spans="1:16" x14ac:dyDescent="0.25">
      <c r="A840" t="s">
        <v>22</v>
      </c>
      <c r="B840" s="1">
        <v>41805.53</v>
      </c>
      <c r="C840">
        <v>33352.449999999997</v>
      </c>
      <c r="D840" s="2">
        <v>43547</v>
      </c>
      <c r="E840" t="s">
        <v>50</v>
      </c>
      <c r="F840" t="s">
        <v>998</v>
      </c>
      <c r="G840" t="s">
        <v>25</v>
      </c>
      <c r="H840" t="s">
        <v>218</v>
      </c>
      <c r="I840" t="s">
        <v>37</v>
      </c>
      <c r="J840" t="s">
        <v>999</v>
      </c>
      <c r="L840">
        <f t="shared" si="53"/>
        <v>201903</v>
      </c>
      <c r="M840">
        <f t="shared" si="54"/>
        <v>3</v>
      </c>
      <c r="N840">
        <f t="shared" si="55"/>
        <v>2019</v>
      </c>
      <c r="O840" t="str">
        <f>VLOOKUP(M840,month_lookup!A:B,2,FALSE)</f>
        <v>Mar</v>
      </c>
      <c r="P840">
        <f t="shared" si="56"/>
        <v>-41805.53</v>
      </c>
    </row>
    <row r="841" spans="1:16" x14ac:dyDescent="0.25">
      <c r="A841" t="s">
        <v>16</v>
      </c>
      <c r="B841" s="1">
        <v>145809.65</v>
      </c>
      <c r="C841">
        <v>123136.25</v>
      </c>
      <c r="D841" s="2">
        <v>43676</v>
      </c>
      <c r="E841" t="s">
        <v>50</v>
      </c>
      <c r="F841" t="s">
        <v>184</v>
      </c>
      <c r="G841" t="s">
        <v>19</v>
      </c>
      <c r="H841" t="s">
        <v>352</v>
      </c>
      <c r="I841" t="s">
        <v>27</v>
      </c>
      <c r="J841" t="s">
        <v>1000</v>
      </c>
      <c r="L841">
        <f t="shared" si="53"/>
        <v>201907</v>
      </c>
      <c r="M841">
        <f t="shared" si="54"/>
        <v>7</v>
      </c>
      <c r="N841">
        <f t="shared" si="55"/>
        <v>2019</v>
      </c>
      <c r="O841" t="str">
        <f>VLOOKUP(M841,month_lookup!A:B,2,FALSE)</f>
        <v>Jul</v>
      </c>
      <c r="P841">
        <f t="shared" si="56"/>
        <v>-145809.65</v>
      </c>
    </row>
    <row r="842" spans="1:16" x14ac:dyDescent="0.25">
      <c r="A842" t="s">
        <v>52</v>
      </c>
      <c r="B842" s="1">
        <v>29443.71</v>
      </c>
      <c r="C842">
        <v>23958.35</v>
      </c>
      <c r="D842" s="2">
        <v>44133</v>
      </c>
      <c r="E842" t="s">
        <v>50</v>
      </c>
      <c r="F842" t="s">
        <v>34</v>
      </c>
      <c r="G842" t="s">
        <v>54</v>
      </c>
      <c r="H842" t="s">
        <v>132</v>
      </c>
      <c r="I842" t="s">
        <v>27</v>
      </c>
      <c r="J842" t="s">
        <v>1001</v>
      </c>
      <c r="L842">
        <f t="shared" si="53"/>
        <v>202010</v>
      </c>
      <c r="M842">
        <f t="shared" si="54"/>
        <v>10</v>
      </c>
      <c r="N842">
        <f t="shared" si="55"/>
        <v>2020</v>
      </c>
      <c r="O842" t="str">
        <f>VLOOKUP(M842,month_lookup!A:B,2,FALSE)</f>
        <v>Oct</v>
      </c>
      <c r="P842">
        <f t="shared" si="56"/>
        <v>29443.71</v>
      </c>
    </row>
    <row r="843" spans="1:16" x14ac:dyDescent="0.25">
      <c r="A843" t="s">
        <v>9</v>
      </c>
      <c r="B843" s="1">
        <v>138443.23000000001</v>
      </c>
      <c r="C843">
        <v>115101.7</v>
      </c>
      <c r="D843" s="2">
        <v>43630</v>
      </c>
      <c r="E843" t="s">
        <v>23</v>
      </c>
      <c r="F843" t="s">
        <v>605</v>
      </c>
      <c r="G843" t="s">
        <v>12</v>
      </c>
      <c r="H843" t="s">
        <v>81</v>
      </c>
      <c r="I843" t="s">
        <v>14</v>
      </c>
      <c r="J843" t="s">
        <v>1002</v>
      </c>
      <c r="L843">
        <f t="shared" si="53"/>
        <v>201906</v>
      </c>
      <c r="M843">
        <f t="shared" si="54"/>
        <v>6</v>
      </c>
      <c r="N843">
        <f t="shared" si="55"/>
        <v>2019</v>
      </c>
      <c r="O843" t="str">
        <f>VLOOKUP(M843,month_lookup!A:B,2,FALSE)</f>
        <v>Jun</v>
      </c>
      <c r="P843">
        <f t="shared" si="56"/>
        <v>-138443.23000000001</v>
      </c>
    </row>
    <row r="844" spans="1:16" x14ac:dyDescent="0.25">
      <c r="A844" t="s">
        <v>44</v>
      </c>
      <c r="B844" s="1">
        <v>102000.57</v>
      </c>
      <c r="C844">
        <v>87261.49</v>
      </c>
      <c r="D844" s="2">
        <v>43907</v>
      </c>
      <c r="E844" t="s">
        <v>17</v>
      </c>
      <c r="F844" t="s">
        <v>91</v>
      </c>
      <c r="G844" t="s">
        <v>47</v>
      </c>
      <c r="H844" t="s">
        <v>65</v>
      </c>
      <c r="I844" t="s">
        <v>27</v>
      </c>
      <c r="J844" t="s">
        <v>1003</v>
      </c>
      <c r="L844">
        <f t="shared" si="53"/>
        <v>202003</v>
      </c>
      <c r="M844">
        <f t="shared" si="54"/>
        <v>3</v>
      </c>
      <c r="N844">
        <f t="shared" si="55"/>
        <v>2020</v>
      </c>
      <c r="O844" t="str">
        <f>VLOOKUP(M844,month_lookup!A:B,2,FALSE)</f>
        <v>Mar</v>
      </c>
      <c r="P844">
        <f t="shared" si="56"/>
        <v>102000.57</v>
      </c>
    </row>
    <row r="845" spans="1:16" x14ac:dyDescent="0.25">
      <c r="A845" t="s">
        <v>22</v>
      </c>
      <c r="B845" s="1">
        <v>53181.88</v>
      </c>
      <c r="C845">
        <v>42316.82</v>
      </c>
      <c r="D845" s="2">
        <v>43836</v>
      </c>
      <c r="E845" t="s">
        <v>59</v>
      </c>
      <c r="F845" t="s">
        <v>157</v>
      </c>
      <c r="G845" t="s">
        <v>25</v>
      </c>
      <c r="H845" t="s">
        <v>89</v>
      </c>
      <c r="I845" t="s">
        <v>27</v>
      </c>
      <c r="J845" t="s">
        <v>1004</v>
      </c>
      <c r="L845">
        <f t="shared" si="53"/>
        <v>202001</v>
      </c>
      <c r="M845">
        <f t="shared" si="54"/>
        <v>1</v>
      </c>
      <c r="N845">
        <f t="shared" si="55"/>
        <v>2020</v>
      </c>
      <c r="O845" t="str">
        <f>VLOOKUP(M845,month_lookup!A:B,2,FALSE)</f>
        <v>Jan</v>
      </c>
      <c r="P845">
        <f t="shared" si="56"/>
        <v>53181.88</v>
      </c>
    </row>
    <row r="846" spans="1:16" x14ac:dyDescent="0.25">
      <c r="A846" t="s">
        <v>22</v>
      </c>
      <c r="B846" s="1">
        <v>99518.86</v>
      </c>
      <c r="C846">
        <v>81854.259999999995</v>
      </c>
      <c r="D846" s="2">
        <v>43536</v>
      </c>
      <c r="E846" t="s">
        <v>10</v>
      </c>
      <c r="F846" t="s">
        <v>209</v>
      </c>
      <c r="G846" t="s">
        <v>25</v>
      </c>
      <c r="H846" t="s">
        <v>75</v>
      </c>
      <c r="I846" t="s">
        <v>27</v>
      </c>
      <c r="J846" t="s">
        <v>1005</v>
      </c>
      <c r="L846">
        <f t="shared" si="53"/>
        <v>201903</v>
      </c>
      <c r="M846">
        <f t="shared" si="54"/>
        <v>3</v>
      </c>
      <c r="N846">
        <f t="shared" si="55"/>
        <v>2019</v>
      </c>
      <c r="O846" t="str">
        <f>VLOOKUP(M846,month_lookup!A:B,2,FALSE)</f>
        <v>Mar</v>
      </c>
      <c r="P846">
        <f t="shared" si="56"/>
        <v>-99518.86</v>
      </c>
    </row>
    <row r="847" spans="1:16" x14ac:dyDescent="0.25">
      <c r="A847" t="s">
        <v>22</v>
      </c>
      <c r="B847" s="1">
        <v>79288.03</v>
      </c>
      <c r="C847">
        <v>68536.570000000007</v>
      </c>
      <c r="D847" s="2">
        <v>43654</v>
      </c>
      <c r="E847" t="s">
        <v>23</v>
      </c>
      <c r="F847" t="s">
        <v>34</v>
      </c>
      <c r="G847" t="s">
        <v>25</v>
      </c>
      <c r="H847" t="s">
        <v>89</v>
      </c>
      <c r="I847" t="s">
        <v>27</v>
      </c>
      <c r="J847" t="s">
        <v>1006</v>
      </c>
      <c r="L847">
        <f t="shared" si="53"/>
        <v>201907</v>
      </c>
      <c r="M847">
        <f t="shared" si="54"/>
        <v>7</v>
      </c>
      <c r="N847">
        <f t="shared" si="55"/>
        <v>2019</v>
      </c>
      <c r="O847" t="str">
        <f>VLOOKUP(M847,month_lookup!A:B,2,FALSE)</f>
        <v>Jul</v>
      </c>
      <c r="P847">
        <f t="shared" si="56"/>
        <v>-79288.03</v>
      </c>
    </row>
    <row r="848" spans="1:16" x14ac:dyDescent="0.25">
      <c r="A848" t="s">
        <v>52</v>
      </c>
      <c r="B848" s="1">
        <v>111557.68</v>
      </c>
      <c r="C848">
        <v>92470.16</v>
      </c>
      <c r="D848" s="2">
        <v>43876</v>
      </c>
      <c r="E848" t="s">
        <v>10</v>
      </c>
      <c r="F848" t="s">
        <v>30</v>
      </c>
      <c r="G848" t="s">
        <v>54</v>
      </c>
      <c r="H848" t="s">
        <v>127</v>
      </c>
      <c r="I848" t="s">
        <v>27</v>
      </c>
      <c r="J848" t="s">
        <v>1007</v>
      </c>
      <c r="L848">
        <f t="shared" si="53"/>
        <v>202002</v>
      </c>
      <c r="M848">
        <f t="shared" si="54"/>
        <v>2</v>
      </c>
      <c r="N848">
        <f t="shared" si="55"/>
        <v>2020</v>
      </c>
      <c r="O848" t="str">
        <f>VLOOKUP(M848,month_lookup!A:B,2,FALSE)</f>
        <v>Feb</v>
      </c>
      <c r="P848">
        <f t="shared" si="56"/>
        <v>111557.68</v>
      </c>
    </row>
    <row r="849" spans="1:16" x14ac:dyDescent="0.25">
      <c r="A849" t="s">
        <v>83</v>
      </c>
      <c r="B849" s="1">
        <v>43008.69</v>
      </c>
      <c r="C849">
        <v>34458.559999999998</v>
      </c>
      <c r="D849" s="2">
        <v>43665</v>
      </c>
      <c r="E849" t="s">
        <v>50</v>
      </c>
      <c r="F849" t="s">
        <v>647</v>
      </c>
      <c r="G849" t="s">
        <v>84</v>
      </c>
      <c r="H849" t="s">
        <v>85</v>
      </c>
      <c r="I849" t="s">
        <v>27</v>
      </c>
      <c r="J849" t="s">
        <v>1008</v>
      </c>
      <c r="L849">
        <f t="shared" si="53"/>
        <v>201907</v>
      </c>
      <c r="M849">
        <f t="shared" si="54"/>
        <v>7</v>
      </c>
      <c r="N849">
        <f t="shared" si="55"/>
        <v>2019</v>
      </c>
      <c r="O849" t="str">
        <f>VLOOKUP(M849,month_lookup!A:B,2,FALSE)</f>
        <v>Jul</v>
      </c>
      <c r="P849">
        <f t="shared" si="56"/>
        <v>-43008.69</v>
      </c>
    </row>
    <row r="850" spans="1:16" x14ac:dyDescent="0.25">
      <c r="A850" t="s">
        <v>52</v>
      </c>
      <c r="B850" s="1">
        <v>154936.24</v>
      </c>
      <c r="C850">
        <v>135739.64000000001</v>
      </c>
      <c r="D850" s="2">
        <v>44011</v>
      </c>
      <c r="E850" t="s">
        <v>10</v>
      </c>
      <c r="F850" t="s">
        <v>113</v>
      </c>
      <c r="G850" t="s">
        <v>54</v>
      </c>
      <c r="H850" t="s">
        <v>132</v>
      </c>
      <c r="I850" t="s">
        <v>27</v>
      </c>
      <c r="J850" t="s">
        <v>1009</v>
      </c>
      <c r="L850">
        <f t="shared" si="53"/>
        <v>202006</v>
      </c>
      <c r="M850">
        <f t="shared" si="54"/>
        <v>6</v>
      </c>
      <c r="N850">
        <f t="shared" si="55"/>
        <v>2020</v>
      </c>
      <c r="O850" t="str">
        <f>VLOOKUP(M850,month_lookup!A:B,2,FALSE)</f>
        <v>Jun</v>
      </c>
      <c r="P850">
        <f t="shared" si="56"/>
        <v>154936.24</v>
      </c>
    </row>
    <row r="851" spans="1:16" x14ac:dyDescent="0.25">
      <c r="A851" t="s">
        <v>9</v>
      </c>
      <c r="B851" s="1">
        <v>115339.49</v>
      </c>
      <c r="C851">
        <v>100691.37</v>
      </c>
      <c r="D851" s="2">
        <v>43711</v>
      </c>
      <c r="E851" t="s">
        <v>61</v>
      </c>
      <c r="F851" t="s">
        <v>39</v>
      </c>
      <c r="G851" t="s">
        <v>12</v>
      </c>
      <c r="H851" t="s">
        <v>13</v>
      </c>
      <c r="I851" t="s">
        <v>14</v>
      </c>
      <c r="J851" t="s">
        <v>1010</v>
      </c>
      <c r="L851">
        <f t="shared" si="53"/>
        <v>201909</v>
      </c>
      <c r="M851">
        <f t="shared" si="54"/>
        <v>9</v>
      </c>
      <c r="N851">
        <f t="shared" si="55"/>
        <v>2019</v>
      </c>
      <c r="O851" t="str">
        <f>VLOOKUP(M851,month_lookup!A:B,2,FALSE)</f>
        <v>Sep</v>
      </c>
      <c r="P851">
        <f t="shared" si="56"/>
        <v>-115339.49</v>
      </c>
    </row>
    <row r="852" spans="1:16" x14ac:dyDescent="0.25">
      <c r="A852" t="s">
        <v>52</v>
      </c>
      <c r="B852" s="1">
        <v>65254.5</v>
      </c>
      <c r="C852">
        <v>53919.79</v>
      </c>
      <c r="D852" s="2">
        <v>43633</v>
      </c>
      <c r="E852" t="s">
        <v>17</v>
      </c>
      <c r="F852" t="s">
        <v>70</v>
      </c>
      <c r="G852" t="s">
        <v>54</v>
      </c>
      <c r="H852" t="s">
        <v>55</v>
      </c>
      <c r="I852" t="s">
        <v>27</v>
      </c>
      <c r="J852" t="s">
        <v>1011</v>
      </c>
      <c r="L852">
        <f t="shared" si="53"/>
        <v>201906</v>
      </c>
      <c r="M852">
        <f t="shared" si="54"/>
        <v>6</v>
      </c>
      <c r="N852">
        <f t="shared" si="55"/>
        <v>2019</v>
      </c>
      <c r="O852" t="str">
        <f>VLOOKUP(M852,month_lookup!A:B,2,FALSE)</f>
        <v>Jun</v>
      </c>
      <c r="P852">
        <f t="shared" si="56"/>
        <v>-65254.5</v>
      </c>
    </row>
    <row r="853" spans="1:16" x14ac:dyDescent="0.25">
      <c r="A853" t="s">
        <v>83</v>
      </c>
      <c r="B853" s="1">
        <v>50241.47</v>
      </c>
      <c r="C853">
        <v>43443.8</v>
      </c>
      <c r="D853" s="2">
        <v>44121</v>
      </c>
      <c r="E853" t="s">
        <v>10</v>
      </c>
      <c r="F853" t="s">
        <v>131</v>
      </c>
      <c r="G853" t="s">
        <v>84</v>
      </c>
      <c r="H853" t="s">
        <v>85</v>
      </c>
      <c r="I853" t="s">
        <v>37</v>
      </c>
      <c r="J853" t="s">
        <v>1012</v>
      </c>
      <c r="L853">
        <f t="shared" si="53"/>
        <v>202010</v>
      </c>
      <c r="M853">
        <f t="shared" si="54"/>
        <v>10</v>
      </c>
      <c r="N853">
        <f t="shared" si="55"/>
        <v>2020</v>
      </c>
      <c r="O853" t="str">
        <f>VLOOKUP(M853,month_lookup!A:B,2,FALSE)</f>
        <v>Oct</v>
      </c>
      <c r="P853">
        <f t="shared" si="56"/>
        <v>50241.47</v>
      </c>
    </row>
    <row r="854" spans="1:16" x14ac:dyDescent="0.25">
      <c r="A854" t="s">
        <v>44</v>
      </c>
      <c r="B854" s="1">
        <v>304337.49</v>
      </c>
      <c r="C854">
        <v>261730.24</v>
      </c>
      <c r="D854" s="2">
        <v>43803</v>
      </c>
      <c r="E854" t="s">
        <v>23</v>
      </c>
      <c r="F854" t="s">
        <v>152</v>
      </c>
      <c r="G854" t="s">
        <v>47</v>
      </c>
      <c r="H854" t="s">
        <v>65</v>
      </c>
      <c r="I854" t="s">
        <v>27</v>
      </c>
      <c r="J854" t="s">
        <v>1013</v>
      </c>
      <c r="L854">
        <f t="shared" si="53"/>
        <v>201912</v>
      </c>
      <c r="M854">
        <f t="shared" si="54"/>
        <v>12</v>
      </c>
      <c r="N854">
        <f t="shared" si="55"/>
        <v>2019</v>
      </c>
      <c r="O854" t="str">
        <f>VLOOKUP(M854,month_lookup!A:B,2,FALSE)</f>
        <v>Dec</v>
      </c>
      <c r="P854">
        <f t="shared" si="56"/>
        <v>-304337.49</v>
      </c>
    </row>
    <row r="855" spans="1:16" x14ac:dyDescent="0.25">
      <c r="A855" t="s">
        <v>100</v>
      </c>
      <c r="B855" s="1">
        <v>95960.77</v>
      </c>
      <c r="C855">
        <v>76519.12</v>
      </c>
      <c r="D855" s="2">
        <v>44115</v>
      </c>
      <c r="E855" t="s">
        <v>10</v>
      </c>
      <c r="F855" t="s">
        <v>30</v>
      </c>
      <c r="G855" t="s">
        <v>102</v>
      </c>
      <c r="H855" t="s">
        <v>161</v>
      </c>
      <c r="I855" t="s">
        <v>27</v>
      </c>
      <c r="J855" t="s">
        <v>1014</v>
      </c>
      <c r="L855">
        <f t="shared" si="53"/>
        <v>202010</v>
      </c>
      <c r="M855">
        <f t="shared" si="54"/>
        <v>10</v>
      </c>
      <c r="N855">
        <f t="shared" si="55"/>
        <v>2020</v>
      </c>
      <c r="O855" t="str">
        <f>VLOOKUP(M855,month_lookup!A:B,2,FALSE)</f>
        <v>Oct</v>
      </c>
      <c r="P855">
        <f t="shared" si="56"/>
        <v>95960.77</v>
      </c>
    </row>
    <row r="856" spans="1:16" x14ac:dyDescent="0.25">
      <c r="A856" t="s">
        <v>9</v>
      </c>
      <c r="B856" s="1">
        <v>152522.94</v>
      </c>
      <c r="C856">
        <v>122399.66</v>
      </c>
      <c r="D856" s="2">
        <v>43932</v>
      </c>
      <c r="E856" t="s">
        <v>61</v>
      </c>
      <c r="F856" t="s">
        <v>230</v>
      </c>
      <c r="G856" t="s">
        <v>12</v>
      </c>
      <c r="H856" t="s">
        <v>13</v>
      </c>
      <c r="I856" t="s">
        <v>27</v>
      </c>
      <c r="J856" t="s">
        <v>1015</v>
      </c>
      <c r="L856">
        <f t="shared" si="53"/>
        <v>202004</v>
      </c>
      <c r="M856">
        <f t="shared" si="54"/>
        <v>4</v>
      </c>
      <c r="N856">
        <f t="shared" si="55"/>
        <v>2020</v>
      </c>
      <c r="O856" t="str">
        <f>VLOOKUP(M856,month_lookup!A:B,2,FALSE)</f>
        <v>Apr</v>
      </c>
      <c r="P856">
        <f t="shared" si="56"/>
        <v>152522.94</v>
      </c>
    </row>
    <row r="857" spans="1:16" x14ac:dyDescent="0.25">
      <c r="A857" t="s">
        <v>9</v>
      </c>
      <c r="B857" s="1">
        <v>63196.98</v>
      </c>
      <c r="C857">
        <v>54671.71</v>
      </c>
      <c r="D857" s="2">
        <v>43573</v>
      </c>
      <c r="E857" t="s">
        <v>59</v>
      </c>
      <c r="F857" t="s">
        <v>149</v>
      </c>
      <c r="G857" t="s">
        <v>12</v>
      </c>
      <c r="H857" t="s">
        <v>117</v>
      </c>
      <c r="I857" t="s">
        <v>27</v>
      </c>
      <c r="J857" t="s">
        <v>1016</v>
      </c>
      <c r="L857">
        <f t="shared" si="53"/>
        <v>201904</v>
      </c>
      <c r="M857">
        <f t="shared" si="54"/>
        <v>4</v>
      </c>
      <c r="N857">
        <f t="shared" si="55"/>
        <v>2019</v>
      </c>
      <c r="O857" t="str">
        <f>VLOOKUP(M857,month_lookup!A:B,2,FALSE)</f>
        <v>Apr</v>
      </c>
      <c r="P857">
        <f t="shared" si="56"/>
        <v>-63196.98</v>
      </c>
    </row>
    <row r="858" spans="1:16" x14ac:dyDescent="0.25">
      <c r="A858" t="s">
        <v>9</v>
      </c>
      <c r="B858" s="1">
        <v>83119.87</v>
      </c>
      <c r="C858">
        <v>69604.58</v>
      </c>
      <c r="D858" s="2">
        <v>43494</v>
      </c>
      <c r="E858" t="s">
        <v>23</v>
      </c>
      <c r="F858" t="s">
        <v>184</v>
      </c>
      <c r="G858" t="s">
        <v>12</v>
      </c>
      <c r="H858" t="s">
        <v>81</v>
      </c>
      <c r="I858" t="s">
        <v>27</v>
      </c>
      <c r="J858" t="s">
        <v>1017</v>
      </c>
      <c r="L858">
        <f t="shared" si="53"/>
        <v>201901</v>
      </c>
      <c r="M858">
        <f t="shared" si="54"/>
        <v>1</v>
      </c>
      <c r="N858">
        <f t="shared" si="55"/>
        <v>2019</v>
      </c>
      <c r="O858" t="str">
        <f>VLOOKUP(M858,month_lookup!A:B,2,FALSE)</f>
        <v>Jan</v>
      </c>
      <c r="P858">
        <f t="shared" si="56"/>
        <v>-83119.87</v>
      </c>
    </row>
    <row r="859" spans="1:16" x14ac:dyDescent="0.25">
      <c r="A859" t="s">
        <v>52</v>
      </c>
      <c r="B859" s="1">
        <v>75483.45</v>
      </c>
      <c r="C859">
        <v>60077.279999999999</v>
      </c>
      <c r="D859" s="2">
        <v>43802</v>
      </c>
      <c r="E859" t="s">
        <v>50</v>
      </c>
      <c r="F859" t="s">
        <v>34</v>
      </c>
      <c r="G859" t="s">
        <v>54</v>
      </c>
      <c r="H859" t="s">
        <v>132</v>
      </c>
      <c r="I859" t="s">
        <v>27</v>
      </c>
      <c r="J859" t="s">
        <v>1018</v>
      </c>
      <c r="L859">
        <f t="shared" si="53"/>
        <v>201912</v>
      </c>
      <c r="M859">
        <f t="shared" si="54"/>
        <v>12</v>
      </c>
      <c r="N859">
        <f t="shared" si="55"/>
        <v>2019</v>
      </c>
      <c r="O859" t="str">
        <f>VLOOKUP(M859,month_lookup!A:B,2,FALSE)</f>
        <v>Dec</v>
      </c>
      <c r="P859">
        <f t="shared" si="56"/>
        <v>-75483.45</v>
      </c>
    </row>
    <row r="860" spans="1:16" x14ac:dyDescent="0.25">
      <c r="A860" t="s">
        <v>172</v>
      </c>
      <c r="B860" s="1">
        <v>65397.279999999999</v>
      </c>
      <c r="C860">
        <v>53920.06</v>
      </c>
      <c r="D860" s="2">
        <v>43910</v>
      </c>
      <c r="E860" t="s">
        <v>61</v>
      </c>
      <c r="F860" t="s">
        <v>466</v>
      </c>
      <c r="G860" t="s">
        <v>174</v>
      </c>
      <c r="H860" t="s">
        <v>175</v>
      </c>
      <c r="I860" t="s">
        <v>14</v>
      </c>
      <c r="J860" t="s">
        <v>1019</v>
      </c>
      <c r="L860">
        <f t="shared" si="53"/>
        <v>202003</v>
      </c>
      <c r="M860">
        <f t="shared" si="54"/>
        <v>3</v>
      </c>
      <c r="N860">
        <f t="shared" si="55"/>
        <v>2020</v>
      </c>
      <c r="O860" t="str">
        <f>VLOOKUP(M860,month_lookup!A:B,2,FALSE)</f>
        <v>Mar</v>
      </c>
      <c r="P860">
        <f t="shared" si="56"/>
        <v>65397.279999999999</v>
      </c>
    </row>
    <row r="861" spans="1:16" x14ac:dyDescent="0.25">
      <c r="A861" t="s">
        <v>52</v>
      </c>
      <c r="B861" s="1">
        <v>48890.14</v>
      </c>
      <c r="C861">
        <v>41180.160000000003</v>
      </c>
      <c r="D861" s="2">
        <v>43605</v>
      </c>
      <c r="E861" t="s">
        <v>23</v>
      </c>
      <c r="F861" t="s">
        <v>34</v>
      </c>
      <c r="G861" t="s">
        <v>54</v>
      </c>
      <c r="H861" t="s">
        <v>132</v>
      </c>
      <c r="I861" t="s">
        <v>27</v>
      </c>
      <c r="J861" t="s">
        <v>1020</v>
      </c>
      <c r="L861">
        <f t="shared" si="53"/>
        <v>201905</v>
      </c>
      <c r="M861">
        <f t="shared" si="54"/>
        <v>5</v>
      </c>
      <c r="N861">
        <f t="shared" si="55"/>
        <v>2019</v>
      </c>
      <c r="O861" t="str">
        <f>VLOOKUP(M861,month_lookup!A:B,2,FALSE)</f>
        <v>May</v>
      </c>
      <c r="P861">
        <f t="shared" si="56"/>
        <v>-48890.14</v>
      </c>
    </row>
    <row r="862" spans="1:16" x14ac:dyDescent="0.25">
      <c r="A862" t="s">
        <v>52</v>
      </c>
      <c r="B862" s="1">
        <v>80839.75</v>
      </c>
      <c r="C862">
        <v>63936.160000000003</v>
      </c>
      <c r="D862" s="2">
        <v>43972</v>
      </c>
      <c r="E862" t="s">
        <v>17</v>
      </c>
      <c r="F862" t="s">
        <v>11</v>
      </c>
      <c r="G862" t="s">
        <v>54</v>
      </c>
      <c r="H862" t="s">
        <v>127</v>
      </c>
      <c r="I862" t="s">
        <v>27</v>
      </c>
      <c r="J862" t="s">
        <v>1021</v>
      </c>
      <c r="L862">
        <f t="shared" si="53"/>
        <v>202005</v>
      </c>
      <c r="M862">
        <f t="shared" si="54"/>
        <v>5</v>
      </c>
      <c r="N862">
        <f t="shared" si="55"/>
        <v>2020</v>
      </c>
      <c r="O862" t="str">
        <f>VLOOKUP(M862,month_lookup!A:B,2,FALSE)</f>
        <v>May</v>
      </c>
      <c r="P862">
        <f t="shared" si="56"/>
        <v>80839.75</v>
      </c>
    </row>
    <row r="863" spans="1:16" x14ac:dyDescent="0.25">
      <c r="A863" t="s">
        <v>172</v>
      </c>
      <c r="B863" s="1">
        <v>79375.17</v>
      </c>
      <c r="C863">
        <v>64532.01</v>
      </c>
      <c r="D863" s="2">
        <v>43870</v>
      </c>
      <c r="E863" t="s">
        <v>29</v>
      </c>
      <c r="F863" t="s">
        <v>30</v>
      </c>
      <c r="G863" t="s">
        <v>174</v>
      </c>
      <c r="H863" t="s">
        <v>175</v>
      </c>
      <c r="I863" t="s">
        <v>14</v>
      </c>
      <c r="J863" t="s">
        <v>1022</v>
      </c>
      <c r="L863">
        <f t="shared" si="53"/>
        <v>202002</v>
      </c>
      <c r="M863">
        <f t="shared" si="54"/>
        <v>2</v>
      </c>
      <c r="N863">
        <f t="shared" si="55"/>
        <v>2020</v>
      </c>
      <c r="O863" t="str">
        <f>VLOOKUP(M863,month_lookup!A:B,2,FALSE)</f>
        <v>Feb</v>
      </c>
      <c r="P863">
        <f t="shared" si="56"/>
        <v>79375.17</v>
      </c>
    </row>
    <row r="864" spans="1:16" x14ac:dyDescent="0.25">
      <c r="A864" t="s">
        <v>100</v>
      </c>
      <c r="B864" s="1">
        <v>158011.29999999999</v>
      </c>
      <c r="C864">
        <v>137390.82999999999</v>
      </c>
      <c r="D864" s="2">
        <v>43796</v>
      </c>
      <c r="E864" t="s">
        <v>29</v>
      </c>
      <c r="F864" t="s">
        <v>93</v>
      </c>
      <c r="G864" t="s">
        <v>102</v>
      </c>
      <c r="H864" t="s">
        <v>161</v>
      </c>
      <c r="I864" t="s">
        <v>27</v>
      </c>
      <c r="J864" t="s">
        <v>1023</v>
      </c>
      <c r="L864">
        <f t="shared" si="53"/>
        <v>201911</v>
      </c>
      <c r="M864">
        <f t="shared" si="54"/>
        <v>11</v>
      </c>
      <c r="N864">
        <f t="shared" si="55"/>
        <v>2019</v>
      </c>
      <c r="O864" t="str">
        <f>VLOOKUP(M864,month_lookup!A:B,2,FALSE)</f>
        <v>Nov</v>
      </c>
      <c r="P864">
        <f t="shared" si="56"/>
        <v>-158011.29999999999</v>
      </c>
    </row>
    <row r="865" spans="1:16" x14ac:dyDescent="0.25">
      <c r="A865" t="s">
        <v>22</v>
      </c>
      <c r="B865" s="1">
        <v>155766.23000000001</v>
      </c>
      <c r="C865">
        <v>131529</v>
      </c>
      <c r="D865" s="2">
        <v>43978</v>
      </c>
      <c r="E865" t="s">
        <v>17</v>
      </c>
      <c r="F865" t="s">
        <v>301</v>
      </c>
      <c r="G865" t="s">
        <v>25</v>
      </c>
      <c r="H865" t="s">
        <v>31</v>
      </c>
      <c r="I865" t="s">
        <v>27</v>
      </c>
      <c r="J865" t="s">
        <v>1024</v>
      </c>
      <c r="L865">
        <f t="shared" si="53"/>
        <v>202005</v>
      </c>
      <c r="M865">
        <f t="shared" si="54"/>
        <v>5</v>
      </c>
      <c r="N865">
        <f t="shared" si="55"/>
        <v>2020</v>
      </c>
      <c r="O865" t="str">
        <f>VLOOKUP(M865,month_lookup!A:B,2,FALSE)</f>
        <v>May</v>
      </c>
      <c r="P865">
        <f t="shared" si="56"/>
        <v>155766.23000000001</v>
      </c>
    </row>
    <row r="866" spans="1:16" x14ac:dyDescent="0.25">
      <c r="A866" t="s">
        <v>52</v>
      </c>
      <c r="B866" s="1">
        <v>19366.75</v>
      </c>
      <c r="C866">
        <v>15857.49</v>
      </c>
      <c r="D866" s="2">
        <v>43918</v>
      </c>
      <c r="E866" t="s">
        <v>17</v>
      </c>
      <c r="F866" t="s">
        <v>63</v>
      </c>
      <c r="G866" t="s">
        <v>54</v>
      </c>
      <c r="H866" t="s">
        <v>143</v>
      </c>
      <c r="I866" t="s">
        <v>27</v>
      </c>
      <c r="J866" t="s">
        <v>1025</v>
      </c>
      <c r="L866">
        <f t="shared" si="53"/>
        <v>202003</v>
      </c>
      <c r="M866">
        <f t="shared" si="54"/>
        <v>3</v>
      </c>
      <c r="N866">
        <f t="shared" si="55"/>
        <v>2020</v>
      </c>
      <c r="O866" t="str">
        <f>VLOOKUP(M866,month_lookup!A:B,2,FALSE)</f>
        <v>Mar</v>
      </c>
      <c r="P866">
        <f t="shared" si="56"/>
        <v>19366.75</v>
      </c>
    </row>
    <row r="867" spans="1:16" x14ac:dyDescent="0.25">
      <c r="A867" t="s">
        <v>52</v>
      </c>
      <c r="B867" s="1">
        <v>45481.24</v>
      </c>
      <c r="C867">
        <v>37317.360000000001</v>
      </c>
      <c r="D867" s="2">
        <v>43763</v>
      </c>
      <c r="E867" t="s">
        <v>59</v>
      </c>
      <c r="F867" t="s">
        <v>125</v>
      </c>
      <c r="G867" t="s">
        <v>54</v>
      </c>
      <c r="H867" t="s">
        <v>127</v>
      </c>
      <c r="I867" t="s">
        <v>27</v>
      </c>
      <c r="J867" t="s">
        <v>1026</v>
      </c>
      <c r="L867">
        <f t="shared" si="53"/>
        <v>201910</v>
      </c>
      <c r="M867">
        <f t="shared" si="54"/>
        <v>10</v>
      </c>
      <c r="N867">
        <f t="shared" si="55"/>
        <v>2019</v>
      </c>
      <c r="O867" t="str">
        <f>VLOOKUP(M867,month_lookup!A:B,2,FALSE)</f>
        <v>Oct</v>
      </c>
      <c r="P867">
        <f t="shared" si="56"/>
        <v>-45481.24</v>
      </c>
    </row>
    <row r="868" spans="1:16" x14ac:dyDescent="0.25">
      <c r="A868" t="s">
        <v>9</v>
      </c>
      <c r="B868" s="1">
        <v>152747.92000000001</v>
      </c>
      <c r="C868">
        <v>130614.75</v>
      </c>
      <c r="D868" s="2">
        <v>43954</v>
      </c>
      <c r="E868" t="s">
        <v>50</v>
      </c>
      <c r="F868" t="s">
        <v>96</v>
      </c>
      <c r="G868" t="s">
        <v>12</v>
      </c>
      <c r="H868" t="s">
        <v>68</v>
      </c>
      <c r="I868" t="s">
        <v>27</v>
      </c>
      <c r="J868" t="s">
        <v>1027</v>
      </c>
      <c r="L868">
        <f t="shared" si="53"/>
        <v>202005</v>
      </c>
      <c r="M868">
        <f t="shared" si="54"/>
        <v>5</v>
      </c>
      <c r="N868">
        <f t="shared" si="55"/>
        <v>2020</v>
      </c>
      <c r="O868" t="str">
        <f>VLOOKUP(M868,month_lookup!A:B,2,FALSE)</f>
        <v>May</v>
      </c>
      <c r="P868">
        <f t="shared" si="56"/>
        <v>152747.92000000001</v>
      </c>
    </row>
    <row r="869" spans="1:16" x14ac:dyDescent="0.25">
      <c r="A869" t="s">
        <v>9</v>
      </c>
      <c r="B869" s="1">
        <v>255216</v>
      </c>
      <c r="C869">
        <v>211446.46</v>
      </c>
      <c r="D869" s="2">
        <v>43827</v>
      </c>
      <c r="E869" t="s">
        <v>23</v>
      </c>
      <c r="F869" t="s">
        <v>93</v>
      </c>
      <c r="G869" t="s">
        <v>12</v>
      </c>
      <c r="H869" t="s">
        <v>169</v>
      </c>
      <c r="I869" t="s">
        <v>27</v>
      </c>
      <c r="J869" t="s">
        <v>1028</v>
      </c>
      <c r="L869">
        <f t="shared" si="53"/>
        <v>201912</v>
      </c>
      <c r="M869">
        <f t="shared" si="54"/>
        <v>12</v>
      </c>
      <c r="N869">
        <f t="shared" si="55"/>
        <v>2019</v>
      </c>
      <c r="O869" t="str">
        <f>VLOOKUP(M869,month_lookup!A:B,2,FALSE)</f>
        <v>Dec</v>
      </c>
      <c r="P869">
        <f t="shared" si="56"/>
        <v>-255216</v>
      </c>
    </row>
    <row r="870" spans="1:16" x14ac:dyDescent="0.25">
      <c r="A870" t="s">
        <v>22</v>
      </c>
      <c r="B870" s="1">
        <v>154858</v>
      </c>
      <c r="C870">
        <v>135376.85999999999</v>
      </c>
      <c r="D870" s="2">
        <v>44034</v>
      </c>
      <c r="E870" t="s">
        <v>17</v>
      </c>
      <c r="F870" t="s">
        <v>209</v>
      </c>
      <c r="G870" t="s">
        <v>25</v>
      </c>
      <c r="H870" t="s">
        <v>26</v>
      </c>
      <c r="I870" t="s">
        <v>27</v>
      </c>
      <c r="J870" t="s">
        <v>1029</v>
      </c>
      <c r="L870">
        <f t="shared" si="53"/>
        <v>202007</v>
      </c>
      <c r="M870">
        <f t="shared" si="54"/>
        <v>7</v>
      </c>
      <c r="N870">
        <f t="shared" si="55"/>
        <v>2020</v>
      </c>
      <c r="O870" t="str">
        <f>VLOOKUP(M870,month_lookup!A:B,2,FALSE)</f>
        <v>Jul</v>
      </c>
      <c r="P870">
        <f t="shared" si="56"/>
        <v>154858</v>
      </c>
    </row>
    <row r="871" spans="1:16" x14ac:dyDescent="0.25">
      <c r="A871" t="s">
        <v>52</v>
      </c>
      <c r="B871" s="1">
        <v>250488.42</v>
      </c>
      <c r="C871">
        <v>214142.55</v>
      </c>
      <c r="D871" s="2">
        <v>43995</v>
      </c>
      <c r="E871" t="s">
        <v>50</v>
      </c>
      <c r="F871" t="s">
        <v>11</v>
      </c>
      <c r="G871" t="s">
        <v>54</v>
      </c>
      <c r="H871" t="s">
        <v>71</v>
      </c>
      <c r="I871" t="s">
        <v>27</v>
      </c>
      <c r="J871" t="s">
        <v>1030</v>
      </c>
      <c r="L871">
        <f t="shared" si="53"/>
        <v>202006</v>
      </c>
      <c r="M871">
        <f t="shared" si="54"/>
        <v>6</v>
      </c>
      <c r="N871">
        <f t="shared" si="55"/>
        <v>2020</v>
      </c>
      <c r="O871" t="str">
        <f>VLOOKUP(M871,month_lookup!A:B,2,FALSE)</f>
        <v>Jun</v>
      </c>
      <c r="P871">
        <f t="shared" si="56"/>
        <v>250488.42</v>
      </c>
    </row>
    <row r="872" spans="1:16" x14ac:dyDescent="0.25">
      <c r="A872" t="s">
        <v>9</v>
      </c>
      <c r="B872" s="1">
        <v>115151.22</v>
      </c>
      <c r="C872">
        <v>91430.07</v>
      </c>
      <c r="D872" s="2">
        <v>44129</v>
      </c>
      <c r="E872" t="s">
        <v>50</v>
      </c>
      <c r="F872" t="s">
        <v>39</v>
      </c>
      <c r="G872" t="s">
        <v>12</v>
      </c>
      <c r="H872" t="s">
        <v>13</v>
      </c>
      <c r="I872" t="s">
        <v>27</v>
      </c>
      <c r="J872" t="s">
        <v>1031</v>
      </c>
      <c r="L872">
        <f t="shared" si="53"/>
        <v>202010</v>
      </c>
      <c r="M872">
        <f t="shared" si="54"/>
        <v>10</v>
      </c>
      <c r="N872">
        <f t="shared" si="55"/>
        <v>2020</v>
      </c>
      <c r="O872" t="str">
        <f>VLOOKUP(M872,month_lookup!A:B,2,FALSE)</f>
        <v>Oct</v>
      </c>
      <c r="P872">
        <f t="shared" si="56"/>
        <v>115151.22</v>
      </c>
    </row>
    <row r="873" spans="1:16" x14ac:dyDescent="0.25">
      <c r="A873" t="s">
        <v>9</v>
      </c>
      <c r="B873" s="1">
        <v>57347.48</v>
      </c>
      <c r="C873">
        <v>50041.41</v>
      </c>
      <c r="D873" s="2">
        <v>44055</v>
      </c>
      <c r="E873" t="s">
        <v>29</v>
      </c>
      <c r="F873" t="s">
        <v>34</v>
      </c>
      <c r="G873" t="s">
        <v>12</v>
      </c>
      <c r="H873" t="s">
        <v>13</v>
      </c>
      <c r="I873" t="s">
        <v>27</v>
      </c>
      <c r="J873" t="s">
        <v>1032</v>
      </c>
      <c r="L873">
        <f t="shared" si="53"/>
        <v>202008</v>
      </c>
      <c r="M873">
        <f t="shared" si="54"/>
        <v>8</v>
      </c>
      <c r="N873">
        <f t="shared" si="55"/>
        <v>2020</v>
      </c>
      <c r="O873" t="str">
        <f>VLOOKUP(M873,month_lookup!A:B,2,FALSE)</f>
        <v>Aug</v>
      </c>
      <c r="P873">
        <f t="shared" si="56"/>
        <v>57347.48</v>
      </c>
    </row>
    <row r="874" spans="1:16" x14ac:dyDescent="0.25">
      <c r="A874" t="s">
        <v>22</v>
      </c>
      <c r="B874" s="1">
        <v>74790.02</v>
      </c>
      <c r="C874">
        <v>64992.53</v>
      </c>
      <c r="D874" s="2">
        <v>44001</v>
      </c>
      <c r="E874" t="s">
        <v>29</v>
      </c>
      <c r="F874" t="s">
        <v>253</v>
      </c>
      <c r="G874" t="s">
        <v>25</v>
      </c>
      <c r="H874" t="s">
        <v>75</v>
      </c>
      <c r="I874" t="s">
        <v>27</v>
      </c>
      <c r="J874" t="s">
        <v>1033</v>
      </c>
      <c r="L874">
        <f t="shared" si="53"/>
        <v>202006</v>
      </c>
      <c r="M874">
        <f t="shared" si="54"/>
        <v>6</v>
      </c>
      <c r="N874">
        <f t="shared" si="55"/>
        <v>2020</v>
      </c>
      <c r="O874" t="str">
        <f>VLOOKUP(M874,month_lookup!A:B,2,FALSE)</f>
        <v>Jun</v>
      </c>
      <c r="P874">
        <f t="shared" si="56"/>
        <v>74790.02</v>
      </c>
    </row>
    <row r="875" spans="1:16" x14ac:dyDescent="0.25">
      <c r="A875" t="s">
        <v>52</v>
      </c>
      <c r="B875" s="1">
        <v>72749.070000000007</v>
      </c>
      <c r="C875">
        <v>59108.62</v>
      </c>
      <c r="D875" s="2">
        <v>43485</v>
      </c>
      <c r="E875" t="s">
        <v>59</v>
      </c>
      <c r="F875" t="s">
        <v>34</v>
      </c>
      <c r="G875" t="s">
        <v>54</v>
      </c>
      <c r="H875" t="s">
        <v>71</v>
      </c>
      <c r="I875" t="s">
        <v>27</v>
      </c>
      <c r="J875" t="s">
        <v>1034</v>
      </c>
      <c r="L875">
        <f t="shared" si="53"/>
        <v>201901</v>
      </c>
      <c r="M875">
        <f t="shared" si="54"/>
        <v>1</v>
      </c>
      <c r="N875">
        <f t="shared" si="55"/>
        <v>2019</v>
      </c>
      <c r="O875" t="str">
        <f>VLOOKUP(M875,month_lookup!A:B,2,FALSE)</f>
        <v>Jan</v>
      </c>
      <c r="P875">
        <f t="shared" si="56"/>
        <v>-72749.070000000007</v>
      </c>
    </row>
    <row r="876" spans="1:16" x14ac:dyDescent="0.25">
      <c r="A876" t="s">
        <v>100</v>
      </c>
      <c r="B876" s="1">
        <v>128235.65</v>
      </c>
      <c r="C876">
        <v>103024.52</v>
      </c>
      <c r="D876" s="2">
        <v>44094</v>
      </c>
      <c r="E876" t="s">
        <v>10</v>
      </c>
      <c r="F876" t="s">
        <v>209</v>
      </c>
      <c r="G876" t="s">
        <v>102</v>
      </c>
      <c r="H876" t="s">
        <v>103</v>
      </c>
      <c r="I876" t="s">
        <v>27</v>
      </c>
      <c r="J876" t="s">
        <v>1035</v>
      </c>
      <c r="L876">
        <f t="shared" si="53"/>
        <v>202009</v>
      </c>
      <c r="M876">
        <f t="shared" si="54"/>
        <v>9</v>
      </c>
      <c r="N876">
        <f t="shared" si="55"/>
        <v>2020</v>
      </c>
      <c r="O876" t="str">
        <f>VLOOKUP(M876,month_lookup!A:B,2,FALSE)</f>
        <v>Sep</v>
      </c>
      <c r="P876">
        <f t="shared" si="56"/>
        <v>128235.65</v>
      </c>
    </row>
    <row r="877" spans="1:16" x14ac:dyDescent="0.25">
      <c r="A877" t="s">
        <v>9</v>
      </c>
      <c r="B877" s="1">
        <v>79088.7</v>
      </c>
      <c r="C877">
        <v>67415.210000000006</v>
      </c>
      <c r="D877" s="2">
        <v>43975</v>
      </c>
      <c r="E877" t="s">
        <v>29</v>
      </c>
      <c r="F877" t="s">
        <v>181</v>
      </c>
      <c r="G877" t="s">
        <v>12</v>
      </c>
      <c r="H877" t="s">
        <v>169</v>
      </c>
      <c r="I877" t="s">
        <v>27</v>
      </c>
      <c r="J877" t="s">
        <v>1036</v>
      </c>
      <c r="L877">
        <f t="shared" si="53"/>
        <v>202005</v>
      </c>
      <c r="M877">
        <f t="shared" si="54"/>
        <v>5</v>
      </c>
      <c r="N877">
        <f t="shared" si="55"/>
        <v>2020</v>
      </c>
      <c r="O877" t="str">
        <f>VLOOKUP(M877,month_lookup!A:B,2,FALSE)</f>
        <v>May</v>
      </c>
      <c r="P877">
        <f t="shared" si="56"/>
        <v>79088.7</v>
      </c>
    </row>
    <row r="878" spans="1:16" x14ac:dyDescent="0.25">
      <c r="A878" t="s">
        <v>44</v>
      </c>
      <c r="B878" s="1">
        <v>124537.47</v>
      </c>
      <c r="C878">
        <v>105881.76</v>
      </c>
      <c r="D878" s="2">
        <v>43732</v>
      </c>
      <c r="E878" t="s">
        <v>23</v>
      </c>
      <c r="F878" t="s">
        <v>18</v>
      </c>
      <c r="G878" t="s">
        <v>47</v>
      </c>
      <c r="H878" t="s">
        <v>48</v>
      </c>
      <c r="I878" t="s">
        <v>27</v>
      </c>
      <c r="J878" t="s">
        <v>1037</v>
      </c>
      <c r="L878">
        <f t="shared" si="53"/>
        <v>201909</v>
      </c>
      <c r="M878">
        <f t="shared" si="54"/>
        <v>9</v>
      </c>
      <c r="N878">
        <f t="shared" si="55"/>
        <v>2019</v>
      </c>
      <c r="O878" t="str">
        <f>VLOOKUP(M878,month_lookup!A:B,2,FALSE)</f>
        <v>Sep</v>
      </c>
      <c r="P878">
        <f t="shared" si="56"/>
        <v>-124537.47</v>
      </c>
    </row>
    <row r="879" spans="1:16" x14ac:dyDescent="0.25">
      <c r="A879" t="s">
        <v>9</v>
      </c>
      <c r="B879" s="1">
        <v>161192.45000000001</v>
      </c>
      <c r="C879">
        <v>135965.82999999999</v>
      </c>
      <c r="D879" s="2">
        <v>43650</v>
      </c>
      <c r="E879" t="s">
        <v>23</v>
      </c>
      <c r="F879" t="s">
        <v>63</v>
      </c>
      <c r="G879" t="s">
        <v>12</v>
      </c>
      <c r="H879" t="s">
        <v>169</v>
      </c>
      <c r="I879" t="s">
        <v>27</v>
      </c>
      <c r="J879" t="s">
        <v>1038</v>
      </c>
      <c r="L879">
        <f t="shared" si="53"/>
        <v>201907</v>
      </c>
      <c r="M879">
        <f t="shared" si="54"/>
        <v>7</v>
      </c>
      <c r="N879">
        <f t="shared" si="55"/>
        <v>2019</v>
      </c>
      <c r="O879" t="str">
        <f>VLOOKUP(M879,month_lookup!A:B,2,FALSE)</f>
        <v>Jul</v>
      </c>
      <c r="P879">
        <f t="shared" si="56"/>
        <v>-161192.45000000001</v>
      </c>
    </row>
    <row r="880" spans="1:16" x14ac:dyDescent="0.25">
      <c r="A880" t="s">
        <v>52</v>
      </c>
      <c r="B880" s="1">
        <v>109697.86</v>
      </c>
      <c r="C880">
        <v>89853.52</v>
      </c>
      <c r="D880" s="2">
        <v>43670</v>
      </c>
      <c r="E880" t="s">
        <v>29</v>
      </c>
      <c r="F880" t="s">
        <v>109</v>
      </c>
      <c r="G880" t="s">
        <v>54</v>
      </c>
      <c r="H880" t="s">
        <v>127</v>
      </c>
      <c r="I880" t="s">
        <v>27</v>
      </c>
      <c r="J880" t="s">
        <v>1039</v>
      </c>
      <c r="L880">
        <f t="shared" si="53"/>
        <v>201907</v>
      </c>
      <c r="M880">
        <f t="shared" si="54"/>
        <v>7</v>
      </c>
      <c r="N880">
        <f t="shared" si="55"/>
        <v>2019</v>
      </c>
      <c r="O880" t="str">
        <f>VLOOKUP(M880,month_lookup!A:B,2,FALSE)</f>
        <v>Jul</v>
      </c>
      <c r="P880">
        <f t="shared" si="56"/>
        <v>-109697.86</v>
      </c>
    </row>
    <row r="881" spans="1:16" x14ac:dyDescent="0.25">
      <c r="A881" t="s">
        <v>52</v>
      </c>
      <c r="B881" s="1">
        <v>57276.26</v>
      </c>
      <c r="C881">
        <v>49223.22</v>
      </c>
      <c r="D881" s="2">
        <v>43925</v>
      </c>
      <c r="E881" t="s">
        <v>50</v>
      </c>
      <c r="F881" t="s">
        <v>34</v>
      </c>
      <c r="G881" t="s">
        <v>54</v>
      </c>
      <c r="H881" t="s">
        <v>71</v>
      </c>
      <c r="I881" t="s">
        <v>27</v>
      </c>
      <c r="J881" t="s">
        <v>1040</v>
      </c>
      <c r="L881">
        <f t="shared" si="53"/>
        <v>202004</v>
      </c>
      <c r="M881">
        <f t="shared" si="54"/>
        <v>4</v>
      </c>
      <c r="N881">
        <f t="shared" si="55"/>
        <v>2020</v>
      </c>
      <c r="O881" t="str">
        <f>VLOOKUP(M881,month_lookup!A:B,2,FALSE)</f>
        <v>Apr</v>
      </c>
      <c r="P881">
        <f t="shared" si="56"/>
        <v>57276.26</v>
      </c>
    </row>
    <row r="882" spans="1:16" x14ac:dyDescent="0.25">
      <c r="A882" t="s">
        <v>83</v>
      </c>
      <c r="B882" s="1">
        <v>149956.93</v>
      </c>
      <c r="C882">
        <v>130087.64</v>
      </c>
      <c r="D882" s="2">
        <v>44112</v>
      </c>
      <c r="E882" t="s">
        <v>17</v>
      </c>
      <c r="F882" t="s">
        <v>149</v>
      </c>
      <c r="G882" t="s">
        <v>84</v>
      </c>
      <c r="H882" t="s">
        <v>85</v>
      </c>
      <c r="I882" t="s">
        <v>27</v>
      </c>
      <c r="J882" t="s">
        <v>1041</v>
      </c>
      <c r="L882">
        <f t="shared" si="53"/>
        <v>202010</v>
      </c>
      <c r="M882">
        <f t="shared" si="54"/>
        <v>10</v>
      </c>
      <c r="N882">
        <f t="shared" si="55"/>
        <v>2020</v>
      </c>
      <c r="O882" t="str">
        <f>VLOOKUP(M882,month_lookup!A:B,2,FALSE)</f>
        <v>Oct</v>
      </c>
      <c r="P882">
        <f t="shared" si="56"/>
        <v>149956.93</v>
      </c>
    </row>
    <row r="883" spans="1:16" x14ac:dyDescent="0.25">
      <c r="A883" t="s">
        <v>137</v>
      </c>
      <c r="B883" s="1">
        <v>127075.41</v>
      </c>
      <c r="C883">
        <v>110924.13</v>
      </c>
      <c r="D883" s="2">
        <v>43732</v>
      </c>
      <c r="E883" t="s">
        <v>23</v>
      </c>
      <c r="F883" t="s">
        <v>122</v>
      </c>
      <c r="G883" t="s">
        <v>139</v>
      </c>
      <c r="H883" t="s">
        <v>140</v>
      </c>
      <c r="I883" t="s">
        <v>27</v>
      </c>
      <c r="J883" t="s">
        <v>1042</v>
      </c>
      <c r="L883">
        <f t="shared" si="53"/>
        <v>201909</v>
      </c>
      <c r="M883">
        <f t="shared" si="54"/>
        <v>9</v>
      </c>
      <c r="N883">
        <f t="shared" si="55"/>
        <v>2019</v>
      </c>
      <c r="O883" t="str">
        <f>VLOOKUP(M883,month_lookup!A:B,2,FALSE)</f>
        <v>Sep</v>
      </c>
      <c r="P883">
        <f t="shared" si="56"/>
        <v>-127075.41</v>
      </c>
    </row>
    <row r="884" spans="1:16" x14ac:dyDescent="0.25">
      <c r="A884" t="s">
        <v>9</v>
      </c>
      <c r="B884" s="1">
        <v>28755.32</v>
      </c>
      <c r="C884">
        <v>23938.799999999999</v>
      </c>
      <c r="D884" s="2">
        <v>43748</v>
      </c>
      <c r="E884" t="s">
        <v>10</v>
      </c>
      <c r="F884" t="s">
        <v>101</v>
      </c>
      <c r="G884" t="s">
        <v>12</v>
      </c>
      <c r="H884" t="s">
        <v>13</v>
      </c>
      <c r="I884" t="s">
        <v>27</v>
      </c>
      <c r="J884" t="s">
        <v>1043</v>
      </c>
      <c r="L884">
        <f t="shared" si="53"/>
        <v>201910</v>
      </c>
      <c r="M884">
        <f t="shared" si="54"/>
        <v>10</v>
      </c>
      <c r="N884">
        <f t="shared" si="55"/>
        <v>2019</v>
      </c>
      <c r="O884" t="str">
        <f>VLOOKUP(M884,month_lookup!A:B,2,FALSE)</f>
        <v>Oct</v>
      </c>
      <c r="P884">
        <f t="shared" si="56"/>
        <v>-28755.32</v>
      </c>
    </row>
    <row r="885" spans="1:16" x14ac:dyDescent="0.25">
      <c r="A885" t="s">
        <v>22</v>
      </c>
      <c r="B885" s="1">
        <v>178027.46</v>
      </c>
      <c r="C885">
        <v>144985.56</v>
      </c>
      <c r="D885" s="2">
        <v>43834</v>
      </c>
      <c r="E885" t="s">
        <v>50</v>
      </c>
      <c r="F885" t="s">
        <v>63</v>
      </c>
      <c r="G885" t="s">
        <v>25</v>
      </c>
      <c r="H885" t="s">
        <v>75</v>
      </c>
      <c r="I885" t="s">
        <v>27</v>
      </c>
      <c r="J885" t="s">
        <v>1044</v>
      </c>
      <c r="L885">
        <f t="shared" si="53"/>
        <v>202001</v>
      </c>
      <c r="M885">
        <f t="shared" si="54"/>
        <v>1</v>
      </c>
      <c r="N885">
        <f t="shared" si="55"/>
        <v>2020</v>
      </c>
      <c r="O885" t="str">
        <f>VLOOKUP(M885,month_lookup!A:B,2,FALSE)</f>
        <v>Jan</v>
      </c>
      <c r="P885">
        <f t="shared" si="56"/>
        <v>178027.46</v>
      </c>
    </row>
    <row r="886" spans="1:16" x14ac:dyDescent="0.25">
      <c r="A886" t="s">
        <v>100</v>
      </c>
      <c r="B886" s="1">
        <v>152231.85999999999</v>
      </c>
      <c r="C886">
        <v>122303.08</v>
      </c>
      <c r="D886" s="2">
        <v>43593</v>
      </c>
      <c r="E886" t="s">
        <v>59</v>
      </c>
      <c r="F886" t="s">
        <v>173</v>
      </c>
      <c r="G886" t="s">
        <v>102</v>
      </c>
      <c r="H886" t="s">
        <v>103</v>
      </c>
      <c r="I886" t="s">
        <v>27</v>
      </c>
      <c r="J886" t="s">
        <v>1045</v>
      </c>
      <c r="L886">
        <f t="shared" si="53"/>
        <v>201905</v>
      </c>
      <c r="M886">
        <f t="shared" si="54"/>
        <v>5</v>
      </c>
      <c r="N886">
        <f t="shared" si="55"/>
        <v>2019</v>
      </c>
      <c r="O886" t="str">
        <f>VLOOKUP(M886,month_lookup!A:B,2,FALSE)</f>
        <v>May</v>
      </c>
      <c r="P886">
        <f t="shared" si="56"/>
        <v>-152231.85999999999</v>
      </c>
    </row>
    <row r="887" spans="1:16" x14ac:dyDescent="0.25">
      <c r="A887" t="s">
        <v>9</v>
      </c>
      <c r="B887" s="1">
        <v>53957.42</v>
      </c>
      <c r="C887">
        <v>46905.19</v>
      </c>
      <c r="D887" s="2">
        <v>43610</v>
      </c>
      <c r="E887" t="s">
        <v>59</v>
      </c>
      <c r="F887" t="s">
        <v>34</v>
      </c>
      <c r="G887" t="s">
        <v>12</v>
      </c>
      <c r="H887" t="s">
        <v>117</v>
      </c>
      <c r="I887" t="s">
        <v>27</v>
      </c>
      <c r="J887" t="s">
        <v>1046</v>
      </c>
      <c r="L887">
        <f t="shared" si="53"/>
        <v>201905</v>
      </c>
      <c r="M887">
        <f t="shared" si="54"/>
        <v>5</v>
      </c>
      <c r="N887">
        <f t="shared" si="55"/>
        <v>2019</v>
      </c>
      <c r="O887" t="str">
        <f>VLOOKUP(M887,month_lookup!A:B,2,FALSE)</f>
        <v>May</v>
      </c>
      <c r="P887">
        <f t="shared" si="56"/>
        <v>-53957.42</v>
      </c>
    </row>
    <row r="888" spans="1:16" x14ac:dyDescent="0.25">
      <c r="A888" t="s">
        <v>22</v>
      </c>
      <c r="B888" s="1">
        <v>80474.78</v>
      </c>
      <c r="C888">
        <v>66568.740000000005</v>
      </c>
      <c r="D888" s="2">
        <v>43607</v>
      </c>
      <c r="E888" t="s">
        <v>23</v>
      </c>
      <c r="F888" t="s">
        <v>39</v>
      </c>
      <c r="G888" t="s">
        <v>25</v>
      </c>
      <c r="H888" t="s">
        <v>89</v>
      </c>
      <c r="I888" t="s">
        <v>27</v>
      </c>
      <c r="J888" t="s">
        <v>1047</v>
      </c>
      <c r="L888">
        <f t="shared" si="53"/>
        <v>201905</v>
      </c>
      <c r="M888">
        <f t="shared" si="54"/>
        <v>5</v>
      </c>
      <c r="N888">
        <f t="shared" si="55"/>
        <v>2019</v>
      </c>
      <c r="O888" t="str">
        <f>VLOOKUP(M888,month_lookup!A:B,2,FALSE)</f>
        <v>May</v>
      </c>
      <c r="P888">
        <f t="shared" si="56"/>
        <v>-80474.78</v>
      </c>
    </row>
    <row r="889" spans="1:16" x14ac:dyDescent="0.25">
      <c r="A889" t="s">
        <v>100</v>
      </c>
      <c r="B889" s="1">
        <v>145439.65</v>
      </c>
      <c r="C889">
        <v>123710.97</v>
      </c>
      <c r="D889" s="2">
        <v>44107</v>
      </c>
      <c r="E889" t="s">
        <v>59</v>
      </c>
      <c r="F889" t="s">
        <v>367</v>
      </c>
      <c r="G889" t="s">
        <v>102</v>
      </c>
      <c r="H889" t="s">
        <v>161</v>
      </c>
      <c r="I889" t="s">
        <v>27</v>
      </c>
      <c r="J889" t="s">
        <v>1048</v>
      </c>
      <c r="L889">
        <f t="shared" si="53"/>
        <v>202010</v>
      </c>
      <c r="M889">
        <f t="shared" si="54"/>
        <v>10</v>
      </c>
      <c r="N889">
        <f t="shared" si="55"/>
        <v>2020</v>
      </c>
      <c r="O889" t="str">
        <f>VLOOKUP(M889,month_lookup!A:B,2,FALSE)</f>
        <v>Oct</v>
      </c>
      <c r="P889">
        <f t="shared" si="56"/>
        <v>145439.65</v>
      </c>
    </row>
    <row r="890" spans="1:16" x14ac:dyDescent="0.25">
      <c r="A890" t="s">
        <v>52</v>
      </c>
      <c r="B890" s="1">
        <v>84035.82</v>
      </c>
      <c r="C890">
        <v>71329.600000000006</v>
      </c>
      <c r="D890" s="2">
        <v>44131</v>
      </c>
      <c r="E890" t="s">
        <v>10</v>
      </c>
      <c r="F890" t="s">
        <v>34</v>
      </c>
      <c r="G890" t="s">
        <v>54</v>
      </c>
      <c r="H890" t="s">
        <v>55</v>
      </c>
      <c r="I890" t="s">
        <v>37</v>
      </c>
      <c r="J890" t="s">
        <v>1049</v>
      </c>
      <c r="L890">
        <f t="shared" si="53"/>
        <v>202010</v>
      </c>
      <c r="M890">
        <f t="shared" si="54"/>
        <v>10</v>
      </c>
      <c r="N890">
        <f t="shared" si="55"/>
        <v>2020</v>
      </c>
      <c r="O890" t="str">
        <f>VLOOKUP(M890,month_lookup!A:B,2,FALSE)</f>
        <v>Oct</v>
      </c>
      <c r="P890">
        <f t="shared" si="56"/>
        <v>84035.82</v>
      </c>
    </row>
    <row r="891" spans="1:16" x14ac:dyDescent="0.25">
      <c r="A891" t="s">
        <v>33</v>
      </c>
      <c r="B891" s="1">
        <v>68288.679999999993</v>
      </c>
      <c r="C891">
        <v>56754.720000000001</v>
      </c>
      <c r="D891" s="2">
        <v>44101</v>
      </c>
      <c r="E891" t="s">
        <v>29</v>
      </c>
      <c r="F891" t="s">
        <v>34</v>
      </c>
      <c r="G891" t="s">
        <v>35</v>
      </c>
      <c r="H891" t="s">
        <v>36</v>
      </c>
      <c r="I891" t="s">
        <v>27</v>
      </c>
      <c r="J891" t="s">
        <v>1050</v>
      </c>
      <c r="L891">
        <f t="shared" si="53"/>
        <v>202009</v>
      </c>
      <c r="M891">
        <f t="shared" si="54"/>
        <v>9</v>
      </c>
      <c r="N891">
        <f t="shared" si="55"/>
        <v>2020</v>
      </c>
      <c r="O891" t="str">
        <f>VLOOKUP(M891,month_lookup!A:B,2,FALSE)</f>
        <v>Sep</v>
      </c>
      <c r="P891">
        <f t="shared" si="56"/>
        <v>68288.679999999993</v>
      </c>
    </row>
    <row r="892" spans="1:16" x14ac:dyDescent="0.25">
      <c r="A892" t="s">
        <v>9</v>
      </c>
      <c r="B892" s="1">
        <v>100578.6</v>
      </c>
      <c r="C892">
        <v>83208.679999999993</v>
      </c>
      <c r="D892" s="2">
        <v>43479</v>
      </c>
      <c r="E892" t="s">
        <v>79</v>
      </c>
      <c r="F892" t="s">
        <v>122</v>
      </c>
      <c r="G892" t="s">
        <v>12</v>
      </c>
      <c r="H892" t="s">
        <v>117</v>
      </c>
      <c r="I892" t="s">
        <v>27</v>
      </c>
      <c r="J892" t="s">
        <v>1051</v>
      </c>
      <c r="L892">
        <f t="shared" si="53"/>
        <v>201901</v>
      </c>
      <c r="M892">
        <f t="shared" si="54"/>
        <v>1</v>
      </c>
      <c r="N892">
        <f t="shared" si="55"/>
        <v>2019</v>
      </c>
      <c r="O892" t="str">
        <f>VLOOKUP(M892,month_lookup!A:B,2,FALSE)</f>
        <v>Jan</v>
      </c>
      <c r="P892">
        <f t="shared" si="56"/>
        <v>-100578.6</v>
      </c>
    </row>
    <row r="893" spans="1:16" x14ac:dyDescent="0.25">
      <c r="A893" t="s">
        <v>52</v>
      </c>
      <c r="B893" s="1">
        <v>94925</v>
      </c>
      <c r="C893">
        <v>77572.710000000006</v>
      </c>
      <c r="D893" s="2">
        <v>43738</v>
      </c>
      <c r="E893" t="s">
        <v>45</v>
      </c>
      <c r="F893" t="s">
        <v>42</v>
      </c>
      <c r="G893" t="s">
        <v>54</v>
      </c>
      <c r="H893" t="s">
        <v>143</v>
      </c>
      <c r="I893" t="s">
        <v>14</v>
      </c>
      <c r="J893" t="s">
        <v>1052</v>
      </c>
      <c r="L893">
        <f t="shared" si="53"/>
        <v>201909</v>
      </c>
      <c r="M893">
        <f t="shared" si="54"/>
        <v>9</v>
      </c>
      <c r="N893">
        <f t="shared" si="55"/>
        <v>2019</v>
      </c>
      <c r="O893" t="str">
        <f>VLOOKUP(M893,month_lookup!A:B,2,FALSE)</f>
        <v>Sep</v>
      </c>
      <c r="P893">
        <f t="shared" si="56"/>
        <v>-94925</v>
      </c>
    </row>
    <row r="894" spans="1:16" x14ac:dyDescent="0.25">
      <c r="A894" t="s">
        <v>52</v>
      </c>
      <c r="B894" s="1">
        <v>105464.41</v>
      </c>
      <c r="C894">
        <v>84761.75</v>
      </c>
      <c r="D894" s="2">
        <v>43704</v>
      </c>
      <c r="E894" t="s">
        <v>10</v>
      </c>
      <c r="F894" t="s">
        <v>131</v>
      </c>
      <c r="G894" t="s">
        <v>54</v>
      </c>
      <c r="H894" t="s">
        <v>143</v>
      </c>
      <c r="I894" t="s">
        <v>27</v>
      </c>
      <c r="J894" t="s">
        <v>1053</v>
      </c>
      <c r="L894">
        <f t="shared" si="53"/>
        <v>201908</v>
      </c>
      <c r="M894">
        <f t="shared" si="54"/>
        <v>8</v>
      </c>
      <c r="N894">
        <f t="shared" si="55"/>
        <v>2019</v>
      </c>
      <c r="O894" t="str">
        <f>VLOOKUP(M894,month_lookup!A:B,2,FALSE)</f>
        <v>Aug</v>
      </c>
      <c r="P894">
        <f t="shared" si="56"/>
        <v>-105464.41</v>
      </c>
    </row>
    <row r="895" spans="1:16" x14ac:dyDescent="0.25">
      <c r="A895" t="s">
        <v>52</v>
      </c>
      <c r="B895" s="1">
        <v>155827.29999999999</v>
      </c>
      <c r="C895">
        <v>126360.36</v>
      </c>
      <c r="D895" s="2">
        <v>43585</v>
      </c>
      <c r="E895" t="s">
        <v>50</v>
      </c>
      <c r="F895" t="s">
        <v>18</v>
      </c>
      <c r="G895" t="s">
        <v>54</v>
      </c>
      <c r="H895" t="s">
        <v>143</v>
      </c>
      <c r="I895" t="s">
        <v>37</v>
      </c>
      <c r="J895" t="s">
        <v>1054</v>
      </c>
      <c r="L895">
        <f t="shared" si="53"/>
        <v>201904</v>
      </c>
      <c r="M895">
        <f t="shared" si="54"/>
        <v>4</v>
      </c>
      <c r="N895">
        <f t="shared" si="55"/>
        <v>2019</v>
      </c>
      <c r="O895" t="str">
        <f>VLOOKUP(M895,month_lookup!A:B,2,FALSE)</f>
        <v>Apr</v>
      </c>
      <c r="P895">
        <f t="shared" si="56"/>
        <v>-155827.29999999999</v>
      </c>
    </row>
    <row r="896" spans="1:16" x14ac:dyDescent="0.25">
      <c r="A896" t="s">
        <v>22</v>
      </c>
      <c r="B896" s="1">
        <v>90994.31</v>
      </c>
      <c r="C896">
        <v>72540.66</v>
      </c>
      <c r="D896" s="2">
        <v>43960</v>
      </c>
      <c r="E896" t="s">
        <v>79</v>
      </c>
      <c r="F896" t="s">
        <v>177</v>
      </c>
      <c r="G896" t="s">
        <v>25</v>
      </c>
      <c r="H896" t="s">
        <v>218</v>
      </c>
      <c r="I896" t="s">
        <v>27</v>
      </c>
      <c r="J896" t="s">
        <v>1055</v>
      </c>
      <c r="L896">
        <f t="shared" si="53"/>
        <v>202005</v>
      </c>
      <c r="M896">
        <f t="shared" si="54"/>
        <v>5</v>
      </c>
      <c r="N896">
        <f t="shared" si="55"/>
        <v>2020</v>
      </c>
      <c r="O896" t="str">
        <f>VLOOKUP(M896,month_lookup!A:B,2,FALSE)</f>
        <v>May</v>
      </c>
      <c r="P896">
        <f t="shared" si="56"/>
        <v>90994.31</v>
      </c>
    </row>
    <row r="897" spans="1:16" x14ac:dyDescent="0.25">
      <c r="A897" t="s">
        <v>22</v>
      </c>
      <c r="B897" s="1">
        <v>32779.67</v>
      </c>
      <c r="C897">
        <v>26800.66</v>
      </c>
      <c r="D897" s="2">
        <v>43912</v>
      </c>
      <c r="E897" t="s">
        <v>61</v>
      </c>
      <c r="F897" t="s">
        <v>233</v>
      </c>
      <c r="G897" t="s">
        <v>25</v>
      </c>
      <c r="H897" t="s">
        <v>31</v>
      </c>
      <c r="I897" t="s">
        <v>27</v>
      </c>
      <c r="J897" t="s">
        <v>1056</v>
      </c>
      <c r="L897">
        <f t="shared" si="53"/>
        <v>202003</v>
      </c>
      <c r="M897">
        <f t="shared" si="54"/>
        <v>3</v>
      </c>
      <c r="N897">
        <f t="shared" si="55"/>
        <v>2020</v>
      </c>
      <c r="O897" t="str">
        <f>VLOOKUP(M897,month_lookup!A:B,2,FALSE)</f>
        <v>Mar</v>
      </c>
      <c r="P897">
        <f t="shared" si="56"/>
        <v>32779.67</v>
      </c>
    </row>
    <row r="898" spans="1:16" x14ac:dyDescent="0.25">
      <c r="A898" t="s">
        <v>100</v>
      </c>
      <c r="B898" s="1">
        <v>40187.99</v>
      </c>
      <c r="C898">
        <v>32508.07</v>
      </c>
      <c r="D898" s="2">
        <v>43973</v>
      </c>
      <c r="E898" t="s">
        <v>17</v>
      </c>
      <c r="F898" t="s">
        <v>113</v>
      </c>
      <c r="G898" t="s">
        <v>102</v>
      </c>
      <c r="H898" t="s">
        <v>103</v>
      </c>
      <c r="I898" t="s">
        <v>27</v>
      </c>
      <c r="J898" t="s">
        <v>1057</v>
      </c>
      <c r="L898">
        <f t="shared" si="53"/>
        <v>202005</v>
      </c>
      <c r="M898">
        <f t="shared" si="54"/>
        <v>5</v>
      </c>
      <c r="N898">
        <f t="shared" si="55"/>
        <v>2020</v>
      </c>
      <c r="O898" t="str">
        <f>VLOOKUP(M898,month_lookup!A:B,2,FALSE)</f>
        <v>May</v>
      </c>
      <c r="P898">
        <f t="shared" si="56"/>
        <v>40187.99</v>
      </c>
    </row>
    <row r="899" spans="1:16" x14ac:dyDescent="0.25">
      <c r="A899" t="s">
        <v>44</v>
      </c>
      <c r="B899" s="1">
        <v>91842.59</v>
      </c>
      <c r="C899">
        <v>73979.210000000006</v>
      </c>
      <c r="D899" s="2">
        <v>43553</v>
      </c>
      <c r="E899" t="s">
        <v>17</v>
      </c>
      <c r="F899" t="s">
        <v>293</v>
      </c>
      <c r="G899" t="s">
        <v>47</v>
      </c>
      <c r="H899" t="s">
        <v>65</v>
      </c>
      <c r="I899" t="s">
        <v>27</v>
      </c>
      <c r="J899" t="s">
        <v>1058</v>
      </c>
      <c r="L899">
        <f t="shared" ref="L899:L962" si="57">YEAR(D899)*100+MONTH(D899)</f>
        <v>201903</v>
      </c>
      <c r="M899">
        <f t="shared" ref="M899:M962" si="58">MONTH(D899)</f>
        <v>3</v>
      </c>
      <c r="N899">
        <f t="shared" ref="N899:N962" si="59">YEAR(D899)</f>
        <v>2019</v>
      </c>
      <c r="O899" t="str">
        <f>VLOOKUP(M899,month_lookup!A:B,2,FALSE)</f>
        <v>Mar</v>
      </c>
      <c r="P899">
        <f t="shared" si="56"/>
        <v>-91842.59</v>
      </c>
    </row>
    <row r="900" spans="1:16" x14ac:dyDescent="0.25">
      <c r="A900" t="s">
        <v>22</v>
      </c>
      <c r="B900" s="1">
        <v>38494.71</v>
      </c>
      <c r="C900">
        <v>33113.15</v>
      </c>
      <c r="D900" s="2">
        <v>43500</v>
      </c>
      <c r="E900" t="s">
        <v>17</v>
      </c>
      <c r="F900" t="s">
        <v>63</v>
      </c>
      <c r="G900" t="s">
        <v>25</v>
      </c>
      <c r="H900" t="s">
        <v>89</v>
      </c>
      <c r="I900" t="s">
        <v>27</v>
      </c>
      <c r="J900" t="s">
        <v>1059</v>
      </c>
      <c r="L900">
        <f t="shared" si="57"/>
        <v>201902</v>
      </c>
      <c r="M900">
        <f t="shared" si="58"/>
        <v>2</v>
      </c>
      <c r="N900">
        <f t="shared" si="59"/>
        <v>2019</v>
      </c>
      <c r="O900" t="str">
        <f>VLOOKUP(M900,month_lookup!A:B,2,FALSE)</f>
        <v>Feb</v>
      </c>
      <c r="P900">
        <f t="shared" si="56"/>
        <v>-38494.71</v>
      </c>
    </row>
    <row r="901" spans="1:16" x14ac:dyDescent="0.25">
      <c r="A901" t="s">
        <v>52</v>
      </c>
      <c r="B901" s="1">
        <v>86050.61</v>
      </c>
      <c r="C901">
        <v>75569.649999999994</v>
      </c>
      <c r="D901" s="2">
        <v>44077</v>
      </c>
      <c r="E901" t="s">
        <v>23</v>
      </c>
      <c r="F901" t="s">
        <v>223</v>
      </c>
      <c r="G901" t="s">
        <v>54</v>
      </c>
      <c r="H901" t="s">
        <v>127</v>
      </c>
      <c r="I901" t="s">
        <v>27</v>
      </c>
      <c r="J901" t="s">
        <v>1060</v>
      </c>
      <c r="L901">
        <f t="shared" si="57"/>
        <v>202009</v>
      </c>
      <c r="M901">
        <f t="shared" si="58"/>
        <v>9</v>
      </c>
      <c r="N901">
        <f t="shared" si="59"/>
        <v>2020</v>
      </c>
      <c r="O901" t="str">
        <f>VLOOKUP(M901,month_lookup!A:B,2,FALSE)</f>
        <v>Sep</v>
      </c>
      <c r="P901">
        <f t="shared" si="56"/>
        <v>86050.61</v>
      </c>
    </row>
    <row r="902" spans="1:16" x14ac:dyDescent="0.25">
      <c r="A902" t="s">
        <v>9</v>
      </c>
      <c r="B902" s="1">
        <v>36749.51</v>
      </c>
      <c r="C902">
        <v>30101.52</v>
      </c>
      <c r="D902" s="2">
        <v>44119</v>
      </c>
      <c r="E902" t="s">
        <v>17</v>
      </c>
      <c r="F902" t="s">
        <v>18</v>
      </c>
      <c r="G902" t="s">
        <v>12</v>
      </c>
      <c r="H902" t="s">
        <v>13</v>
      </c>
      <c r="I902" t="s">
        <v>27</v>
      </c>
      <c r="J902" t="s">
        <v>1061</v>
      </c>
      <c r="L902">
        <f t="shared" si="57"/>
        <v>202010</v>
      </c>
      <c r="M902">
        <f t="shared" si="58"/>
        <v>10</v>
      </c>
      <c r="N902">
        <f t="shared" si="59"/>
        <v>2020</v>
      </c>
      <c r="O902" t="str">
        <f>VLOOKUP(M902,month_lookup!A:B,2,FALSE)</f>
        <v>Oct</v>
      </c>
      <c r="P902">
        <f t="shared" si="56"/>
        <v>36749.51</v>
      </c>
    </row>
    <row r="903" spans="1:16" x14ac:dyDescent="0.25">
      <c r="A903" t="s">
        <v>16</v>
      </c>
      <c r="B903" s="1">
        <v>194531.02</v>
      </c>
      <c r="C903">
        <v>158970.75</v>
      </c>
      <c r="D903" s="2">
        <v>43655</v>
      </c>
      <c r="E903" t="s">
        <v>23</v>
      </c>
      <c r="F903" t="s">
        <v>39</v>
      </c>
      <c r="G903" t="s">
        <v>19</v>
      </c>
      <c r="H903" t="s">
        <v>352</v>
      </c>
      <c r="I903" t="s">
        <v>37</v>
      </c>
      <c r="J903" t="s">
        <v>1062</v>
      </c>
      <c r="L903">
        <f t="shared" si="57"/>
        <v>201907</v>
      </c>
      <c r="M903">
        <f t="shared" si="58"/>
        <v>7</v>
      </c>
      <c r="N903">
        <f t="shared" si="59"/>
        <v>2019</v>
      </c>
      <c r="O903" t="str">
        <f>VLOOKUP(M903,month_lookup!A:B,2,FALSE)</f>
        <v>Jul</v>
      </c>
      <c r="P903">
        <f t="shared" ref="P903:P966" si="60">IF(N903=2020,B903,-B903)</f>
        <v>-194531.02</v>
      </c>
    </row>
    <row r="904" spans="1:16" x14ac:dyDescent="0.25">
      <c r="A904" t="s">
        <v>52</v>
      </c>
      <c r="B904" s="1">
        <v>106730.16</v>
      </c>
      <c r="C904">
        <v>89503.91</v>
      </c>
      <c r="D904" s="2">
        <v>44042</v>
      </c>
      <c r="E904" t="s">
        <v>29</v>
      </c>
      <c r="F904" t="s">
        <v>39</v>
      </c>
      <c r="G904" t="s">
        <v>54</v>
      </c>
      <c r="H904" t="s">
        <v>132</v>
      </c>
      <c r="I904" t="s">
        <v>27</v>
      </c>
      <c r="J904" t="s">
        <v>1063</v>
      </c>
      <c r="L904">
        <f t="shared" si="57"/>
        <v>202007</v>
      </c>
      <c r="M904">
        <f t="shared" si="58"/>
        <v>7</v>
      </c>
      <c r="N904">
        <f t="shared" si="59"/>
        <v>2020</v>
      </c>
      <c r="O904" t="str">
        <f>VLOOKUP(M904,month_lookup!A:B,2,FALSE)</f>
        <v>Jul</v>
      </c>
      <c r="P904">
        <f t="shared" si="60"/>
        <v>106730.16</v>
      </c>
    </row>
    <row r="905" spans="1:16" x14ac:dyDescent="0.25">
      <c r="A905" t="s">
        <v>214</v>
      </c>
      <c r="B905" s="1">
        <v>30177.8</v>
      </c>
      <c r="C905">
        <v>23924.959999999999</v>
      </c>
      <c r="D905" s="2">
        <v>44110</v>
      </c>
      <c r="E905" t="s">
        <v>79</v>
      </c>
      <c r="F905" t="s">
        <v>167</v>
      </c>
      <c r="G905" t="s">
        <v>215</v>
      </c>
      <c r="H905" t="s">
        <v>216</v>
      </c>
      <c r="I905" t="s">
        <v>14</v>
      </c>
      <c r="J905" t="s">
        <v>1064</v>
      </c>
      <c r="L905">
        <f t="shared" si="57"/>
        <v>202010</v>
      </c>
      <c r="M905">
        <f t="shared" si="58"/>
        <v>10</v>
      </c>
      <c r="N905">
        <f t="shared" si="59"/>
        <v>2020</v>
      </c>
      <c r="O905" t="str">
        <f>VLOOKUP(M905,month_lookup!A:B,2,FALSE)</f>
        <v>Oct</v>
      </c>
      <c r="P905">
        <f t="shared" si="60"/>
        <v>30177.8</v>
      </c>
    </row>
    <row r="906" spans="1:16" x14ac:dyDescent="0.25">
      <c r="A906" t="s">
        <v>22</v>
      </c>
      <c r="B906" s="1">
        <v>93902.04</v>
      </c>
      <c r="C906">
        <v>80793.31</v>
      </c>
      <c r="D906" s="2">
        <v>43891</v>
      </c>
      <c r="E906" t="s">
        <v>23</v>
      </c>
      <c r="F906" t="s">
        <v>67</v>
      </c>
      <c r="G906" t="s">
        <v>25</v>
      </c>
      <c r="H906" t="s">
        <v>31</v>
      </c>
      <c r="I906" t="s">
        <v>27</v>
      </c>
      <c r="J906" t="s">
        <v>1065</v>
      </c>
      <c r="L906">
        <f t="shared" si="57"/>
        <v>202003</v>
      </c>
      <c r="M906">
        <f t="shared" si="58"/>
        <v>3</v>
      </c>
      <c r="N906">
        <f t="shared" si="59"/>
        <v>2020</v>
      </c>
      <c r="O906" t="str">
        <f>VLOOKUP(M906,month_lookup!A:B,2,FALSE)</f>
        <v>Mar</v>
      </c>
      <c r="P906">
        <f t="shared" si="60"/>
        <v>93902.04</v>
      </c>
    </row>
    <row r="907" spans="1:16" x14ac:dyDescent="0.25">
      <c r="A907" t="s">
        <v>214</v>
      </c>
      <c r="B907" s="1">
        <v>250483.63</v>
      </c>
      <c r="C907">
        <v>217269.5</v>
      </c>
      <c r="D907" s="2">
        <v>44015</v>
      </c>
      <c r="E907" t="s">
        <v>45</v>
      </c>
      <c r="F907" t="s">
        <v>109</v>
      </c>
      <c r="G907" t="s">
        <v>215</v>
      </c>
      <c r="H907" t="s">
        <v>216</v>
      </c>
      <c r="I907" t="s">
        <v>14</v>
      </c>
      <c r="J907" t="s">
        <v>1066</v>
      </c>
      <c r="L907">
        <f t="shared" si="57"/>
        <v>202007</v>
      </c>
      <c r="M907">
        <f t="shared" si="58"/>
        <v>7</v>
      </c>
      <c r="N907">
        <f t="shared" si="59"/>
        <v>2020</v>
      </c>
      <c r="O907" t="str">
        <f>VLOOKUP(M907,month_lookup!A:B,2,FALSE)</f>
        <v>Jul</v>
      </c>
      <c r="P907">
        <f t="shared" si="60"/>
        <v>250483.63</v>
      </c>
    </row>
    <row r="908" spans="1:16" x14ac:dyDescent="0.25">
      <c r="A908" t="s">
        <v>9</v>
      </c>
      <c r="B908" s="1">
        <v>162142.74</v>
      </c>
      <c r="C908">
        <v>136037.76000000001</v>
      </c>
      <c r="D908" s="2">
        <v>43494</v>
      </c>
      <c r="E908" t="s">
        <v>23</v>
      </c>
      <c r="F908" t="s">
        <v>111</v>
      </c>
      <c r="G908" t="s">
        <v>12</v>
      </c>
      <c r="H908" t="s">
        <v>81</v>
      </c>
      <c r="I908" t="s">
        <v>27</v>
      </c>
      <c r="J908" t="s">
        <v>1067</v>
      </c>
      <c r="L908">
        <f t="shared" si="57"/>
        <v>201901</v>
      </c>
      <c r="M908">
        <f t="shared" si="58"/>
        <v>1</v>
      </c>
      <c r="N908">
        <f t="shared" si="59"/>
        <v>2019</v>
      </c>
      <c r="O908" t="str">
        <f>VLOOKUP(M908,month_lookup!A:B,2,FALSE)</f>
        <v>Jan</v>
      </c>
      <c r="P908">
        <f t="shared" si="60"/>
        <v>-162142.74</v>
      </c>
    </row>
    <row r="909" spans="1:16" x14ac:dyDescent="0.25">
      <c r="A909" t="s">
        <v>345</v>
      </c>
      <c r="B909" s="1">
        <v>47516.54</v>
      </c>
      <c r="C909">
        <v>38987.32</v>
      </c>
      <c r="D909" s="2">
        <v>43839</v>
      </c>
      <c r="E909" t="s">
        <v>10</v>
      </c>
      <c r="F909" t="s">
        <v>34</v>
      </c>
      <c r="G909" t="s">
        <v>346</v>
      </c>
      <c r="H909" t="s">
        <v>700</v>
      </c>
      <c r="I909" t="s">
        <v>27</v>
      </c>
      <c r="J909" t="s">
        <v>1068</v>
      </c>
      <c r="L909">
        <f t="shared" si="57"/>
        <v>202001</v>
      </c>
      <c r="M909">
        <f t="shared" si="58"/>
        <v>1</v>
      </c>
      <c r="N909">
        <f t="shared" si="59"/>
        <v>2020</v>
      </c>
      <c r="O909" t="str">
        <f>VLOOKUP(M909,month_lookup!A:B,2,FALSE)</f>
        <v>Jan</v>
      </c>
      <c r="P909">
        <f t="shared" si="60"/>
        <v>47516.54</v>
      </c>
    </row>
    <row r="910" spans="1:16" x14ac:dyDescent="0.25">
      <c r="A910" t="s">
        <v>214</v>
      </c>
      <c r="B910" s="1">
        <v>163546.81</v>
      </c>
      <c r="C910">
        <v>133307</v>
      </c>
      <c r="D910" s="2">
        <v>43592</v>
      </c>
      <c r="E910" t="s">
        <v>79</v>
      </c>
      <c r="F910" t="s">
        <v>264</v>
      </c>
      <c r="G910" t="s">
        <v>215</v>
      </c>
      <c r="H910" t="s">
        <v>216</v>
      </c>
      <c r="I910" t="s">
        <v>27</v>
      </c>
      <c r="J910" t="s">
        <v>1069</v>
      </c>
      <c r="L910">
        <f t="shared" si="57"/>
        <v>201905</v>
      </c>
      <c r="M910">
        <f t="shared" si="58"/>
        <v>5</v>
      </c>
      <c r="N910">
        <f t="shared" si="59"/>
        <v>2019</v>
      </c>
      <c r="O910" t="str">
        <f>VLOOKUP(M910,month_lookup!A:B,2,FALSE)</f>
        <v>May</v>
      </c>
      <c r="P910">
        <f t="shared" si="60"/>
        <v>-163546.81</v>
      </c>
    </row>
    <row r="911" spans="1:16" x14ac:dyDescent="0.25">
      <c r="A911" t="s">
        <v>52</v>
      </c>
      <c r="B911" s="1">
        <v>35437.89</v>
      </c>
      <c r="C911">
        <v>30412.799999999999</v>
      </c>
      <c r="D911" s="2">
        <v>43864</v>
      </c>
      <c r="E911" t="s">
        <v>23</v>
      </c>
      <c r="F911" t="s">
        <v>340</v>
      </c>
      <c r="G911" t="s">
        <v>54</v>
      </c>
      <c r="H911" t="s">
        <v>132</v>
      </c>
      <c r="I911" t="s">
        <v>27</v>
      </c>
      <c r="J911" t="s">
        <v>1070</v>
      </c>
      <c r="L911">
        <f t="shared" si="57"/>
        <v>202002</v>
      </c>
      <c r="M911">
        <f t="shared" si="58"/>
        <v>2</v>
      </c>
      <c r="N911">
        <f t="shared" si="59"/>
        <v>2020</v>
      </c>
      <c r="O911" t="str">
        <f>VLOOKUP(M911,month_lookup!A:B,2,FALSE)</f>
        <v>Feb</v>
      </c>
      <c r="P911">
        <f t="shared" si="60"/>
        <v>35437.89</v>
      </c>
    </row>
    <row r="912" spans="1:16" x14ac:dyDescent="0.25">
      <c r="A912" t="s">
        <v>95</v>
      </c>
      <c r="B912" s="1">
        <v>122889.28</v>
      </c>
      <c r="C912">
        <v>103042.66</v>
      </c>
      <c r="D912" s="2">
        <v>44162</v>
      </c>
      <c r="E912" t="s">
        <v>59</v>
      </c>
      <c r="F912" t="s">
        <v>122</v>
      </c>
      <c r="G912" t="s">
        <v>97</v>
      </c>
      <c r="H912" t="s">
        <v>98</v>
      </c>
      <c r="I912" t="s">
        <v>27</v>
      </c>
      <c r="J912" t="s">
        <v>1071</v>
      </c>
      <c r="L912">
        <f t="shared" si="57"/>
        <v>202011</v>
      </c>
      <c r="M912">
        <f t="shared" si="58"/>
        <v>11</v>
      </c>
      <c r="N912">
        <f t="shared" si="59"/>
        <v>2020</v>
      </c>
      <c r="O912" t="str">
        <f>VLOOKUP(M912,month_lookup!A:B,2,FALSE)</f>
        <v>Nov</v>
      </c>
      <c r="P912">
        <f t="shared" si="60"/>
        <v>122889.28</v>
      </c>
    </row>
    <row r="913" spans="1:16" x14ac:dyDescent="0.25">
      <c r="A913" t="s">
        <v>105</v>
      </c>
      <c r="B913" s="1">
        <v>26490.47</v>
      </c>
      <c r="C913">
        <v>21168.53</v>
      </c>
      <c r="D913" s="2">
        <v>43773</v>
      </c>
      <c r="E913" t="s">
        <v>50</v>
      </c>
      <c r="F913" t="s">
        <v>30</v>
      </c>
      <c r="G913" t="s">
        <v>106</v>
      </c>
      <c r="H913" t="s">
        <v>107</v>
      </c>
      <c r="I913" t="s">
        <v>27</v>
      </c>
      <c r="J913" t="s">
        <v>1072</v>
      </c>
      <c r="L913">
        <f t="shared" si="57"/>
        <v>201911</v>
      </c>
      <c r="M913">
        <f t="shared" si="58"/>
        <v>11</v>
      </c>
      <c r="N913">
        <f t="shared" si="59"/>
        <v>2019</v>
      </c>
      <c r="O913" t="str">
        <f>VLOOKUP(M913,month_lookup!A:B,2,FALSE)</f>
        <v>Nov</v>
      </c>
      <c r="P913">
        <f t="shared" si="60"/>
        <v>-26490.47</v>
      </c>
    </row>
    <row r="914" spans="1:16" x14ac:dyDescent="0.25">
      <c r="A914" t="s">
        <v>44</v>
      </c>
      <c r="B914" s="1">
        <v>173722.59</v>
      </c>
      <c r="C914">
        <v>148063.76</v>
      </c>
      <c r="D914" s="2">
        <v>43564</v>
      </c>
      <c r="E914" t="s">
        <v>17</v>
      </c>
      <c r="F914" t="s">
        <v>236</v>
      </c>
      <c r="G914" t="s">
        <v>47</v>
      </c>
      <c r="H914" t="s">
        <v>73</v>
      </c>
      <c r="I914" t="s">
        <v>27</v>
      </c>
      <c r="J914" t="s">
        <v>1073</v>
      </c>
      <c r="L914">
        <f t="shared" si="57"/>
        <v>201904</v>
      </c>
      <c r="M914">
        <f t="shared" si="58"/>
        <v>4</v>
      </c>
      <c r="N914">
        <f t="shared" si="59"/>
        <v>2019</v>
      </c>
      <c r="O914" t="str">
        <f>VLOOKUP(M914,month_lookup!A:B,2,FALSE)</f>
        <v>Apr</v>
      </c>
      <c r="P914">
        <f t="shared" si="60"/>
        <v>-173722.59</v>
      </c>
    </row>
    <row r="915" spans="1:16" x14ac:dyDescent="0.25">
      <c r="A915" t="s">
        <v>52</v>
      </c>
      <c r="B915" s="1">
        <v>76543.360000000001</v>
      </c>
      <c r="C915">
        <v>65819.64</v>
      </c>
      <c r="D915" s="2">
        <v>43545</v>
      </c>
      <c r="E915" t="s">
        <v>45</v>
      </c>
      <c r="F915" t="s">
        <v>46</v>
      </c>
      <c r="G915" t="s">
        <v>54</v>
      </c>
      <c r="H915" t="s">
        <v>132</v>
      </c>
      <c r="I915" t="s">
        <v>27</v>
      </c>
      <c r="J915" t="s">
        <v>1074</v>
      </c>
      <c r="L915">
        <f t="shared" si="57"/>
        <v>201903</v>
      </c>
      <c r="M915">
        <f t="shared" si="58"/>
        <v>3</v>
      </c>
      <c r="N915">
        <f t="shared" si="59"/>
        <v>2019</v>
      </c>
      <c r="O915" t="str">
        <f>VLOOKUP(M915,month_lookup!A:B,2,FALSE)</f>
        <v>Mar</v>
      </c>
      <c r="P915">
        <f t="shared" si="60"/>
        <v>-76543.360000000001</v>
      </c>
    </row>
    <row r="916" spans="1:16" x14ac:dyDescent="0.25">
      <c r="A916" t="s">
        <v>9</v>
      </c>
      <c r="B916" s="1">
        <v>69626.39</v>
      </c>
      <c r="C916">
        <v>57295.56</v>
      </c>
      <c r="D916" s="2">
        <v>43631</v>
      </c>
      <c r="E916" t="s">
        <v>79</v>
      </c>
      <c r="F916" t="s">
        <v>134</v>
      </c>
      <c r="G916" t="s">
        <v>12</v>
      </c>
      <c r="H916" t="s">
        <v>13</v>
      </c>
      <c r="I916" t="s">
        <v>27</v>
      </c>
      <c r="J916" t="s">
        <v>1075</v>
      </c>
      <c r="L916">
        <f t="shared" si="57"/>
        <v>201906</v>
      </c>
      <c r="M916">
        <f t="shared" si="58"/>
        <v>6</v>
      </c>
      <c r="N916">
        <f t="shared" si="59"/>
        <v>2019</v>
      </c>
      <c r="O916" t="str">
        <f>VLOOKUP(M916,month_lookup!A:B,2,FALSE)</f>
        <v>Jun</v>
      </c>
      <c r="P916">
        <f t="shared" si="60"/>
        <v>-69626.39</v>
      </c>
    </row>
    <row r="917" spans="1:16" x14ac:dyDescent="0.25">
      <c r="A917" t="s">
        <v>52</v>
      </c>
      <c r="B917" s="1">
        <v>249915.21</v>
      </c>
      <c r="C917">
        <v>215326.95</v>
      </c>
      <c r="D917" s="2">
        <v>44180</v>
      </c>
      <c r="E917" t="s">
        <v>50</v>
      </c>
      <c r="F917" t="s">
        <v>96</v>
      </c>
      <c r="G917" t="s">
        <v>54</v>
      </c>
      <c r="H917" t="s">
        <v>127</v>
      </c>
      <c r="I917" t="s">
        <v>27</v>
      </c>
      <c r="J917" t="s">
        <v>1076</v>
      </c>
      <c r="L917">
        <f t="shared" si="57"/>
        <v>202012</v>
      </c>
      <c r="M917">
        <f t="shared" si="58"/>
        <v>12</v>
      </c>
      <c r="N917">
        <f t="shared" si="59"/>
        <v>2020</v>
      </c>
      <c r="O917" t="str">
        <f>VLOOKUP(M917,month_lookup!A:B,2,FALSE)</f>
        <v>Dec</v>
      </c>
      <c r="P917">
        <f t="shared" si="60"/>
        <v>249915.21</v>
      </c>
    </row>
    <row r="918" spans="1:16" x14ac:dyDescent="0.25">
      <c r="A918" t="s">
        <v>22</v>
      </c>
      <c r="B918" s="1">
        <v>55790.71</v>
      </c>
      <c r="C918">
        <v>48783.4</v>
      </c>
      <c r="D918" s="2">
        <v>44112</v>
      </c>
      <c r="E918" t="s">
        <v>50</v>
      </c>
      <c r="F918" t="s">
        <v>34</v>
      </c>
      <c r="G918" t="s">
        <v>25</v>
      </c>
      <c r="H918" t="s">
        <v>75</v>
      </c>
      <c r="I918" t="s">
        <v>27</v>
      </c>
      <c r="J918" t="s">
        <v>1077</v>
      </c>
      <c r="L918">
        <f t="shared" si="57"/>
        <v>202010</v>
      </c>
      <c r="M918">
        <f t="shared" si="58"/>
        <v>10</v>
      </c>
      <c r="N918">
        <f t="shared" si="59"/>
        <v>2020</v>
      </c>
      <c r="O918" t="str">
        <f>VLOOKUP(M918,month_lookup!A:B,2,FALSE)</f>
        <v>Oct</v>
      </c>
      <c r="P918">
        <f t="shared" si="60"/>
        <v>55790.71</v>
      </c>
    </row>
    <row r="919" spans="1:16" x14ac:dyDescent="0.25">
      <c r="A919" t="s">
        <v>83</v>
      </c>
      <c r="B919" s="1">
        <v>77896.83</v>
      </c>
      <c r="C919">
        <v>62714.74</v>
      </c>
      <c r="D919" s="2">
        <v>43903</v>
      </c>
      <c r="E919" t="s">
        <v>23</v>
      </c>
      <c r="F919" t="s">
        <v>120</v>
      </c>
      <c r="G919" t="s">
        <v>84</v>
      </c>
      <c r="H919" t="s">
        <v>85</v>
      </c>
      <c r="I919" t="s">
        <v>27</v>
      </c>
      <c r="J919" t="s">
        <v>1078</v>
      </c>
      <c r="L919">
        <f t="shared" si="57"/>
        <v>202003</v>
      </c>
      <c r="M919">
        <f t="shared" si="58"/>
        <v>3</v>
      </c>
      <c r="N919">
        <f t="shared" si="59"/>
        <v>2020</v>
      </c>
      <c r="O919" t="str">
        <f>VLOOKUP(M919,month_lookup!A:B,2,FALSE)</f>
        <v>Mar</v>
      </c>
      <c r="P919">
        <f t="shared" si="60"/>
        <v>77896.83</v>
      </c>
    </row>
    <row r="920" spans="1:16" x14ac:dyDescent="0.25">
      <c r="A920" t="s">
        <v>22</v>
      </c>
      <c r="B920" s="1">
        <v>104391.93</v>
      </c>
      <c r="C920">
        <v>86770.57</v>
      </c>
      <c r="D920" s="2">
        <v>43834</v>
      </c>
      <c r="E920" t="s">
        <v>29</v>
      </c>
      <c r="F920" t="s">
        <v>101</v>
      </c>
      <c r="G920" t="s">
        <v>25</v>
      </c>
      <c r="H920" t="s">
        <v>218</v>
      </c>
      <c r="I920" t="s">
        <v>27</v>
      </c>
      <c r="J920" t="s">
        <v>1079</v>
      </c>
      <c r="L920">
        <f t="shared" si="57"/>
        <v>202001</v>
      </c>
      <c r="M920">
        <f t="shared" si="58"/>
        <v>1</v>
      </c>
      <c r="N920">
        <f t="shared" si="59"/>
        <v>2020</v>
      </c>
      <c r="O920" t="str">
        <f>VLOOKUP(M920,month_lookup!A:B,2,FALSE)</f>
        <v>Jan</v>
      </c>
      <c r="P920">
        <f t="shared" si="60"/>
        <v>104391.93</v>
      </c>
    </row>
    <row r="921" spans="1:16" x14ac:dyDescent="0.25">
      <c r="A921" t="s">
        <v>22</v>
      </c>
      <c r="B921" s="1">
        <v>57115.99</v>
      </c>
      <c r="C921">
        <v>48976.959999999999</v>
      </c>
      <c r="D921" s="2">
        <v>43551</v>
      </c>
      <c r="E921" t="s">
        <v>10</v>
      </c>
      <c r="F921" t="s">
        <v>1080</v>
      </c>
      <c r="G921" t="s">
        <v>25</v>
      </c>
      <c r="H921" t="s">
        <v>31</v>
      </c>
      <c r="I921" t="s">
        <v>14</v>
      </c>
      <c r="J921" t="s">
        <v>1081</v>
      </c>
      <c r="L921">
        <f t="shared" si="57"/>
        <v>201903</v>
      </c>
      <c r="M921">
        <f t="shared" si="58"/>
        <v>3</v>
      </c>
      <c r="N921">
        <f t="shared" si="59"/>
        <v>2019</v>
      </c>
      <c r="O921" t="str">
        <f>VLOOKUP(M921,month_lookup!A:B,2,FALSE)</f>
        <v>Mar</v>
      </c>
      <c r="P921">
        <f t="shared" si="60"/>
        <v>-57115.99</v>
      </c>
    </row>
    <row r="922" spans="1:16" x14ac:dyDescent="0.25">
      <c r="A922" t="s">
        <v>52</v>
      </c>
      <c r="B922" s="1">
        <v>74685.850000000006</v>
      </c>
      <c r="C922">
        <v>59166.13</v>
      </c>
      <c r="D922" s="2">
        <v>43974</v>
      </c>
      <c r="E922" t="s">
        <v>17</v>
      </c>
      <c r="F922" t="s">
        <v>202</v>
      </c>
      <c r="G922" t="s">
        <v>54</v>
      </c>
      <c r="H922" t="s">
        <v>143</v>
      </c>
      <c r="I922" t="s">
        <v>27</v>
      </c>
      <c r="J922" t="s">
        <v>1082</v>
      </c>
      <c r="L922">
        <f t="shared" si="57"/>
        <v>202005</v>
      </c>
      <c r="M922">
        <f t="shared" si="58"/>
        <v>5</v>
      </c>
      <c r="N922">
        <f t="shared" si="59"/>
        <v>2020</v>
      </c>
      <c r="O922" t="str">
        <f>VLOOKUP(M922,month_lookup!A:B,2,FALSE)</f>
        <v>May</v>
      </c>
      <c r="P922">
        <f t="shared" si="60"/>
        <v>74685.850000000006</v>
      </c>
    </row>
    <row r="923" spans="1:16" x14ac:dyDescent="0.25">
      <c r="A923" t="s">
        <v>52</v>
      </c>
      <c r="B923" s="1">
        <v>74103.820000000007</v>
      </c>
      <c r="C923">
        <v>64811.199999999997</v>
      </c>
      <c r="D923" s="2">
        <v>43832</v>
      </c>
      <c r="E923" t="s">
        <v>50</v>
      </c>
      <c r="F923" t="s">
        <v>34</v>
      </c>
      <c r="G923" t="s">
        <v>54</v>
      </c>
      <c r="H923" t="s">
        <v>132</v>
      </c>
      <c r="I923" t="s">
        <v>27</v>
      </c>
      <c r="J923" t="s">
        <v>1083</v>
      </c>
      <c r="L923">
        <f t="shared" si="57"/>
        <v>202001</v>
      </c>
      <c r="M923">
        <f t="shared" si="58"/>
        <v>1</v>
      </c>
      <c r="N923">
        <f t="shared" si="59"/>
        <v>2020</v>
      </c>
      <c r="O923" t="str">
        <f>VLOOKUP(M923,month_lookup!A:B,2,FALSE)</f>
        <v>Jan</v>
      </c>
      <c r="P923">
        <f t="shared" si="60"/>
        <v>74103.820000000007</v>
      </c>
    </row>
    <row r="924" spans="1:16" x14ac:dyDescent="0.25">
      <c r="A924" t="s">
        <v>52</v>
      </c>
      <c r="B924" s="1">
        <v>176190.16</v>
      </c>
      <c r="C924">
        <v>142273.54999999999</v>
      </c>
      <c r="D924" s="2">
        <v>43710</v>
      </c>
      <c r="E924" t="s">
        <v>50</v>
      </c>
      <c r="F924" t="s">
        <v>34</v>
      </c>
      <c r="G924" t="s">
        <v>54</v>
      </c>
      <c r="H924" t="s">
        <v>55</v>
      </c>
      <c r="I924" t="s">
        <v>27</v>
      </c>
      <c r="J924" t="s">
        <v>1084</v>
      </c>
      <c r="L924">
        <f t="shared" si="57"/>
        <v>201909</v>
      </c>
      <c r="M924">
        <f t="shared" si="58"/>
        <v>9</v>
      </c>
      <c r="N924">
        <f t="shared" si="59"/>
        <v>2019</v>
      </c>
      <c r="O924" t="str">
        <f>VLOOKUP(M924,month_lookup!A:B,2,FALSE)</f>
        <v>Sep</v>
      </c>
      <c r="P924">
        <f t="shared" si="60"/>
        <v>-176190.16</v>
      </c>
    </row>
    <row r="925" spans="1:16" x14ac:dyDescent="0.25">
      <c r="A925" t="s">
        <v>9</v>
      </c>
      <c r="B925" s="1">
        <v>185778.3</v>
      </c>
      <c r="C925">
        <v>154734.75</v>
      </c>
      <c r="D925" s="2">
        <v>44007</v>
      </c>
      <c r="E925" t="s">
        <v>79</v>
      </c>
      <c r="F925" t="s">
        <v>93</v>
      </c>
      <c r="G925" t="s">
        <v>12</v>
      </c>
      <c r="H925" t="s">
        <v>169</v>
      </c>
      <c r="I925" t="s">
        <v>27</v>
      </c>
      <c r="J925" t="s">
        <v>1085</v>
      </c>
      <c r="L925">
        <f t="shared" si="57"/>
        <v>202006</v>
      </c>
      <c r="M925">
        <f t="shared" si="58"/>
        <v>6</v>
      </c>
      <c r="N925">
        <f t="shared" si="59"/>
        <v>2020</v>
      </c>
      <c r="O925" t="str">
        <f>VLOOKUP(M925,month_lookup!A:B,2,FALSE)</f>
        <v>Jun</v>
      </c>
      <c r="P925">
        <f t="shared" si="60"/>
        <v>185778.3</v>
      </c>
    </row>
    <row r="926" spans="1:16" x14ac:dyDescent="0.25">
      <c r="A926" t="s">
        <v>52</v>
      </c>
      <c r="B926" s="1">
        <v>212521.26</v>
      </c>
      <c r="C926">
        <v>172014.71</v>
      </c>
      <c r="D926" s="2">
        <v>43636</v>
      </c>
      <c r="E926" t="s">
        <v>10</v>
      </c>
      <c r="F926" t="s">
        <v>34</v>
      </c>
      <c r="G926" t="s">
        <v>54</v>
      </c>
      <c r="H926" t="s">
        <v>127</v>
      </c>
      <c r="I926" t="s">
        <v>27</v>
      </c>
      <c r="J926" t="s">
        <v>1086</v>
      </c>
      <c r="L926">
        <f t="shared" si="57"/>
        <v>201906</v>
      </c>
      <c r="M926">
        <f t="shared" si="58"/>
        <v>6</v>
      </c>
      <c r="N926">
        <f t="shared" si="59"/>
        <v>2019</v>
      </c>
      <c r="O926" t="str">
        <f>VLOOKUP(M926,month_lookup!A:B,2,FALSE)</f>
        <v>Jun</v>
      </c>
      <c r="P926">
        <f t="shared" si="60"/>
        <v>-212521.26</v>
      </c>
    </row>
    <row r="927" spans="1:16" x14ac:dyDescent="0.25">
      <c r="A927" t="s">
        <v>52</v>
      </c>
      <c r="B927" s="1">
        <v>40148.49</v>
      </c>
      <c r="C927">
        <v>31954.18</v>
      </c>
      <c r="D927" s="2">
        <v>43498</v>
      </c>
      <c r="E927" t="s">
        <v>79</v>
      </c>
      <c r="F927" t="s">
        <v>230</v>
      </c>
      <c r="G927" t="s">
        <v>54</v>
      </c>
      <c r="H927" t="s">
        <v>71</v>
      </c>
      <c r="I927" t="s">
        <v>27</v>
      </c>
      <c r="J927" t="s">
        <v>1087</v>
      </c>
      <c r="L927">
        <f t="shared" si="57"/>
        <v>201902</v>
      </c>
      <c r="M927">
        <f t="shared" si="58"/>
        <v>2</v>
      </c>
      <c r="N927">
        <f t="shared" si="59"/>
        <v>2019</v>
      </c>
      <c r="O927" t="str">
        <f>VLOOKUP(M927,month_lookup!A:B,2,FALSE)</f>
        <v>Feb</v>
      </c>
      <c r="P927">
        <f t="shared" si="60"/>
        <v>-40148.49</v>
      </c>
    </row>
    <row r="928" spans="1:16" x14ac:dyDescent="0.25">
      <c r="A928" t="s">
        <v>22</v>
      </c>
      <c r="B928" s="1">
        <v>157942.65</v>
      </c>
      <c r="C928">
        <v>136620.39000000001</v>
      </c>
      <c r="D928" s="2">
        <v>44005</v>
      </c>
      <c r="E928" t="s">
        <v>79</v>
      </c>
      <c r="F928" t="s">
        <v>30</v>
      </c>
      <c r="G928" t="s">
        <v>25</v>
      </c>
      <c r="H928" t="s">
        <v>218</v>
      </c>
      <c r="I928" t="s">
        <v>27</v>
      </c>
      <c r="J928" t="s">
        <v>1088</v>
      </c>
      <c r="L928">
        <f t="shared" si="57"/>
        <v>202006</v>
      </c>
      <c r="M928">
        <f t="shared" si="58"/>
        <v>6</v>
      </c>
      <c r="N928">
        <f t="shared" si="59"/>
        <v>2020</v>
      </c>
      <c r="O928" t="str">
        <f>VLOOKUP(M928,month_lookup!A:B,2,FALSE)</f>
        <v>Jun</v>
      </c>
      <c r="P928">
        <f t="shared" si="60"/>
        <v>157942.65</v>
      </c>
    </row>
    <row r="929" spans="1:16" x14ac:dyDescent="0.25">
      <c r="A929" t="s">
        <v>83</v>
      </c>
      <c r="B929" s="1">
        <v>172453.1</v>
      </c>
      <c r="C929">
        <v>145688.38</v>
      </c>
      <c r="D929" s="2">
        <v>44006</v>
      </c>
      <c r="E929" t="s">
        <v>61</v>
      </c>
      <c r="F929" t="s">
        <v>111</v>
      </c>
      <c r="G929" t="s">
        <v>84</v>
      </c>
      <c r="H929" t="s">
        <v>85</v>
      </c>
      <c r="I929" t="s">
        <v>27</v>
      </c>
      <c r="J929" t="s">
        <v>1089</v>
      </c>
      <c r="L929">
        <f t="shared" si="57"/>
        <v>202006</v>
      </c>
      <c r="M929">
        <f t="shared" si="58"/>
        <v>6</v>
      </c>
      <c r="N929">
        <f t="shared" si="59"/>
        <v>2020</v>
      </c>
      <c r="O929" t="str">
        <f>VLOOKUP(M929,month_lookup!A:B,2,FALSE)</f>
        <v>Jun</v>
      </c>
      <c r="P929">
        <f t="shared" si="60"/>
        <v>172453.1</v>
      </c>
    </row>
    <row r="930" spans="1:16" x14ac:dyDescent="0.25">
      <c r="A930" t="s">
        <v>52</v>
      </c>
      <c r="B930" s="1">
        <v>203604.46</v>
      </c>
      <c r="C930">
        <v>175344.16</v>
      </c>
      <c r="D930" s="2">
        <v>43642</v>
      </c>
      <c r="E930" t="s">
        <v>79</v>
      </c>
      <c r="F930" t="s">
        <v>111</v>
      </c>
      <c r="G930" t="s">
        <v>54</v>
      </c>
      <c r="H930" t="s">
        <v>127</v>
      </c>
      <c r="I930" t="s">
        <v>14</v>
      </c>
      <c r="J930" t="s">
        <v>1090</v>
      </c>
      <c r="L930">
        <f t="shared" si="57"/>
        <v>201906</v>
      </c>
      <c r="M930">
        <f t="shared" si="58"/>
        <v>6</v>
      </c>
      <c r="N930">
        <f t="shared" si="59"/>
        <v>2019</v>
      </c>
      <c r="O930" t="str">
        <f>VLOOKUP(M930,month_lookup!A:B,2,FALSE)</f>
        <v>Jun</v>
      </c>
      <c r="P930">
        <f t="shared" si="60"/>
        <v>-203604.46</v>
      </c>
    </row>
    <row r="931" spans="1:16" x14ac:dyDescent="0.25">
      <c r="A931" t="s">
        <v>9</v>
      </c>
      <c r="B931" s="1">
        <v>251587.20000000001</v>
      </c>
      <c r="C931">
        <v>201848.41</v>
      </c>
      <c r="D931" s="2">
        <v>43630</v>
      </c>
      <c r="E931" t="s">
        <v>59</v>
      </c>
      <c r="F931" t="s">
        <v>236</v>
      </c>
      <c r="G931" t="s">
        <v>12</v>
      </c>
      <c r="H931" t="s">
        <v>81</v>
      </c>
      <c r="I931" t="s">
        <v>14</v>
      </c>
      <c r="J931" t="s">
        <v>1091</v>
      </c>
      <c r="L931">
        <f t="shared" si="57"/>
        <v>201906</v>
      </c>
      <c r="M931">
        <f t="shared" si="58"/>
        <v>6</v>
      </c>
      <c r="N931">
        <f t="shared" si="59"/>
        <v>2019</v>
      </c>
      <c r="O931" t="str">
        <f>VLOOKUP(M931,month_lookup!A:B,2,FALSE)</f>
        <v>Jun</v>
      </c>
      <c r="P931">
        <f t="shared" si="60"/>
        <v>-251587.20000000001</v>
      </c>
    </row>
    <row r="932" spans="1:16" x14ac:dyDescent="0.25">
      <c r="A932" t="s">
        <v>9</v>
      </c>
      <c r="B932" s="1">
        <v>19930.04</v>
      </c>
      <c r="C932">
        <v>16543.93</v>
      </c>
      <c r="D932" s="2">
        <v>43533</v>
      </c>
      <c r="E932" t="s">
        <v>59</v>
      </c>
      <c r="F932" t="s">
        <v>34</v>
      </c>
      <c r="G932" t="s">
        <v>12</v>
      </c>
      <c r="H932" t="s">
        <v>68</v>
      </c>
      <c r="I932" t="s">
        <v>37</v>
      </c>
      <c r="J932" t="s">
        <v>1092</v>
      </c>
      <c r="L932">
        <f t="shared" si="57"/>
        <v>201903</v>
      </c>
      <c r="M932">
        <f t="shared" si="58"/>
        <v>3</v>
      </c>
      <c r="N932">
        <f t="shared" si="59"/>
        <v>2019</v>
      </c>
      <c r="O932" t="str">
        <f>VLOOKUP(M932,month_lookup!A:B,2,FALSE)</f>
        <v>Mar</v>
      </c>
      <c r="P932">
        <f t="shared" si="60"/>
        <v>-19930.04</v>
      </c>
    </row>
    <row r="933" spans="1:16" x14ac:dyDescent="0.25">
      <c r="A933" t="s">
        <v>100</v>
      </c>
      <c r="B933" s="1">
        <v>149372.32</v>
      </c>
      <c r="C933">
        <v>130611.16</v>
      </c>
      <c r="D933" s="2">
        <v>44185</v>
      </c>
      <c r="E933" t="s">
        <v>79</v>
      </c>
      <c r="F933" t="s">
        <v>998</v>
      </c>
      <c r="G933" t="s">
        <v>102</v>
      </c>
      <c r="H933" t="s">
        <v>103</v>
      </c>
      <c r="I933" t="s">
        <v>14</v>
      </c>
      <c r="J933" t="s">
        <v>1093</v>
      </c>
      <c r="L933">
        <f t="shared" si="57"/>
        <v>202012</v>
      </c>
      <c r="M933">
        <f t="shared" si="58"/>
        <v>12</v>
      </c>
      <c r="N933">
        <f t="shared" si="59"/>
        <v>2020</v>
      </c>
      <c r="O933" t="str">
        <f>VLOOKUP(M933,month_lookup!A:B,2,FALSE)</f>
        <v>Dec</v>
      </c>
      <c r="P933">
        <f t="shared" si="60"/>
        <v>149372.32</v>
      </c>
    </row>
    <row r="934" spans="1:16" x14ac:dyDescent="0.25">
      <c r="A934" t="s">
        <v>9</v>
      </c>
      <c r="B934" s="1">
        <v>25907.52</v>
      </c>
      <c r="C934">
        <v>22454.05</v>
      </c>
      <c r="D934" s="2">
        <v>43515</v>
      </c>
      <c r="E934" t="s">
        <v>10</v>
      </c>
      <c r="F934" t="s">
        <v>39</v>
      </c>
      <c r="G934" t="s">
        <v>12</v>
      </c>
      <c r="H934" t="s">
        <v>81</v>
      </c>
      <c r="I934" t="s">
        <v>27</v>
      </c>
      <c r="J934" t="s">
        <v>1094</v>
      </c>
      <c r="L934">
        <f t="shared" si="57"/>
        <v>201902</v>
      </c>
      <c r="M934">
        <f t="shared" si="58"/>
        <v>2</v>
      </c>
      <c r="N934">
        <f t="shared" si="59"/>
        <v>2019</v>
      </c>
      <c r="O934" t="str">
        <f>VLOOKUP(M934,month_lookup!A:B,2,FALSE)</f>
        <v>Feb</v>
      </c>
      <c r="P934">
        <f t="shared" si="60"/>
        <v>-25907.52</v>
      </c>
    </row>
    <row r="935" spans="1:16" x14ac:dyDescent="0.25">
      <c r="A935" t="s">
        <v>22</v>
      </c>
      <c r="B935" s="1">
        <v>64762.89</v>
      </c>
      <c r="C935">
        <v>54238.92</v>
      </c>
      <c r="D935" s="2">
        <v>43502</v>
      </c>
      <c r="E935" t="s">
        <v>79</v>
      </c>
      <c r="F935" t="s">
        <v>42</v>
      </c>
      <c r="G935" t="s">
        <v>25</v>
      </c>
      <c r="H935" t="s">
        <v>89</v>
      </c>
      <c r="I935" t="s">
        <v>27</v>
      </c>
      <c r="J935" t="s">
        <v>1095</v>
      </c>
      <c r="L935">
        <f t="shared" si="57"/>
        <v>201902</v>
      </c>
      <c r="M935">
        <f t="shared" si="58"/>
        <v>2</v>
      </c>
      <c r="N935">
        <f t="shared" si="59"/>
        <v>2019</v>
      </c>
      <c r="O935" t="str">
        <f>VLOOKUP(M935,month_lookup!A:B,2,FALSE)</f>
        <v>Feb</v>
      </c>
      <c r="P935">
        <f t="shared" si="60"/>
        <v>-64762.89</v>
      </c>
    </row>
    <row r="936" spans="1:16" x14ac:dyDescent="0.25">
      <c r="A936" t="s">
        <v>16</v>
      </c>
      <c r="B936" s="1">
        <v>65211.07</v>
      </c>
      <c r="C936">
        <v>56883.62</v>
      </c>
      <c r="D936" s="2">
        <v>44132</v>
      </c>
      <c r="E936" t="s">
        <v>17</v>
      </c>
      <c r="F936" t="s">
        <v>18</v>
      </c>
      <c r="G936" t="s">
        <v>19</v>
      </c>
      <c r="H936" t="s">
        <v>352</v>
      </c>
      <c r="I936" t="s">
        <v>27</v>
      </c>
      <c r="J936" t="s">
        <v>1096</v>
      </c>
      <c r="L936">
        <f t="shared" si="57"/>
        <v>202010</v>
      </c>
      <c r="M936">
        <f t="shared" si="58"/>
        <v>10</v>
      </c>
      <c r="N936">
        <f t="shared" si="59"/>
        <v>2020</v>
      </c>
      <c r="O936" t="str">
        <f>VLOOKUP(M936,month_lookup!A:B,2,FALSE)</f>
        <v>Oct</v>
      </c>
      <c r="P936">
        <f t="shared" si="60"/>
        <v>65211.07</v>
      </c>
    </row>
    <row r="937" spans="1:16" x14ac:dyDescent="0.25">
      <c r="A937" t="s">
        <v>33</v>
      </c>
      <c r="B937" s="1">
        <v>42475.6</v>
      </c>
      <c r="C937">
        <v>35802.68</v>
      </c>
      <c r="D937" s="2">
        <v>43509</v>
      </c>
      <c r="E937" t="s">
        <v>10</v>
      </c>
      <c r="F937" t="s">
        <v>34</v>
      </c>
      <c r="G937" t="s">
        <v>35</v>
      </c>
      <c r="H937" t="s">
        <v>40</v>
      </c>
      <c r="I937" t="s">
        <v>27</v>
      </c>
      <c r="J937" t="s">
        <v>1097</v>
      </c>
      <c r="L937">
        <f t="shared" si="57"/>
        <v>201902</v>
      </c>
      <c r="M937">
        <f t="shared" si="58"/>
        <v>2</v>
      </c>
      <c r="N937">
        <f t="shared" si="59"/>
        <v>2019</v>
      </c>
      <c r="O937" t="str">
        <f>VLOOKUP(M937,month_lookup!A:B,2,FALSE)</f>
        <v>Feb</v>
      </c>
      <c r="P937">
        <f t="shared" si="60"/>
        <v>-42475.6</v>
      </c>
    </row>
    <row r="938" spans="1:16" x14ac:dyDescent="0.25">
      <c r="A938" t="s">
        <v>22</v>
      </c>
      <c r="B938" s="1">
        <v>172340.86</v>
      </c>
      <c r="C938">
        <v>136562.9</v>
      </c>
      <c r="D938" s="2">
        <v>43930</v>
      </c>
      <c r="E938" t="s">
        <v>29</v>
      </c>
      <c r="F938" t="s">
        <v>290</v>
      </c>
      <c r="G938" t="s">
        <v>25</v>
      </c>
      <c r="H938" t="s">
        <v>89</v>
      </c>
      <c r="I938" t="s">
        <v>27</v>
      </c>
      <c r="J938" t="s">
        <v>1098</v>
      </c>
      <c r="L938">
        <f t="shared" si="57"/>
        <v>202004</v>
      </c>
      <c r="M938">
        <f t="shared" si="58"/>
        <v>4</v>
      </c>
      <c r="N938">
        <f t="shared" si="59"/>
        <v>2020</v>
      </c>
      <c r="O938" t="str">
        <f>VLOOKUP(M938,month_lookup!A:B,2,FALSE)</f>
        <v>Apr</v>
      </c>
      <c r="P938">
        <f t="shared" si="60"/>
        <v>172340.86</v>
      </c>
    </row>
    <row r="939" spans="1:16" x14ac:dyDescent="0.25">
      <c r="A939" t="s">
        <v>172</v>
      </c>
      <c r="B939" s="1">
        <v>165709.19</v>
      </c>
      <c r="C939">
        <v>138102.04</v>
      </c>
      <c r="D939" s="2">
        <v>44113</v>
      </c>
      <c r="E939" t="s">
        <v>59</v>
      </c>
      <c r="F939" t="s">
        <v>109</v>
      </c>
      <c r="G939" t="s">
        <v>174</v>
      </c>
      <c r="H939" t="s">
        <v>175</v>
      </c>
      <c r="I939" t="s">
        <v>27</v>
      </c>
      <c r="J939" t="s">
        <v>1099</v>
      </c>
      <c r="L939">
        <f t="shared" si="57"/>
        <v>202010</v>
      </c>
      <c r="M939">
        <f t="shared" si="58"/>
        <v>10</v>
      </c>
      <c r="N939">
        <f t="shared" si="59"/>
        <v>2020</v>
      </c>
      <c r="O939" t="str">
        <f>VLOOKUP(M939,month_lookup!A:B,2,FALSE)</f>
        <v>Oct</v>
      </c>
      <c r="P939">
        <f t="shared" si="60"/>
        <v>165709.19</v>
      </c>
    </row>
    <row r="940" spans="1:16" x14ac:dyDescent="0.25">
      <c r="A940" t="s">
        <v>137</v>
      </c>
      <c r="B940" s="1">
        <v>118409.59</v>
      </c>
      <c r="C940">
        <v>96030.18</v>
      </c>
      <c r="D940" s="2">
        <v>44110</v>
      </c>
      <c r="E940" t="s">
        <v>17</v>
      </c>
      <c r="F940" t="s">
        <v>179</v>
      </c>
      <c r="G940" t="s">
        <v>139</v>
      </c>
      <c r="H940" t="s">
        <v>140</v>
      </c>
      <c r="I940" t="s">
        <v>27</v>
      </c>
      <c r="J940" t="s">
        <v>1100</v>
      </c>
      <c r="L940">
        <f t="shared" si="57"/>
        <v>202010</v>
      </c>
      <c r="M940">
        <f t="shared" si="58"/>
        <v>10</v>
      </c>
      <c r="N940">
        <f t="shared" si="59"/>
        <v>2020</v>
      </c>
      <c r="O940" t="str">
        <f>VLOOKUP(M940,month_lookup!A:B,2,FALSE)</f>
        <v>Oct</v>
      </c>
      <c r="P940">
        <f t="shared" si="60"/>
        <v>118409.59</v>
      </c>
    </row>
    <row r="941" spans="1:16" x14ac:dyDescent="0.25">
      <c r="A941" t="s">
        <v>52</v>
      </c>
      <c r="B941" s="1">
        <v>58416.11</v>
      </c>
      <c r="C941">
        <v>48076.46</v>
      </c>
      <c r="D941" s="2">
        <v>43967</v>
      </c>
      <c r="E941" t="s">
        <v>50</v>
      </c>
      <c r="F941" t="s">
        <v>326</v>
      </c>
      <c r="G941" t="s">
        <v>54</v>
      </c>
      <c r="H941" t="s">
        <v>55</v>
      </c>
      <c r="I941" t="s">
        <v>27</v>
      </c>
      <c r="J941" t="s">
        <v>1101</v>
      </c>
      <c r="L941">
        <f t="shared" si="57"/>
        <v>202005</v>
      </c>
      <c r="M941">
        <f t="shared" si="58"/>
        <v>5</v>
      </c>
      <c r="N941">
        <f t="shared" si="59"/>
        <v>2020</v>
      </c>
      <c r="O941" t="str">
        <f>VLOOKUP(M941,month_lookup!A:B,2,FALSE)</f>
        <v>May</v>
      </c>
      <c r="P941">
        <f t="shared" si="60"/>
        <v>58416.11</v>
      </c>
    </row>
    <row r="942" spans="1:16" x14ac:dyDescent="0.25">
      <c r="A942" t="s">
        <v>52</v>
      </c>
      <c r="B942" s="1">
        <v>78629.19</v>
      </c>
      <c r="C942">
        <v>63359.4</v>
      </c>
      <c r="D942" s="2">
        <v>43517</v>
      </c>
      <c r="E942" t="s">
        <v>50</v>
      </c>
      <c r="F942" t="s">
        <v>34</v>
      </c>
      <c r="G942" t="s">
        <v>54</v>
      </c>
      <c r="H942" t="s">
        <v>71</v>
      </c>
      <c r="I942" t="s">
        <v>14</v>
      </c>
      <c r="J942" t="s">
        <v>1102</v>
      </c>
      <c r="L942">
        <f t="shared" si="57"/>
        <v>201902</v>
      </c>
      <c r="M942">
        <f t="shared" si="58"/>
        <v>2</v>
      </c>
      <c r="N942">
        <f t="shared" si="59"/>
        <v>2019</v>
      </c>
      <c r="O942" t="str">
        <f>VLOOKUP(M942,month_lookup!A:B,2,FALSE)</f>
        <v>Feb</v>
      </c>
      <c r="P942">
        <f t="shared" si="60"/>
        <v>-78629.19</v>
      </c>
    </row>
    <row r="943" spans="1:16" x14ac:dyDescent="0.25">
      <c r="A943" t="s">
        <v>9</v>
      </c>
      <c r="B943" s="1">
        <v>64842.92</v>
      </c>
      <c r="C943">
        <v>56439.28</v>
      </c>
      <c r="D943" s="2">
        <v>43737</v>
      </c>
      <c r="E943" t="s">
        <v>50</v>
      </c>
      <c r="F943" t="s">
        <v>24</v>
      </c>
      <c r="G943" t="s">
        <v>12</v>
      </c>
      <c r="H943" t="s">
        <v>81</v>
      </c>
      <c r="I943" t="s">
        <v>14</v>
      </c>
      <c r="J943" t="s">
        <v>1103</v>
      </c>
      <c r="L943">
        <f t="shared" si="57"/>
        <v>201909</v>
      </c>
      <c r="M943">
        <f t="shared" si="58"/>
        <v>9</v>
      </c>
      <c r="N943">
        <f t="shared" si="59"/>
        <v>2019</v>
      </c>
      <c r="O943" t="str">
        <f>VLOOKUP(M943,month_lookup!A:B,2,FALSE)</f>
        <v>Sep</v>
      </c>
      <c r="P943">
        <f t="shared" si="60"/>
        <v>-64842.92</v>
      </c>
    </row>
    <row r="944" spans="1:16" x14ac:dyDescent="0.25">
      <c r="A944" t="s">
        <v>95</v>
      </c>
      <c r="B944" s="1">
        <v>76183.740000000005</v>
      </c>
      <c r="C944">
        <v>61617.41</v>
      </c>
      <c r="D944" s="2">
        <v>43619</v>
      </c>
      <c r="E944" t="s">
        <v>23</v>
      </c>
      <c r="F944" t="s">
        <v>46</v>
      </c>
      <c r="G944" t="s">
        <v>97</v>
      </c>
      <c r="H944" t="s">
        <v>98</v>
      </c>
      <c r="I944" t="s">
        <v>14</v>
      </c>
      <c r="J944" t="s">
        <v>1104</v>
      </c>
      <c r="L944">
        <f t="shared" si="57"/>
        <v>201906</v>
      </c>
      <c r="M944">
        <f t="shared" si="58"/>
        <v>6</v>
      </c>
      <c r="N944">
        <f t="shared" si="59"/>
        <v>2019</v>
      </c>
      <c r="O944" t="str">
        <f>VLOOKUP(M944,month_lookup!A:B,2,FALSE)</f>
        <v>Jun</v>
      </c>
      <c r="P944">
        <f t="shared" si="60"/>
        <v>-76183.740000000005</v>
      </c>
    </row>
    <row r="945" spans="1:16" x14ac:dyDescent="0.25">
      <c r="A945" t="s">
        <v>9</v>
      </c>
      <c r="B945" s="1">
        <v>131839.16</v>
      </c>
      <c r="C945">
        <v>115372.45</v>
      </c>
      <c r="D945" s="2">
        <v>43948</v>
      </c>
      <c r="E945" t="s">
        <v>10</v>
      </c>
      <c r="F945" t="s">
        <v>181</v>
      </c>
      <c r="G945" t="s">
        <v>12</v>
      </c>
      <c r="H945" t="s">
        <v>13</v>
      </c>
      <c r="I945" t="s">
        <v>27</v>
      </c>
      <c r="J945" t="s">
        <v>1105</v>
      </c>
      <c r="L945">
        <f t="shared" si="57"/>
        <v>202004</v>
      </c>
      <c r="M945">
        <f t="shared" si="58"/>
        <v>4</v>
      </c>
      <c r="N945">
        <f t="shared" si="59"/>
        <v>2020</v>
      </c>
      <c r="O945" t="str">
        <f>VLOOKUP(M945,month_lookup!A:B,2,FALSE)</f>
        <v>Apr</v>
      </c>
      <c r="P945">
        <f t="shared" si="60"/>
        <v>131839.16</v>
      </c>
    </row>
    <row r="946" spans="1:16" x14ac:dyDescent="0.25">
      <c r="A946" t="s">
        <v>22</v>
      </c>
      <c r="B946" s="1">
        <v>147092.62</v>
      </c>
      <c r="C946">
        <v>117806.48</v>
      </c>
      <c r="D946" s="2">
        <v>44135</v>
      </c>
      <c r="E946" t="s">
        <v>23</v>
      </c>
      <c r="F946" t="s">
        <v>145</v>
      </c>
      <c r="G946" t="s">
        <v>25</v>
      </c>
      <c r="H946" t="s">
        <v>89</v>
      </c>
      <c r="I946" t="s">
        <v>27</v>
      </c>
      <c r="J946" t="s">
        <v>1106</v>
      </c>
      <c r="L946">
        <f t="shared" si="57"/>
        <v>202010</v>
      </c>
      <c r="M946">
        <f t="shared" si="58"/>
        <v>10</v>
      </c>
      <c r="N946">
        <f t="shared" si="59"/>
        <v>2020</v>
      </c>
      <c r="O946" t="str">
        <f>VLOOKUP(M946,month_lookup!A:B,2,FALSE)</f>
        <v>Oct</v>
      </c>
      <c r="P946">
        <f t="shared" si="60"/>
        <v>147092.62</v>
      </c>
    </row>
    <row r="947" spans="1:16" x14ac:dyDescent="0.25">
      <c r="A947" t="s">
        <v>16</v>
      </c>
      <c r="B947" s="1">
        <v>62011.86</v>
      </c>
      <c r="C947">
        <v>49324.23</v>
      </c>
      <c r="D947" s="2">
        <v>43482</v>
      </c>
      <c r="E947" t="s">
        <v>29</v>
      </c>
      <c r="F947" t="s">
        <v>34</v>
      </c>
      <c r="G947" t="s">
        <v>19</v>
      </c>
      <c r="H947" t="s">
        <v>352</v>
      </c>
      <c r="I947" t="s">
        <v>37</v>
      </c>
      <c r="J947" t="s">
        <v>1107</v>
      </c>
      <c r="L947">
        <f t="shared" si="57"/>
        <v>201901</v>
      </c>
      <c r="M947">
        <f t="shared" si="58"/>
        <v>1</v>
      </c>
      <c r="N947">
        <f t="shared" si="59"/>
        <v>2019</v>
      </c>
      <c r="O947" t="str">
        <f>VLOOKUP(M947,month_lookup!A:B,2,FALSE)</f>
        <v>Jan</v>
      </c>
      <c r="P947">
        <f t="shared" si="60"/>
        <v>-62011.86</v>
      </c>
    </row>
    <row r="948" spans="1:16" x14ac:dyDescent="0.25">
      <c r="A948" t="s">
        <v>22</v>
      </c>
      <c r="B948" s="1">
        <v>56763.040000000001</v>
      </c>
      <c r="C948">
        <v>47663.92</v>
      </c>
      <c r="D948" s="2">
        <v>43688</v>
      </c>
      <c r="E948" t="s">
        <v>59</v>
      </c>
      <c r="F948" t="s">
        <v>111</v>
      </c>
      <c r="G948" t="s">
        <v>25</v>
      </c>
      <c r="H948" t="s">
        <v>31</v>
      </c>
      <c r="I948" t="s">
        <v>14</v>
      </c>
      <c r="J948" t="s">
        <v>1108</v>
      </c>
      <c r="L948">
        <f t="shared" si="57"/>
        <v>201908</v>
      </c>
      <c r="M948">
        <f t="shared" si="58"/>
        <v>8</v>
      </c>
      <c r="N948">
        <f t="shared" si="59"/>
        <v>2019</v>
      </c>
      <c r="O948" t="str">
        <f>VLOOKUP(M948,month_lookup!A:B,2,FALSE)</f>
        <v>Aug</v>
      </c>
      <c r="P948">
        <f t="shared" si="60"/>
        <v>-56763.040000000001</v>
      </c>
    </row>
    <row r="949" spans="1:16" x14ac:dyDescent="0.25">
      <c r="A949" t="s">
        <v>22</v>
      </c>
      <c r="B949" s="1">
        <v>78057.960000000006</v>
      </c>
      <c r="C949">
        <v>67161.070000000007</v>
      </c>
      <c r="D949" s="2">
        <v>44164</v>
      </c>
      <c r="E949" t="s">
        <v>29</v>
      </c>
      <c r="F949" t="s">
        <v>57</v>
      </c>
      <c r="G949" t="s">
        <v>25</v>
      </c>
      <c r="H949" t="s">
        <v>89</v>
      </c>
      <c r="I949" t="s">
        <v>37</v>
      </c>
      <c r="J949" t="s">
        <v>1109</v>
      </c>
      <c r="L949">
        <f t="shared" si="57"/>
        <v>202011</v>
      </c>
      <c r="M949">
        <f t="shared" si="58"/>
        <v>11</v>
      </c>
      <c r="N949">
        <f t="shared" si="59"/>
        <v>2020</v>
      </c>
      <c r="O949" t="str">
        <f>VLOOKUP(M949,month_lookup!A:B,2,FALSE)</f>
        <v>Nov</v>
      </c>
      <c r="P949">
        <f t="shared" si="60"/>
        <v>78057.960000000006</v>
      </c>
    </row>
    <row r="950" spans="1:16" x14ac:dyDescent="0.25">
      <c r="A950" t="s">
        <v>44</v>
      </c>
      <c r="B950" s="1">
        <v>96358.45</v>
      </c>
      <c r="C950">
        <v>80700.2</v>
      </c>
      <c r="D950" s="2">
        <v>43628</v>
      </c>
      <c r="E950" t="s">
        <v>61</v>
      </c>
      <c r="F950" t="s">
        <v>647</v>
      </c>
      <c r="G950" t="s">
        <v>47</v>
      </c>
      <c r="H950" t="s">
        <v>65</v>
      </c>
      <c r="I950" t="s">
        <v>27</v>
      </c>
      <c r="J950" t="s">
        <v>1110</v>
      </c>
      <c r="L950">
        <f t="shared" si="57"/>
        <v>201906</v>
      </c>
      <c r="M950">
        <f t="shared" si="58"/>
        <v>6</v>
      </c>
      <c r="N950">
        <f t="shared" si="59"/>
        <v>2019</v>
      </c>
      <c r="O950" t="str">
        <f>VLOOKUP(M950,month_lookup!A:B,2,FALSE)</f>
        <v>Jun</v>
      </c>
      <c r="P950">
        <f t="shared" si="60"/>
        <v>-96358.45</v>
      </c>
    </row>
    <row r="951" spans="1:16" x14ac:dyDescent="0.25">
      <c r="A951" t="s">
        <v>52</v>
      </c>
      <c r="B951" s="1">
        <v>40535.64</v>
      </c>
      <c r="C951">
        <v>35480.85</v>
      </c>
      <c r="D951" s="2">
        <v>43478</v>
      </c>
      <c r="E951" t="s">
        <v>79</v>
      </c>
      <c r="F951" t="s">
        <v>233</v>
      </c>
      <c r="G951" t="s">
        <v>54</v>
      </c>
      <c r="H951" t="s">
        <v>127</v>
      </c>
      <c r="I951" t="s">
        <v>27</v>
      </c>
      <c r="J951" t="s">
        <v>1111</v>
      </c>
      <c r="L951">
        <f t="shared" si="57"/>
        <v>201901</v>
      </c>
      <c r="M951">
        <f t="shared" si="58"/>
        <v>1</v>
      </c>
      <c r="N951">
        <f t="shared" si="59"/>
        <v>2019</v>
      </c>
      <c r="O951" t="str">
        <f>VLOOKUP(M951,month_lookup!A:B,2,FALSE)</f>
        <v>Jan</v>
      </c>
      <c r="P951">
        <f t="shared" si="60"/>
        <v>-40535.64</v>
      </c>
    </row>
    <row r="952" spans="1:16" x14ac:dyDescent="0.25">
      <c r="A952" t="s">
        <v>52</v>
      </c>
      <c r="B952" s="1">
        <v>96795.99</v>
      </c>
      <c r="C952">
        <v>81395.75</v>
      </c>
      <c r="D952" s="2">
        <v>43637</v>
      </c>
      <c r="E952" t="s">
        <v>50</v>
      </c>
      <c r="F952" t="s">
        <v>394</v>
      </c>
      <c r="G952" t="s">
        <v>54</v>
      </c>
      <c r="H952" t="s">
        <v>143</v>
      </c>
      <c r="I952" t="s">
        <v>27</v>
      </c>
      <c r="J952" t="s">
        <v>1112</v>
      </c>
      <c r="L952">
        <f t="shared" si="57"/>
        <v>201906</v>
      </c>
      <c r="M952">
        <f t="shared" si="58"/>
        <v>6</v>
      </c>
      <c r="N952">
        <f t="shared" si="59"/>
        <v>2019</v>
      </c>
      <c r="O952" t="str">
        <f>VLOOKUP(M952,month_lookup!A:B,2,FALSE)</f>
        <v>Jun</v>
      </c>
      <c r="P952">
        <f t="shared" si="60"/>
        <v>-96795.99</v>
      </c>
    </row>
    <row r="953" spans="1:16" x14ac:dyDescent="0.25">
      <c r="A953" t="s">
        <v>22</v>
      </c>
      <c r="B953" s="1">
        <v>122035.93</v>
      </c>
      <c r="C953">
        <v>97897.22</v>
      </c>
      <c r="D953" s="2">
        <v>44003</v>
      </c>
      <c r="E953" t="s">
        <v>45</v>
      </c>
      <c r="F953" t="s">
        <v>24</v>
      </c>
      <c r="G953" t="s">
        <v>25</v>
      </c>
      <c r="H953" t="s">
        <v>31</v>
      </c>
      <c r="I953" t="s">
        <v>27</v>
      </c>
      <c r="J953" t="s">
        <v>1113</v>
      </c>
      <c r="L953">
        <f t="shared" si="57"/>
        <v>202006</v>
      </c>
      <c r="M953">
        <f t="shared" si="58"/>
        <v>6</v>
      </c>
      <c r="N953">
        <f t="shared" si="59"/>
        <v>2020</v>
      </c>
      <c r="O953" t="str">
        <f>VLOOKUP(M953,month_lookup!A:B,2,FALSE)</f>
        <v>Jun</v>
      </c>
      <c r="P953">
        <f t="shared" si="60"/>
        <v>122035.93</v>
      </c>
    </row>
    <row r="954" spans="1:16" x14ac:dyDescent="0.25">
      <c r="A954" t="s">
        <v>9</v>
      </c>
      <c r="B954" s="1">
        <v>89502.53</v>
      </c>
      <c r="C954">
        <v>72488.100000000006</v>
      </c>
      <c r="D954" s="2">
        <v>44135</v>
      </c>
      <c r="E954" t="s">
        <v>23</v>
      </c>
      <c r="F954" t="s">
        <v>445</v>
      </c>
      <c r="G954" t="s">
        <v>12</v>
      </c>
      <c r="H954" t="s">
        <v>169</v>
      </c>
      <c r="I954" t="s">
        <v>27</v>
      </c>
      <c r="J954" t="s">
        <v>1114</v>
      </c>
      <c r="L954">
        <f t="shared" si="57"/>
        <v>202010</v>
      </c>
      <c r="M954">
        <f t="shared" si="58"/>
        <v>10</v>
      </c>
      <c r="N954">
        <f t="shared" si="59"/>
        <v>2020</v>
      </c>
      <c r="O954" t="str">
        <f>VLOOKUP(M954,month_lookup!A:B,2,FALSE)</f>
        <v>Oct</v>
      </c>
      <c r="P954">
        <f t="shared" si="60"/>
        <v>89502.53</v>
      </c>
    </row>
    <row r="955" spans="1:16" x14ac:dyDescent="0.25">
      <c r="A955" t="s">
        <v>22</v>
      </c>
      <c r="B955" s="1">
        <v>223233.32</v>
      </c>
      <c r="C955">
        <v>179100.09</v>
      </c>
      <c r="D955" s="2">
        <v>43644</v>
      </c>
      <c r="E955" t="s">
        <v>17</v>
      </c>
      <c r="F955" t="s">
        <v>88</v>
      </c>
      <c r="G955" t="s">
        <v>25</v>
      </c>
      <c r="H955" t="s">
        <v>75</v>
      </c>
      <c r="I955" t="s">
        <v>27</v>
      </c>
      <c r="J955" t="s">
        <v>1115</v>
      </c>
      <c r="L955">
        <f t="shared" si="57"/>
        <v>201906</v>
      </c>
      <c r="M955">
        <f t="shared" si="58"/>
        <v>6</v>
      </c>
      <c r="N955">
        <f t="shared" si="59"/>
        <v>2019</v>
      </c>
      <c r="O955" t="str">
        <f>VLOOKUP(M955,month_lookup!A:B,2,FALSE)</f>
        <v>Jun</v>
      </c>
      <c r="P955">
        <f t="shared" si="60"/>
        <v>-223233.32</v>
      </c>
    </row>
    <row r="956" spans="1:16" x14ac:dyDescent="0.25">
      <c r="A956" t="s">
        <v>16</v>
      </c>
      <c r="B956" s="1">
        <v>33190.03</v>
      </c>
      <c r="C956">
        <v>28397.39</v>
      </c>
      <c r="D956" s="2">
        <v>44061</v>
      </c>
      <c r="E956" t="s">
        <v>79</v>
      </c>
      <c r="F956" t="s">
        <v>340</v>
      </c>
      <c r="G956" t="s">
        <v>19</v>
      </c>
      <c r="H956" t="s">
        <v>20</v>
      </c>
      <c r="I956" t="s">
        <v>37</v>
      </c>
      <c r="J956" t="s">
        <v>1116</v>
      </c>
      <c r="L956">
        <f t="shared" si="57"/>
        <v>202008</v>
      </c>
      <c r="M956">
        <f t="shared" si="58"/>
        <v>8</v>
      </c>
      <c r="N956">
        <f t="shared" si="59"/>
        <v>2020</v>
      </c>
      <c r="O956" t="str">
        <f>VLOOKUP(M956,month_lookup!A:B,2,FALSE)</f>
        <v>Aug</v>
      </c>
      <c r="P956">
        <f t="shared" si="60"/>
        <v>33190.03</v>
      </c>
    </row>
    <row r="957" spans="1:16" x14ac:dyDescent="0.25">
      <c r="A957" t="s">
        <v>22</v>
      </c>
      <c r="B957" s="1">
        <v>82357.570000000007</v>
      </c>
      <c r="C957">
        <v>65474.27</v>
      </c>
      <c r="D957" s="2">
        <v>43515</v>
      </c>
      <c r="E957" t="s">
        <v>10</v>
      </c>
      <c r="F957" t="s">
        <v>233</v>
      </c>
      <c r="G957" t="s">
        <v>25</v>
      </c>
      <c r="H957" t="s">
        <v>31</v>
      </c>
      <c r="I957" t="s">
        <v>27</v>
      </c>
      <c r="J957" t="s">
        <v>1117</v>
      </c>
      <c r="L957">
        <f t="shared" si="57"/>
        <v>201902</v>
      </c>
      <c r="M957">
        <f t="shared" si="58"/>
        <v>2</v>
      </c>
      <c r="N957">
        <f t="shared" si="59"/>
        <v>2019</v>
      </c>
      <c r="O957" t="str">
        <f>VLOOKUP(M957,month_lookup!A:B,2,FALSE)</f>
        <v>Feb</v>
      </c>
      <c r="P957">
        <f t="shared" si="60"/>
        <v>-82357.570000000007</v>
      </c>
    </row>
    <row r="958" spans="1:16" x14ac:dyDescent="0.25">
      <c r="A958" t="s">
        <v>172</v>
      </c>
      <c r="B958" s="1">
        <v>46857.77</v>
      </c>
      <c r="C958">
        <v>39116.870000000003</v>
      </c>
      <c r="D958" s="2">
        <v>44001</v>
      </c>
      <c r="E958" t="s">
        <v>17</v>
      </c>
      <c r="F958" t="s">
        <v>34</v>
      </c>
      <c r="G958" t="s">
        <v>174</v>
      </c>
      <c r="H958" t="s">
        <v>211</v>
      </c>
      <c r="I958" t="s">
        <v>14</v>
      </c>
      <c r="J958" t="s">
        <v>1118</v>
      </c>
      <c r="L958">
        <f t="shared" si="57"/>
        <v>202006</v>
      </c>
      <c r="M958">
        <f t="shared" si="58"/>
        <v>6</v>
      </c>
      <c r="N958">
        <f t="shared" si="59"/>
        <v>2020</v>
      </c>
      <c r="O958" t="str">
        <f>VLOOKUP(M958,month_lookup!A:B,2,FALSE)</f>
        <v>Jun</v>
      </c>
      <c r="P958">
        <f t="shared" si="60"/>
        <v>46857.77</v>
      </c>
    </row>
    <row r="959" spans="1:16" x14ac:dyDescent="0.25">
      <c r="A959" t="s">
        <v>44</v>
      </c>
      <c r="B959" s="1">
        <v>178560.1</v>
      </c>
      <c r="C959">
        <v>150383.32</v>
      </c>
      <c r="D959" s="2">
        <v>44014</v>
      </c>
      <c r="E959" t="s">
        <v>10</v>
      </c>
      <c r="F959" t="s">
        <v>184</v>
      </c>
      <c r="G959" t="s">
        <v>47</v>
      </c>
      <c r="H959" t="s">
        <v>48</v>
      </c>
      <c r="I959" t="s">
        <v>14</v>
      </c>
      <c r="J959" t="s">
        <v>1119</v>
      </c>
      <c r="L959">
        <f t="shared" si="57"/>
        <v>202007</v>
      </c>
      <c r="M959">
        <f t="shared" si="58"/>
        <v>7</v>
      </c>
      <c r="N959">
        <f t="shared" si="59"/>
        <v>2020</v>
      </c>
      <c r="O959" t="str">
        <f>VLOOKUP(M959,month_lookup!A:B,2,FALSE)</f>
        <v>Jul</v>
      </c>
      <c r="P959">
        <f t="shared" si="60"/>
        <v>178560.1</v>
      </c>
    </row>
    <row r="960" spans="1:16" x14ac:dyDescent="0.25">
      <c r="A960" t="s">
        <v>9</v>
      </c>
      <c r="B960" s="1">
        <v>173944.47</v>
      </c>
      <c r="C960">
        <v>139729.59</v>
      </c>
      <c r="D960" s="2">
        <v>44085</v>
      </c>
      <c r="E960" t="s">
        <v>10</v>
      </c>
      <c r="F960" t="s">
        <v>34</v>
      </c>
      <c r="G960" t="s">
        <v>12</v>
      </c>
      <c r="H960" t="s">
        <v>13</v>
      </c>
      <c r="I960" t="s">
        <v>27</v>
      </c>
      <c r="J960" t="s">
        <v>1120</v>
      </c>
      <c r="L960">
        <f t="shared" si="57"/>
        <v>202009</v>
      </c>
      <c r="M960">
        <f t="shared" si="58"/>
        <v>9</v>
      </c>
      <c r="N960">
        <f t="shared" si="59"/>
        <v>2020</v>
      </c>
      <c r="O960" t="str">
        <f>VLOOKUP(M960,month_lookup!A:B,2,FALSE)</f>
        <v>Sep</v>
      </c>
      <c r="P960">
        <f t="shared" si="60"/>
        <v>173944.47</v>
      </c>
    </row>
    <row r="961" spans="1:16" x14ac:dyDescent="0.25">
      <c r="A961" t="s">
        <v>44</v>
      </c>
      <c r="B961" s="1">
        <v>176662.26</v>
      </c>
      <c r="C961">
        <v>146859.34</v>
      </c>
      <c r="D961" s="2">
        <v>44010</v>
      </c>
      <c r="E961" t="s">
        <v>79</v>
      </c>
      <c r="F961" t="s">
        <v>113</v>
      </c>
      <c r="G961" t="s">
        <v>47</v>
      </c>
      <c r="H961" t="s">
        <v>65</v>
      </c>
      <c r="I961" t="s">
        <v>27</v>
      </c>
      <c r="J961" t="s">
        <v>1121</v>
      </c>
      <c r="L961">
        <f t="shared" si="57"/>
        <v>202006</v>
      </c>
      <c r="M961">
        <f t="shared" si="58"/>
        <v>6</v>
      </c>
      <c r="N961">
        <f t="shared" si="59"/>
        <v>2020</v>
      </c>
      <c r="O961" t="str">
        <f>VLOOKUP(M961,month_lookup!A:B,2,FALSE)</f>
        <v>Jun</v>
      </c>
      <c r="P961">
        <f t="shared" si="60"/>
        <v>176662.26</v>
      </c>
    </row>
    <row r="962" spans="1:16" x14ac:dyDescent="0.25">
      <c r="A962" t="s">
        <v>52</v>
      </c>
      <c r="B962" s="1">
        <v>133754.65</v>
      </c>
      <c r="C962">
        <v>106147.69</v>
      </c>
      <c r="D962" s="2">
        <v>44092</v>
      </c>
      <c r="E962" t="s">
        <v>17</v>
      </c>
      <c r="F962" t="s">
        <v>96</v>
      </c>
      <c r="G962" t="s">
        <v>54</v>
      </c>
      <c r="H962" t="s">
        <v>132</v>
      </c>
      <c r="I962" t="s">
        <v>27</v>
      </c>
      <c r="J962" t="s">
        <v>1122</v>
      </c>
      <c r="L962">
        <f t="shared" si="57"/>
        <v>202009</v>
      </c>
      <c r="M962">
        <f t="shared" si="58"/>
        <v>9</v>
      </c>
      <c r="N962">
        <f t="shared" si="59"/>
        <v>2020</v>
      </c>
      <c r="O962" t="str">
        <f>VLOOKUP(M962,month_lookup!A:B,2,FALSE)</f>
        <v>Sep</v>
      </c>
      <c r="P962">
        <f t="shared" si="60"/>
        <v>133754.65</v>
      </c>
    </row>
    <row r="963" spans="1:16" x14ac:dyDescent="0.25">
      <c r="A963" t="s">
        <v>100</v>
      </c>
      <c r="B963" s="1">
        <v>159294.28</v>
      </c>
      <c r="C963">
        <v>130605.38</v>
      </c>
      <c r="D963" s="2">
        <v>44052</v>
      </c>
      <c r="E963" t="s">
        <v>23</v>
      </c>
      <c r="F963" t="s">
        <v>134</v>
      </c>
      <c r="G963" t="s">
        <v>102</v>
      </c>
      <c r="H963" t="s">
        <v>103</v>
      </c>
      <c r="I963" t="s">
        <v>27</v>
      </c>
      <c r="J963" t="s">
        <v>1123</v>
      </c>
      <c r="L963">
        <f t="shared" ref="L963:L1001" si="61">YEAR(D963)*100+MONTH(D963)</f>
        <v>202008</v>
      </c>
      <c r="M963">
        <f t="shared" ref="M963:M1001" si="62">MONTH(D963)</f>
        <v>8</v>
      </c>
      <c r="N963">
        <f t="shared" ref="N963:N1001" si="63">YEAR(D963)</f>
        <v>2020</v>
      </c>
      <c r="O963" t="str">
        <f>VLOOKUP(M963,month_lookup!A:B,2,FALSE)</f>
        <v>Aug</v>
      </c>
      <c r="P963">
        <f t="shared" si="60"/>
        <v>159294.28</v>
      </c>
    </row>
    <row r="964" spans="1:16" x14ac:dyDescent="0.25">
      <c r="A964" t="s">
        <v>52</v>
      </c>
      <c r="B964" s="1">
        <v>123562.02</v>
      </c>
      <c r="C964">
        <v>102927.16</v>
      </c>
      <c r="D964" s="2">
        <v>43943</v>
      </c>
      <c r="E964" t="s">
        <v>23</v>
      </c>
      <c r="F964" t="s">
        <v>147</v>
      </c>
      <c r="G964" t="s">
        <v>54</v>
      </c>
      <c r="H964" t="s">
        <v>71</v>
      </c>
      <c r="I964" t="s">
        <v>27</v>
      </c>
      <c r="J964" t="s">
        <v>1124</v>
      </c>
      <c r="L964">
        <f t="shared" si="61"/>
        <v>202004</v>
      </c>
      <c r="M964">
        <f t="shared" si="62"/>
        <v>4</v>
      </c>
      <c r="N964">
        <f t="shared" si="63"/>
        <v>2020</v>
      </c>
      <c r="O964" t="str">
        <f>VLOOKUP(M964,month_lookup!A:B,2,FALSE)</f>
        <v>Apr</v>
      </c>
      <c r="P964">
        <f t="shared" si="60"/>
        <v>123562.02</v>
      </c>
    </row>
    <row r="965" spans="1:16" x14ac:dyDescent="0.25">
      <c r="A965" t="s">
        <v>52</v>
      </c>
      <c r="B965" s="1">
        <v>33013.08</v>
      </c>
      <c r="C965">
        <v>26743.9</v>
      </c>
      <c r="D965" s="2">
        <v>44163</v>
      </c>
      <c r="E965" t="s">
        <v>79</v>
      </c>
      <c r="F965" t="s">
        <v>88</v>
      </c>
      <c r="G965" t="s">
        <v>54</v>
      </c>
      <c r="H965" t="s">
        <v>71</v>
      </c>
      <c r="I965" t="s">
        <v>27</v>
      </c>
      <c r="J965" t="s">
        <v>1125</v>
      </c>
      <c r="L965">
        <f t="shared" si="61"/>
        <v>202011</v>
      </c>
      <c r="M965">
        <f t="shared" si="62"/>
        <v>11</v>
      </c>
      <c r="N965">
        <f t="shared" si="63"/>
        <v>2020</v>
      </c>
      <c r="O965" t="str">
        <f>VLOOKUP(M965,month_lookup!A:B,2,FALSE)</f>
        <v>Nov</v>
      </c>
      <c r="P965">
        <f t="shared" si="60"/>
        <v>33013.08</v>
      </c>
    </row>
    <row r="966" spans="1:16" x14ac:dyDescent="0.25">
      <c r="A966" t="s">
        <v>22</v>
      </c>
      <c r="B966" s="1">
        <v>105340.85</v>
      </c>
      <c r="C966">
        <v>87285.43</v>
      </c>
      <c r="D966" s="2">
        <v>44061</v>
      </c>
      <c r="E966" t="s">
        <v>10</v>
      </c>
      <c r="F966" t="s">
        <v>39</v>
      </c>
      <c r="G966" t="s">
        <v>25</v>
      </c>
      <c r="H966" t="s">
        <v>218</v>
      </c>
      <c r="I966" t="s">
        <v>27</v>
      </c>
      <c r="J966" t="s">
        <v>1126</v>
      </c>
      <c r="L966">
        <f t="shared" si="61"/>
        <v>202008</v>
      </c>
      <c r="M966">
        <f t="shared" si="62"/>
        <v>8</v>
      </c>
      <c r="N966">
        <f t="shared" si="63"/>
        <v>2020</v>
      </c>
      <c r="O966" t="str">
        <f>VLOOKUP(M966,month_lookup!A:B,2,FALSE)</f>
        <v>Aug</v>
      </c>
      <c r="P966">
        <f t="shared" si="60"/>
        <v>105340.85</v>
      </c>
    </row>
    <row r="967" spans="1:16" x14ac:dyDescent="0.25">
      <c r="A967" t="s">
        <v>33</v>
      </c>
      <c r="B967" s="1">
        <v>127143.54</v>
      </c>
      <c r="C967">
        <v>105033.28</v>
      </c>
      <c r="D967" s="2">
        <v>43741</v>
      </c>
      <c r="E967" t="s">
        <v>79</v>
      </c>
      <c r="F967" t="s">
        <v>101</v>
      </c>
      <c r="G967" t="s">
        <v>35</v>
      </c>
      <c r="H967" t="s">
        <v>36</v>
      </c>
      <c r="I967" t="s">
        <v>27</v>
      </c>
      <c r="J967" t="s">
        <v>1127</v>
      </c>
      <c r="L967">
        <f t="shared" si="61"/>
        <v>201910</v>
      </c>
      <c r="M967">
        <f t="shared" si="62"/>
        <v>10</v>
      </c>
      <c r="N967">
        <f t="shared" si="63"/>
        <v>2019</v>
      </c>
      <c r="O967" t="str">
        <f>VLOOKUP(M967,month_lookup!A:B,2,FALSE)</f>
        <v>Oct</v>
      </c>
      <c r="P967">
        <f t="shared" ref="P967:P1001" si="64">IF(N967=2020,B967,-B967)</f>
        <v>-127143.54</v>
      </c>
    </row>
    <row r="968" spans="1:16" x14ac:dyDescent="0.25">
      <c r="A968" t="s">
        <v>22</v>
      </c>
      <c r="B968" s="1">
        <v>56570.64</v>
      </c>
      <c r="C968">
        <v>46993.23</v>
      </c>
      <c r="D968" s="2">
        <v>44109</v>
      </c>
      <c r="E968" t="s">
        <v>10</v>
      </c>
      <c r="F968" t="s">
        <v>77</v>
      </c>
      <c r="G968" t="s">
        <v>25</v>
      </c>
      <c r="H968" t="s">
        <v>26</v>
      </c>
      <c r="I968" t="s">
        <v>27</v>
      </c>
      <c r="J968" t="s">
        <v>1128</v>
      </c>
      <c r="L968">
        <f t="shared" si="61"/>
        <v>202010</v>
      </c>
      <c r="M968">
        <f t="shared" si="62"/>
        <v>10</v>
      </c>
      <c r="N968">
        <f t="shared" si="63"/>
        <v>2020</v>
      </c>
      <c r="O968" t="str">
        <f>VLOOKUP(M968,month_lookup!A:B,2,FALSE)</f>
        <v>Oct</v>
      </c>
      <c r="P968">
        <f t="shared" si="64"/>
        <v>56570.64</v>
      </c>
    </row>
    <row r="969" spans="1:16" x14ac:dyDescent="0.25">
      <c r="A969" t="s">
        <v>52</v>
      </c>
      <c r="B969" s="1">
        <v>75522.66</v>
      </c>
      <c r="C969">
        <v>60448.34</v>
      </c>
      <c r="D969" s="2">
        <v>43537</v>
      </c>
      <c r="E969" t="s">
        <v>59</v>
      </c>
      <c r="F969" t="s">
        <v>253</v>
      </c>
      <c r="G969" t="s">
        <v>54</v>
      </c>
      <c r="H969" t="s">
        <v>127</v>
      </c>
      <c r="I969" t="s">
        <v>27</v>
      </c>
      <c r="J969" t="s">
        <v>1129</v>
      </c>
      <c r="L969">
        <f t="shared" si="61"/>
        <v>201903</v>
      </c>
      <c r="M969">
        <f t="shared" si="62"/>
        <v>3</v>
      </c>
      <c r="N969">
        <f t="shared" si="63"/>
        <v>2019</v>
      </c>
      <c r="O969" t="str">
        <f>VLOOKUP(M969,month_lookup!A:B,2,FALSE)</f>
        <v>Mar</v>
      </c>
      <c r="P969">
        <f t="shared" si="64"/>
        <v>-75522.66</v>
      </c>
    </row>
    <row r="970" spans="1:16" x14ac:dyDescent="0.25">
      <c r="A970" t="s">
        <v>22</v>
      </c>
      <c r="B970" s="1">
        <v>87085.71</v>
      </c>
      <c r="C970">
        <v>76548.34</v>
      </c>
      <c r="D970" s="2">
        <v>44070</v>
      </c>
      <c r="E970" t="s">
        <v>61</v>
      </c>
      <c r="F970" t="s">
        <v>187</v>
      </c>
      <c r="G970" t="s">
        <v>25</v>
      </c>
      <c r="H970" t="s">
        <v>26</v>
      </c>
      <c r="I970" t="s">
        <v>27</v>
      </c>
      <c r="J970" t="s">
        <v>1130</v>
      </c>
      <c r="L970">
        <f t="shared" si="61"/>
        <v>202008</v>
      </c>
      <c r="M970">
        <f t="shared" si="62"/>
        <v>8</v>
      </c>
      <c r="N970">
        <f t="shared" si="63"/>
        <v>2020</v>
      </c>
      <c r="O970" t="str">
        <f>VLOOKUP(M970,month_lookup!A:B,2,FALSE)</f>
        <v>Aug</v>
      </c>
      <c r="P970">
        <f t="shared" si="64"/>
        <v>87085.71</v>
      </c>
    </row>
    <row r="971" spans="1:16" x14ac:dyDescent="0.25">
      <c r="A971" t="s">
        <v>44</v>
      </c>
      <c r="B971" s="1">
        <v>290010.78999999998</v>
      </c>
      <c r="C971">
        <v>234444.72</v>
      </c>
      <c r="D971" s="2">
        <v>43824</v>
      </c>
      <c r="E971" t="s">
        <v>59</v>
      </c>
      <c r="F971" t="s">
        <v>173</v>
      </c>
      <c r="G971" t="s">
        <v>47</v>
      </c>
      <c r="H971" t="s">
        <v>65</v>
      </c>
      <c r="I971" t="s">
        <v>27</v>
      </c>
      <c r="J971" t="s">
        <v>1131</v>
      </c>
      <c r="L971">
        <f t="shared" si="61"/>
        <v>201912</v>
      </c>
      <c r="M971">
        <f t="shared" si="62"/>
        <v>12</v>
      </c>
      <c r="N971">
        <f t="shared" si="63"/>
        <v>2019</v>
      </c>
      <c r="O971" t="str">
        <f>VLOOKUP(M971,month_lookup!A:B,2,FALSE)</f>
        <v>Dec</v>
      </c>
      <c r="P971">
        <f t="shared" si="64"/>
        <v>-290010.78999999998</v>
      </c>
    </row>
    <row r="972" spans="1:16" x14ac:dyDescent="0.25">
      <c r="A972" t="s">
        <v>105</v>
      </c>
      <c r="B972" s="1">
        <v>256603.66</v>
      </c>
      <c r="C972">
        <v>209799.15</v>
      </c>
      <c r="D972" s="2">
        <v>43673</v>
      </c>
      <c r="E972" t="s">
        <v>59</v>
      </c>
      <c r="F972" t="s">
        <v>184</v>
      </c>
      <c r="G972" t="s">
        <v>106</v>
      </c>
      <c r="H972" t="s">
        <v>107</v>
      </c>
      <c r="I972" t="s">
        <v>37</v>
      </c>
      <c r="J972" t="s">
        <v>1132</v>
      </c>
      <c r="L972">
        <f t="shared" si="61"/>
        <v>201907</v>
      </c>
      <c r="M972">
        <f t="shared" si="62"/>
        <v>7</v>
      </c>
      <c r="N972">
        <f t="shared" si="63"/>
        <v>2019</v>
      </c>
      <c r="O972" t="str">
        <f>VLOOKUP(M972,month_lookup!A:B,2,FALSE)</f>
        <v>Jul</v>
      </c>
      <c r="P972">
        <f t="shared" si="64"/>
        <v>-256603.66</v>
      </c>
    </row>
    <row r="973" spans="1:16" x14ac:dyDescent="0.25">
      <c r="A973" t="s">
        <v>44</v>
      </c>
      <c r="B973" s="1">
        <v>126074.62</v>
      </c>
      <c r="C973">
        <v>100027.6</v>
      </c>
      <c r="D973" s="2">
        <v>44142</v>
      </c>
      <c r="E973" t="s">
        <v>10</v>
      </c>
      <c r="F973" t="s">
        <v>53</v>
      </c>
      <c r="G973" t="s">
        <v>47</v>
      </c>
      <c r="H973" t="s">
        <v>48</v>
      </c>
      <c r="I973" t="s">
        <v>27</v>
      </c>
      <c r="J973" t="s">
        <v>1133</v>
      </c>
      <c r="L973">
        <f t="shared" si="61"/>
        <v>202011</v>
      </c>
      <c r="M973">
        <f t="shared" si="62"/>
        <v>11</v>
      </c>
      <c r="N973">
        <f t="shared" si="63"/>
        <v>2020</v>
      </c>
      <c r="O973" t="str">
        <f>VLOOKUP(M973,month_lookup!A:B,2,FALSE)</f>
        <v>Nov</v>
      </c>
      <c r="P973">
        <f t="shared" si="64"/>
        <v>126074.62</v>
      </c>
    </row>
    <row r="974" spans="1:16" x14ac:dyDescent="0.25">
      <c r="A974" t="s">
        <v>9</v>
      </c>
      <c r="B974" s="1">
        <v>94085.5</v>
      </c>
      <c r="C974">
        <v>77498.23</v>
      </c>
      <c r="D974" s="2">
        <v>43849</v>
      </c>
      <c r="E974" t="s">
        <v>79</v>
      </c>
      <c r="F974" t="s">
        <v>177</v>
      </c>
      <c r="G974" t="s">
        <v>12</v>
      </c>
      <c r="H974" t="s">
        <v>117</v>
      </c>
      <c r="I974" t="s">
        <v>27</v>
      </c>
      <c r="J974" t="s">
        <v>1134</v>
      </c>
      <c r="L974">
        <f t="shared" si="61"/>
        <v>202001</v>
      </c>
      <c r="M974">
        <f t="shared" si="62"/>
        <v>1</v>
      </c>
      <c r="N974">
        <f t="shared" si="63"/>
        <v>2020</v>
      </c>
      <c r="O974" t="str">
        <f>VLOOKUP(M974,month_lookup!A:B,2,FALSE)</f>
        <v>Jan</v>
      </c>
      <c r="P974">
        <f t="shared" si="64"/>
        <v>94085.5</v>
      </c>
    </row>
    <row r="975" spans="1:16" x14ac:dyDescent="0.25">
      <c r="A975" t="s">
        <v>22</v>
      </c>
      <c r="B975" s="1">
        <v>159216.47</v>
      </c>
      <c r="C975">
        <v>137419.74</v>
      </c>
      <c r="D975" s="2">
        <v>44008</v>
      </c>
      <c r="E975" t="s">
        <v>17</v>
      </c>
      <c r="F975" t="s">
        <v>34</v>
      </c>
      <c r="G975" t="s">
        <v>25</v>
      </c>
      <c r="H975" t="s">
        <v>26</v>
      </c>
      <c r="I975" t="s">
        <v>27</v>
      </c>
      <c r="J975" t="s">
        <v>1135</v>
      </c>
      <c r="L975">
        <f t="shared" si="61"/>
        <v>202006</v>
      </c>
      <c r="M975">
        <f t="shared" si="62"/>
        <v>6</v>
      </c>
      <c r="N975">
        <f t="shared" si="63"/>
        <v>2020</v>
      </c>
      <c r="O975" t="str">
        <f>VLOOKUP(M975,month_lookup!A:B,2,FALSE)</f>
        <v>Jun</v>
      </c>
      <c r="P975">
        <f t="shared" si="64"/>
        <v>159216.47</v>
      </c>
    </row>
    <row r="976" spans="1:16" x14ac:dyDescent="0.25">
      <c r="A976" t="s">
        <v>22</v>
      </c>
      <c r="B976" s="1">
        <v>74958.460000000006</v>
      </c>
      <c r="C976">
        <v>65806.03</v>
      </c>
      <c r="D976" s="2">
        <v>44048</v>
      </c>
      <c r="E976" t="s">
        <v>79</v>
      </c>
      <c r="F976" t="s">
        <v>30</v>
      </c>
      <c r="G976" t="s">
        <v>25</v>
      </c>
      <c r="H976" t="s">
        <v>26</v>
      </c>
      <c r="I976" t="s">
        <v>27</v>
      </c>
      <c r="J976" t="s">
        <v>1136</v>
      </c>
      <c r="L976">
        <f t="shared" si="61"/>
        <v>202008</v>
      </c>
      <c r="M976">
        <f t="shared" si="62"/>
        <v>8</v>
      </c>
      <c r="N976">
        <f t="shared" si="63"/>
        <v>2020</v>
      </c>
      <c r="O976" t="str">
        <f>VLOOKUP(M976,month_lookup!A:B,2,FALSE)</f>
        <v>Aug</v>
      </c>
      <c r="P976">
        <f t="shared" si="64"/>
        <v>74958.460000000006</v>
      </c>
    </row>
    <row r="977" spans="1:16" x14ac:dyDescent="0.25">
      <c r="A977" t="s">
        <v>9</v>
      </c>
      <c r="B977" s="1">
        <v>83897.88</v>
      </c>
      <c r="C977">
        <v>69559.73</v>
      </c>
      <c r="D977" s="2">
        <v>43542</v>
      </c>
      <c r="E977" t="s">
        <v>50</v>
      </c>
      <c r="F977" t="s">
        <v>91</v>
      </c>
      <c r="G977" t="s">
        <v>12</v>
      </c>
      <c r="H977" t="s">
        <v>68</v>
      </c>
      <c r="I977" t="s">
        <v>14</v>
      </c>
      <c r="J977" t="s">
        <v>1137</v>
      </c>
      <c r="L977">
        <f t="shared" si="61"/>
        <v>201903</v>
      </c>
      <c r="M977">
        <f t="shared" si="62"/>
        <v>3</v>
      </c>
      <c r="N977">
        <f t="shared" si="63"/>
        <v>2019</v>
      </c>
      <c r="O977" t="str">
        <f>VLOOKUP(M977,month_lookup!A:B,2,FALSE)</f>
        <v>Mar</v>
      </c>
      <c r="P977">
        <f t="shared" si="64"/>
        <v>-83897.88</v>
      </c>
    </row>
    <row r="978" spans="1:16" x14ac:dyDescent="0.25">
      <c r="A978" t="s">
        <v>9</v>
      </c>
      <c r="B978" s="1">
        <v>133055.04000000001</v>
      </c>
      <c r="C978">
        <v>105366.29</v>
      </c>
      <c r="D978" s="2">
        <v>43779</v>
      </c>
      <c r="E978" t="s">
        <v>10</v>
      </c>
      <c r="F978" t="s">
        <v>165</v>
      </c>
      <c r="G978" t="s">
        <v>12</v>
      </c>
      <c r="H978" t="s">
        <v>169</v>
      </c>
      <c r="I978" t="s">
        <v>27</v>
      </c>
      <c r="J978" t="s">
        <v>1138</v>
      </c>
      <c r="L978">
        <f t="shared" si="61"/>
        <v>201911</v>
      </c>
      <c r="M978">
        <f t="shared" si="62"/>
        <v>11</v>
      </c>
      <c r="N978">
        <f t="shared" si="63"/>
        <v>2019</v>
      </c>
      <c r="O978" t="str">
        <f>VLOOKUP(M978,month_lookup!A:B,2,FALSE)</f>
        <v>Nov</v>
      </c>
      <c r="P978">
        <f t="shared" si="64"/>
        <v>-133055.04000000001</v>
      </c>
    </row>
    <row r="979" spans="1:16" x14ac:dyDescent="0.25">
      <c r="A979" t="s">
        <v>9</v>
      </c>
      <c r="B979" s="1">
        <v>94115.99</v>
      </c>
      <c r="C979">
        <v>75669.259999999995</v>
      </c>
      <c r="D979" s="2">
        <v>43724</v>
      </c>
      <c r="E979" t="s">
        <v>50</v>
      </c>
      <c r="F979" t="s">
        <v>57</v>
      </c>
      <c r="G979" t="s">
        <v>12</v>
      </c>
      <c r="H979" t="s">
        <v>169</v>
      </c>
      <c r="I979" t="s">
        <v>27</v>
      </c>
      <c r="J979" t="s">
        <v>1139</v>
      </c>
      <c r="L979">
        <f t="shared" si="61"/>
        <v>201909</v>
      </c>
      <c r="M979">
        <f t="shared" si="62"/>
        <v>9</v>
      </c>
      <c r="N979">
        <f t="shared" si="63"/>
        <v>2019</v>
      </c>
      <c r="O979" t="str">
        <f>VLOOKUP(M979,month_lookup!A:B,2,FALSE)</f>
        <v>Sep</v>
      </c>
      <c r="P979">
        <f t="shared" si="64"/>
        <v>-94115.99</v>
      </c>
    </row>
    <row r="980" spans="1:16" x14ac:dyDescent="0.25">
      <c r="A980" t="s">
        <v>16</v>
      </c>
      <c r="B980" s="1">
        <v>125851.79</v>
      </c>
      <c r="C980">
        <v>103777.39</v>
      </c>
      <c r="D980" s="2">
        <v>44150</v>
      </c>
      <c r="E980" t="s">
        <v>17</v>
      </c>
      <c r="F980" t="s">
        <v>152</v>
      </c>
      <c r="G980" t="s">
        <v>19</v>
      </c>
      <c r="H980" t="s">
        <v>352</v>
      </c>
      <c r="I980" t="s">
        <v>27</v>
      </c>
      <c r="J980" t="s">
        <v>1140</v>
      </c>
      <c r="L980">
        <f t="shared" si="61"/>
        <v>202011</v>
      </c>
      <c r="M980">
        <f t="shared" si="62"/>
        <v>11</v>
      </c>
      <c r="N980">
        <f t="shared" si="63"/>
        <v>2020</v>
      </c>
      <c r="O980" t="str">
        <f>VLOOKUP(M980,month_lookup!A:B,2,FALSE)</f>
        <v>Nov</v>
      </c>
      <c r="P980">
        <f t="shared" si="64"/>
        <v>125851.79</v>
      </c>
    </row>
    <row r="981" spans="1:16" x14ac:dyDescent="0.25">
      <c r="A981" t="s">
        <v>83</v>
      </c>
      <c r="B981" s="1">
        <v>60917.85</v>
      </c>
      <c r="C981">
        <v>52736.58</v>
      </c>
      <c r="D981" s="2">
        <v>43513</v>
      </c>
      <c r="E981" t="s">
        <v>59</v>
      </c>
      <c r="F981" t="s">
        <v>173</v>
      </c>
      <c r="G981" t="s">
        <v>84</v>
      </c>
      <c r="H981" t="s">
        <v>85</v>
      </c>
      <c r="I981" t="s">
        <v>27</v>
      </c>
      <c r="J981" t="s">
        <v>1141</v>
      </c>
      <c r="L981">
        <f t="shared" si="61"/>
        <v>201902</v>
      </c>
      <c r="M981">
        <f t="shared" si="62"/>
        <v>2</v>
      </c>
      <c r="N981">
        <f t="shared" si="63"/>
        <v>2019</v>
      </c>
      <c r="O981" t="str">
        <f>VLOOKUP(M981,month_lookup!A:B,2,FALSE)</f>
        <v>Feb</v>
      </c>
      <c r="P981">
        <f t="shared" si="64"/>
        <v>-60917.85</v>
      </c>
    </row>
    <row r="982" spans="1:16" x14ac:dyDescent="0.25">
      <c r="A982" t="s">
        <v>52</v>
      </c>
      <c r="B982" s="1">
        <v>101318.72</v>
      </c>
      <c r="C982">
        <v>86657.9</v>
      </c>
      <c r="D982" s="2">
        <v>43568</v>
      </c>
      <c r="E982" t="s">
        <v>17</v>
      </c>
      <c r="F982" t="s">
        <v>18</v>
      </c>
      <c r="G982" t="s">
        <v>54</v>
      </c>
      <c r="H982" t="s">
        <v>55</v>
      </c>
      <c r="I982" t="s">
        <v>27</v>
      </c>
      <c r="J982" t="s">
        <v>1142</v>
      </c>
      <c r="L982">
        <f t="shared" si="61"/>
        <v>201904</v>
      </c>
      <c r="M982">
        <f t="shared" si="62"/>
        <v>4</v>
      </c>
      <c r="N982">
        <f t="shared" si="63"/>
        <v>2019</v>
      </c>
      <c r="O982" t="str">
        <f>VLOOKUP(M982,month_lookup!A:B,2,FALSE)</f>
        <v>Apr</v>
      </c>
      <c r="P982">
        <f t="shared" si="64"/>
        <v>-101318.72</v>
      </c>
    </row>
    <row r="983" spans="1:16" x14ac:dyDescent="0.25">
      <c r="A983" t="s">
        <v>22</v>
      </c>
      <c r="B983" s="1">
        <v>131610.37</v>
      </c>
      <c r="C983">
        <v>106406.98</v>
      </c>
      <c r="D983" s="2">
        <v>43951</v>
      </c>
      <c r="E983" t="s">
        <v>29</v>
      </c>
      <c r="F983" t="s">
        <v>184</v>
      </c>
      <c r="G983" t="s">
        <v>25</v>
      </c>
      <c r="H983" t="s">
        <v>75</v>
      </c>
      <c r="I983" t="s">
        <v>27</v>
      </c>
      <c r="J983" t="s">
        <v>1143</v>
      </c>
      <c r="L983">
        <f t="shared" si="61"/>
        <v>202004</v>
      </c>
      <c r="M983">
        <f t="shared" si="62"/>
        <v>4</v>
      </c>
      <c r="N983">
        <f t="shared" si="63"/>
        <v>2020</v>
      </c>
      <c r="O983" t="str">
        <f>VLOOKUP(M983,month_lookup!A:B,2,FALSE)</f>
        <v>Apr</v>
      </c>
      <c r="P983">
        <f t="shared" si="64"/>
        <v>131610.37</v>
      </c>
    </row>
    <row r="984" spans="1:16" x14ac:dyDescent="0.25">
      <c r="A984" t="s">
        <v>52</v>
      </c>
      <c r="B984" s="1">
        <v>235042.75</v>
      </c>
      <c r="C984">
        <v>187446.59</v>
      </c>
      <c r="D984" s="2">
        <v>43824</v>
      </c>
      <c r="E984" t="s">
        <v>10</v>
      </c>
      <c r="F984" t="s">
        <v>157</v>
      </c>
      <c r="G984" t="s">
        <v>54</v>
      </c>
      <c r="H984" t="s">
        <v>55</v>
      </c>
      <c r="I984" t="s">
        <v>27</v>
      </c>
      <c r="J984" t="s">
        <v>1144</v>
      </c>
      <c r="L984">
        <f t="shared" si="61"/>
        <v>201912</v>
      </c>
      <c r="M984">
        <f t="shared" si="62"/>
        <v>12</v>
      </c>
      <c r="N984">
        <f t="shared" si="63"/>
        <v>2019</v>
      </c>
      <c r="O984" t="str">
        <f>VLOOKUP(M984,month_lookup!A:B,2,FALSE)</f>
        <v>Dec</v>
      </c>
      <c r="P984">
        <f t="shared" si="64"/>
        <v>-235042.75</v>
      </c>
    </row>
    <row r="985" spans="1:16" x14ac:dyDescent="0.25">
      <c r="A985" t="s">
        <v>172</v>
      </c>
      <c r="B985" s="1">
        <v>58921.31</v>
      </c>
      <c r="C985">
        <v>51715.23</v>
      </c>
      <c r="D985" s="2">
        <v>44178</v>
      </c>
      <c r="E985" t="s">
        <v>17</v>
      </c>
      <c r="F985" t="s">
        <v>34</v>
      </c>
      <c r="G985" t="s">
        <v>174</v>
      </c>
      <c r="H985" t="s">
        <v>175</v>
      </c>
      <c r="I985" t="s">
        <v>27</v>
      </c>
      <c r="J985" t="s">
        <v>1145</v>
      </c>
      <c r="L985">
        <f t="shared" si="61"/>
        <v>202012</v>
      </c>
      <c r="M985">
        <f t="shared" si="62"/>
        <v>12</v>
      </c>
      <c r="N985">
        <f t="shared" si="63"/>
        <v>2020</v>
      </c>
      <c r="O985" t="str">
        <f>VLOOKUP(M985,month_lookup!A:B,2,FALSE)</f>
        <v>Dec</v>
      </c>
      <c r="P985">
        <f t="shared" si="64"/>
        <v>58921.31</v>
      </c>
    </row>
    <row r="986" spans="1:16" x14ac:dyDescent="0.25">
      <c r="A986" t="s">
        <v>22</v>
      </c>
      <c r="B986" s="1">
        <v>101846.87</v>
      </c>
      <c r="C986">
        <v>88066.99</v>
      </c>
      <c r="D986" s="2">
        <v>43472</v>
      </c>
      <c r="E986" t="s">
        <v>23</v>
      </c>
      <c r="F986" t="s">
        <v>253</v>
      </c>
      <c r="G986" t="s">
        <v>25</v>
      </c>
      <c r="H986" t="s">
        <v>31</v>
      </c>
      <c r="I986" t="s">
        <v>27</v>
      </c>
      <c r="J986" t="s">
        <v>1146</v>
      </c>
      <c r="L986">
        <f t="shared" si="61"/>
        <v>201901</v>
      </c>
      <c r="M986">
        <f t="shared" si="62"/>
        <v>1</v>
      </c>
      <c r="N986">
        <f t="shared" si="63"/>
        <v>2019</v>
      </c>
      <c r="O986" t="str">
        <f>VLOOKUP(M986,month_lookup!A:B,2,FALSE)</f>
        <v>Jan</v>
      </c>
      <c r="P986">
        <f t="shared" si="64"/>
        <v>-101846.87</v>
      </c>
    </row>
    <row r="987" spans="1:16" x14ac:dyDescent="0.25">
      <c r="A987" t="s">
        <v>52</v>
      </c>
      <c r="B987" s="1">
        <v>95307.21</v>
      </c>
      <c r="C987">
        <v>78533.14</v>
      </c>
      <c r="D987" s="2">
        <v>43916</v>
      </c>
      <c r="E987" t="s">
        <v>10</v>
      </c>
      <c r="F987" t="s">
        <v>96</v>
      </c>
      <c r="G987" t="s">
        <v>54</v>
      </c>
      <c r="H987" t="s">
        <v>71</v>
      </c>
      <c r="I987" t="s">
        <v>27</v>
      </c>
      <c r="J987" t="s">
        <v>1147</v>
      </c>
      <c r="L987">
        <f t="shared" si="61"/>
        <v>202003</v>
      </c>
      <c r="M987">
        <f t="shared" si="62"/>
        <v>3</v>
      </c>
      <c r="N987">
        <f t="shared" si="63"/>
        <v>2020</v>
      </c>
      <c r="O987" t="str">
        <f>VLOOKUP(M987,month_lookup!A:B,2,FALSE)</f>
        <v>Mar</v>
      </c>
      <c r="P987">
        <f t="shared" si="64"/>
        <v>95307.21</v>
      </c>
    </row>
    <row r="988" spans="1:16" x14ac:dyDescent="0.25">
      <c r="A988" t="s">
        <v>52</v>
      </c>
      <c r="B988" s="1">
        <v>232217.05</v>
      </c>
      <c r="C988">
        <v>191439.74</v>
      </c>
      <c r="D988" s="2">
        <v>43636</v>
      </c>
      <c r="E988" t="s">
        <v>29</v>
      </c>
      <c r="F988" t="s">
        <v>30</v>
      </c>
      <c r="G988" t="s">
        <v>54</v>
      </c>
      <c r="H988" t="s">
        <v>55</v>
      </c>
      <c r="I988" t="s">
        <v>14</v>
      </c>
      <c r="J988" t="s">
        <v>1148</v>
      </c>
      <c r="L988">
        <f t="shared" si="61"/>
        <v>201906</v>
      </c>
      <c r="M988">
        <f t="shared" si="62"/>
        <v>6</v>
      </c>
      <c r="N988">
        <f t="shared" si="63"/>
        <v>2019</v>
      </c>
      <c r="O988" t="str">
        <f>VLOOKUP(M988,month_lookup!A:B,2,FALSE)</f>
        <v>Jun</v>
      </c>
      <c r="P988">
        <f t="shared" si="64"/>
        <v>-232217.05</v>
      </c>
    </row>
    <row r="989" spans="1:16" x14ac:dyDescent="0.25">
      <c r="A989" t="s">
        <v>22</v>
      </c>
      <c r="B989" s="1">
        <v>75912.59</v>
      </c>
      <c r="C989">
        <v>60145.55</v>
      </c>
      <c r="D989" s="2">
        <v>43752</v>
      </c>
      <c r="E989" t="s">
        <v>61</v>
      </c>
      <c r="F989" t="s">
        <v>63</v>
      </c>
      <c r="G989" t="s">
        <v>25</v>
      </c>
      <c r="H989" t="s">
        <v>75</v>
      </c>
      <c r="I989" t="s">
        <v>14</v>
      </c>
      <c r="J989" t="s">
        <v>1149</v>
      </c>
      <c r="L989">
        <f t="shared" si="61"/>
        <v>201910</v>
      </c>
      <c r="M989">
        <f t="shared" si="62"/>
        <v>10</v>
      </c>
      <c r="N989">
        <f t="shared" si="63"/>
        <v>2019</v>
      </c>
      <c r="O989" t="str">
        <f>VLOOKUP(M989,month_lookup!A:B,2,FALSE)</f>
        <v>Oct</v>
      </c>
      <c r="P989">
        <f t="shared" si="64"/>
        <v>-75912.59</v>
      </c>
    </row>
    <row r="990" spans="1:16" x14ac:dyDescent="0.25">
      <c r="A990" t="s">
        <v>22</v>
      </c>
      <c r="B990" s="1">
        <v>57367.93</v>
      </c>
      <c r="C990">
        <v>46255.76</v>
      </c>
      <c r="D990" s="2">
        <v>43766</v>
      </c>
      <c r="E990" t="s">
        <v>23</v>
      </c>
      <c r="F990" t="s">
        <v>113</v>
      </c>
      <c r="G990" t="s">
        <v>25</v>
      </c>
      <c r="H990" t="s">
        <v>31</v>
      </c>
      <c r="I990" t="s">
        <v>14</v>
      </c>
      <c r="J990" t="s">
        <v>1150</v>
      </c>
      <c r="L990">
        <f t="shared" si="61"/>
        <v>201910</v>
      </c>
      <c r="M990">
        <f t="shared" si="62"/>
        <v>10</v>
      </c>
      <c r="N990">
        <f t="shared" si="63"/>
        <v>2019</v>
      </c>
      <c r="O990" t="str">
        <f>VLOOKUP(M990,month_lookup!A:B,2,FALSE)</f>
        <v>Oct</v>
      </c>
      <c r="P990">
        <f t="shared" si="64"/>
        <v>-57367.93</v>
      </c>
    </row>
    <row r="991" spans="1:16" x14ac:dyDescent="0.25">
      <c r="A991" t="s">
        <v>22</v>
      </c>
      <c r="B991" s="1">
        <v>158240.24</v>
      </c>
      <c r="C991">
        <v>136561.32999999999</v>
      </c>
      <c r="D991" s="2">
        <v>44158</v>
      </c>
      <c r="E991" t="s">
        <v>10</v>
      </c>
      <c r="F991" t="s">
        <v>30</v>
      </c>
      <c r="G991" t="s">
        <v>25</v>
      </c>
      <c r="H991" t="s">
        <v>218</v>
      </c>
      <c r="I991" t="s">
        <v>27</v>
      </c>
      <c r="J991" t="s">
        <v>1151</v>
      </c>
      <c r="L991">
        <f t="shared" si="61"/>
        <v>202011</v>
      </c>
      <c r="M991">
        <f t="shared" si="62"/>
        <v>11</v>
      </c>
      <c r="N991">
        <f t="shared" si="63"/>
        <v>2020</v>
      </c>
      <c r="O991" t="str">
        <f>VLOOKUP(M991,month_lookup!A:B,2,FALSE)</f>
        <v>Nov</v>
      </c>
      <c r="P991">
        <f t="shared" si="64"/>
        <v>158240.24</v>
      </c>
    </row>
    <row r="992" spans="1:16" x14ac:dyDescent="0.25">
      <c r="A992" t="s">
        <v>22</v>
      </c>
      <c r="B992" s="1">
        <v>97291.62</v>
      </c>
      <c r="C992">
        <v>76899.3</v>
      </c>
      <c r="D992" s="2">
        <v>43832</v>
      </c>
      <c r="E992" t="s">
        <v>23</v>
      </c>
      <c r="F992" t="s">
        <v>34</v>
      </c>
      <c r="G992" t="s">
        <v>25</v>
      </c>
      <c r="H992" t="s">
        <v>89</v>
      </c>
      <c r="I992" t="s">
        <v>27</v>
      </c>
      <c r="J992" t="s">
        <v>1152</v>
      </c>
      <c r="L992">
        <f t="shared" si="61"/>
        <v>202001</v>
      </c>
      <c r="M992">
        <f t="shared" si="62"/>
        <v>1</v>
      </c>
      <c r="N992">
        <f t="shared" si="63"/>
        <v>2020</v>
      </c>
      <c r="O992" t="str">
        <f>VLOOKUP(M992,month_lookup!A:B,2,FALSE)</f>
        <v>Jan</v>
      </c>
      <c r="P992">
        <f t="shared" si="64"/>
        <v>97291.62</v>
      </c>
    </row>
    <row r="993" spans="1:16" x14ac:dyDescent="0.25">
      <c r="A993" t="s">
        <v>22</v>
      </c>
      <c r="B993" s="1">
        <v>83904.320000000007</v>
      </c>
      <c r="C993">
        <v>69011.3</v>
      </c>
      <c r="D993" s="2">
        <v>43989</v>
      </c>
      <c r="E993" t="s">
        <v>17</v>
      </c>
      <c r="F993" t="s">
        <v>433</v>
      </c>
      <c r="G993" t="s">
        <v>25</v>
      </c>
      <c r="H993" t="s">
        <v>75</v>
      </c>
      <c r="I993" t="s">
        <v>27</v>
      </c>
      <c r="J993" t="s">
        <v>1153</v>
      </c>
      <c r="L993">
        <f t="shared" si="61"/>
        <v>202006</v>
      </c>
      <c r="M993">
        <f t="shared" si="62"/>
        <v>6</v>
      </c>
      <c r="N993">
        <f t="shared" si="63"/>
        <v>2020</v>
      </c>
      <c r="O993" t="str">
        <f>VLOOKUP(M993,month_lookup!A:B,2,FALSE)</f>
        <v>Jun</v>
      </c>
      <c r="P993">
        <f t="shared" si="64"/>
        <v>83904.320000000007</v>
      </c>
    </row>
    <row r="994" spans="1:16" x14ac:dyDescent="0.25">
      <c r="A994" t="s">
        <v>44</v>
      </c>
      <c r="B994" s="1">
        <v>133696.85999999999</v>
      </c>
      <c r="C994">
        <v>109310.55</v>
      </c>
      <c r="D994" s="2">
        <v>43857</v>
      </c>
      <c r="E994" t="s">
        <v>10</v>
      </c>
      <c r="F994" t="s">
        <v>18</v>
      </c>
      <c r="G994" t="s">
        <v>47</v>
      </c>
      <c r="H994" t="s">
        <v>48</v>
      </c>
      <c r="I994" t="s">
        <v>27</v>
      </c>
      <c r="J994" t="s">
        <v>1154</v>
      </c>
      <c r="L994">
        <f t="shared" si="61"/>
        <v>202001</v>
      </c>
      <c r="M994">
        <f t="shared" si="62"/>
        <v>1</v>
      </c>
      <c r="N994">
        <f t="shared" si="63"/>
        <v>2020</v>
      </c>
      <c r="O994" t="str">
        <f>VLOOKUP(M994,month_lookup!A:B,2,FALSE)</f>
        <v>Jan</v>
      </c>
      <c r="P994">
        <f t="shared" si="64"/>
        <v>133696.85999999999</v>
      </c>
    </row>
    <row r="995" spans="1:16" x14ac:dyDescent="0.25">
      <c r="A995" t="s">
        <v>44</v>
      </c>
      <c r="B995" s="1">
        <v>146076.81</v>
      </c>
      <c r="C995">
        <v>123230.39999999999</v>
      </c>
      <c r="D995" s="2">
        <v>43673</v>
      </c>
      <c r="E995" t="s">
        <v>50</v>
      </c>
      <c r="F995" t="s">
        <v>34</v>
      </c>
      <c r="G995" t="s">
        <v>47</v>
      </c>
      <c r="H995" t="s">
        <v>65</v>
      </c>
      <c r="I995" t="s">
        <v>27</v>
      </c>
      <c r="J995" t="s">
        <v>1155</v>
      </c>
      <c r="L995">
        <f t="shared" si="61"/>
        <v>201907</v>
      </c>
      <c r="M995">
        <f t="shared" si="62"/>
        <v>7</v>
      </c>
      <c r="N995">
        <f t="shared" si="63"/>
        <v>2019</v>
      </c>
      <c r="O995" t="str">
        <f>VLOOKUP(M995,month_lookup!A:B,2,FALSE)</f>
        <v>Jul</v>
      </c>
      <c r="P995">
        <f t="shared" si="64"/>
        <v>-146076.81</v>
      </c>
    </row>
    <row r="996" spans="1:16" x14ac:dyDescent="0.25">
      <c r="A996" t="s">
        <v>52</v>
      </c>
      <c r="B996" s="1">
        <v>56118.05</v>
      </c>
      <c r="C996">
        <v>47711.57</v>
      </c>
      <c r="D996" s="2">
        <v>43892</v>
      </c>
      <c r="E996" t="s">
        <v>29</v>
      </c>
      <c r="F996" t="s">
        <v>159</v>
      </c>
      <c r="G996" t="s">
        <v>54</v>
      </c>
      <c r="H996" t="s">
        <v>71</v>
      </c>
      <c r="I996" t="s">
        <v>27</v>
      </c>
      <c r="J996" t="s">
        <v>1156</v>
      </c>
      <c r="L996">
        <f t="shared" si="61"/>
        <v>202003</v>
      </c>
      <c r="M996">
        <f t="shared" si="62"/>
        <v>3</v>
      </c>
      <c r="N996">
        <f t="shared" si="63"/>
        <v>2020</v>
      </c>
      <c r="O996" t="str">
        <f>VLOOKUP(M996,month_lookup!A:B,2,FALSE)</f>
        <v>Mar</v>
      </c>
      <c r="P996">
        <f t="shared" si="64"/>
        <v>56118.05</v>
      </c>
    </row>
    <row r="997" spans="1:16" x14ac:dyDescent="0.25">
      <c r="A997" t="s">
        <v>52</v>
      </c>
      <c r="B997" s="1">
        <v>46296.26</v>
      </c>
      <c r="C997">
        <v>40319.410000000003</v>
      </c>
      <c r="D997" s="2">
        <v>43966</v>
      </c>
      <c r="E997" t="s">
        <v>17</v>
      </c>
      <c r="F997" t="s">
        <v>63</v>
      </c>
      <c r="G997" t="s">
        <v>54</v>
      </c>
      <c r="H997" t="s">
        <v>71</v>
      </c>
      <c r="I997" t="s">
        <v>37</v>
      </c>
      <c r="J997" t="s">
        <v>1157</v>
      </c>
      <c r="L997">
        <f t="shared" si="61"/>
        <v>202005</v>
      </c>
      <c r="M997">
        <f t="shared" si="62"/>
        <v>5</v>
      </c>
      <c r="N997">
        <f t="shared" si="63"/>
        <v>2020</v>
      </c>
      <c r="O997" t="str">
        <f>VLOOKUP(M997,month_lookup!A:B,2,FALSE)</f>
        <v>May</v>
      </c>
      <c r="P997">
        <f t="shared" si="64"/>
        <v>46296.26</v>
      </c>
    </row>
    <row r="998" spans="1:16" x14ac:dyDescent="0.25">
      <c r="A998" t="s">
        <v>95</v>
      </c>
      <c r="B998" s="1">
        <v>118061.05</v>
      </c>
      <c r="C998">
        <v>101131.1</v>
      </c>
      <c r="D998" s="2">
        <v>44014</v>
      </c>
      <c r="E998" t="s">
        <v>50</v>
      </c>
      <c r="F998" t="s">
        <v>34</v>
      </c>
      <c r="G998" t="s">
        <v>97</v>
      </c>
      <c r="H998" t="s">
        <v>98</v>
      </c>
      <c r="I998" t="s">
        <v>14</v>
      </c>
      <c r="J998" t="s">
        <v>1158</v>
      </c>
      <c r="L998">
        <f t="shared" si="61"/>
        <v>202007</v>
      </c>
      <c r="M998">
        <f t="shared" si="62"/>
        <v>7</v>
      </c>
      <c r="N998">
        <f t="shared" si="63"/>
        <v>2020</v>
      </c>
      <c r="O998" t="str">
        <f>VLOOKUP(M998,month_lookup!A:B,2,FALSE)</f>
        <v>Jul</v>
      </c>
      <c r="P998">
        <f t="shared" si="64"/>
        <v>118061.05</v>
      </c>
    </row>
    <row r="999" spans="1:16" x14ac:dyDescent="0.25">
      <c r="A999" t="s">
        <v>16</v>
      </c>
      <c r="B999" s="1">
        <v>74480.56</v>
      </c>
      <c r="C999">
        <v>60023.88</v>
      </c>
      <c r="D999" s="2">
        <v>43896</v>
      </c>
      <c r="E999" t="s">
        <v>23</v>
      </c>
      <c r="F999" t="s">
        <v>340</v>
      </c>
      <c r="G999" t="s">
        <v>19</v>
      </c>
      <c r="H999" t="s">
        <v>20</v>
      </c>
      <c r="I999" t="s">
        <v>27</v>
      </c>
      <c r="J999" t="s">
        <v>1159</v>
      </c>
      <c r="L999">
        <f t="shared" si="61"/>
        <v>202003</v>
      </c>
      <c r="M999">
        <f t="shared" si="62"/>
        <v>3</v>
      </c>
      <c r="N999">
        <f t="shared" si="63"/>
        <v>2020</v>
      </c>
      <c r="O999" t="str">
        <f>VLOOKUP(M999,month_lookup!A:B,2,FALSE)</f>
        <v>Mar</v>
      </c>
      <c r="P999">
        <f t="shared" si="64"/>
        <v>74480.56</v>
      </c>
    </row>
    <row r="1000" spans="1:16" x14ac:dyDescent="0.25">
      <c r="A1000" t="s">
        <v>33</v>
      </c>
      <c r="B1000" s="1">
        <v>87205.01</v>
      </c>
      <c r="C1000">
        <v>69171.009999999995</v>
      </c>
      <c r="D1000" s="2">
        <v>44000</v>
      </c>
      <c r="E1000" t="s">
        <v>17</v>
      </c>
      <c r="F1000" t="s">
        <v>34</v>
      </c>
      <c r="G1000" t="s">
        <v>35</v>
      </c>
      <c r="H1000" t="s">
        <v>424</v>
      </c>
      <c r="I1000" t="s">
        <v>37</v>
      </c>
      <c r="J1000" t="s">
        <v>1160</v>
      </c>
      <c r="L1000">
        <f t="shared" si="61"/>
        <v>202006</v>
      </c>
      <c r="M1000">
        <f t="shared" si="62"/>
        <v>6</v>
      </c>
      <c r="N1000">
        <f t="shared" si="63"/>
        <v>2020</v>
      </c>
      <c r="O1000" t="str">
        <f>VLOOKUP(M1000,month_lookup!A:B,2,FALSE)</f>
        <v>Jun</v>
      </c>
      <c r="P1000">
        <f t="shared" si="64"/>
        <v>87205.01</v>
      </c>
    </row>
    <row r="1001" spans="1:16" x14ac:dyDescent="0.25">
      <c r="A1001" t="s">
        <v>22</v>
      </c>
      <c r="B1001" s="1">
        <v>107716.72</v>
      </c>
      <c r="C1001">
        <v>86679.64</v>
      </c>
      <c r="D1001" s="2">
        <v>43848</v>
      </c>
      <c r="E1001" t="s">
        <v>45</v>
      </c>
      <c r="F1001" t="s">
        <v>93</v>
      </c>
      <c r="G1001" t="s">
        <v>25</v>
      </c>
      <c r="H1001" t="s">
        <v>218</v>
      </c>
      <c r="I1001" t="s">
        <v>14</v>
      </c>
      <c r="J1001" t="s">
        <v>1161</v>
      </c>
      <c r="L1001">
        <f t="shared" si="61"/>
        <v>202001</v>
      </c>
      <c r="M1001">
        <f t="shared" si="62"/>
        <v>1</v>
      </c>
      <c r="N1001">
        <f t="shared" si="63"/>
        <v>2020</v>
      </c>
      <c r="O1001" t="str">
        <f>VLOOKUP(M1001,month_lookup!A:B,2,FALSE)</f>
        <v>Jan</v>
      </c>
      <c r="P1001">
        <f t="shared" si="64"/>
        <v>107716.72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82E2-3705-4A88-BCC6-8649A2B0AD48}">
  <dimension ref="A1:C10"/>
  <sheetViews>
    <sheetView workbookViewId="0">
      <selection activeCell="B10" sqref="A1:B10"/>
    </sheetView>
  </sheetViews>
  <sheetFormatPr defaultRowHeight="15" x14ac:dyDescent="0.25"/>
  <cols>
    <col min="1" max="1" width="16.5703125" bestFit="1" customWidth="1"/>
    <col min="2" max="2" width="35.7109375" bestFit="1" customWidth="1"/>
  </cols>
  <sheetData>
    <row r="1" spans="1:3" x14ac:dyDescent="0.25">
      <c r="A1" t="s">
        <v>0</v>
      </c>
      <c r="B1" t="s">
        <v>1220</v>
      </c>
    </row>
    <row r="2" spans="1:3" x14ac:dyDescent="0.25">
      <c r="A2" t="s">
        <v>1209</v>
      </c>
      <c r="B2" t="s">
        <v>1219</v>
      </c>
      <c r="C2" t="s">
        <v>1221</v>
      </c>
    </row>
    <row r="3" spans="1:3" x14ac:dyDescent="0.25">
      <c r="A3" t="s">
        <v>1217</v>
      </c>
      <c r="B3" t="s">
        <v>1218</v>
      </c>
    </row>
    <row r="4" spans="1:3" x14ac:dyDescent="0.25">
      <c r="A4" t="s">
        <v>2</v>
      </c>
      <c r="B4" t="s">
        <v>1216</v>
      </c>
    </row>
    <row r="5" spans="1:3" x14ac:dyDescent="0.25">
      <c r="A5" t="s">
        <v>3</v>
      </c>
      <c r="B5" t="s">
        <v>1215</v>
      </c>
    </row>
    <row r="6" spans="1:3" x14ac:dyDescent="0.25">
      <c r="A6" t="s">
        <v>4</v>
      </c>
      <c r="B6" t="s">
        <v>1212</v>
      </c>
    </row>
    <row r="7" spans="1:3" x14ac:dyDescent="0.25">
      <c r="A7" t="s">
        <v>5</v>
      </c>
      <c r="B7" t="s">
        <v>1213</v>
      </c>
    </row>
    <row r="8" spans="1:3" x14ac:dyDescent="0.25">
      <c r="A8" t="s">
        <v>6</v>
      </c>
      <c r="B8" t="s">
        <v>1214</v>
      </c>
    </row>
    <row r="9" spans="1:3" x14ac:dyDescent="0.25">
      <c r="A9" t="s">
        <v>7</v>
      </c>
      <c r="B9" t="s">
        <v>1210</v>
      </c>
    </row>
    <row r="10" spans="1:3" x14ac:dyDescent="0.25">
      <c r="A10" t="s">
        <v>8</v>
      </c>
      <c r="B10" t="s">
        <v>1211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36C1-0CC6-4E54-A456-490784CDA7CB}">
  <dimension ref="A1:B12"/>
  <sheetViews>
    <sheetView workbookViewId="0">
      <selection activeCell="H12" sqref="H12"/>
    </sheetView>
  </sheetViews>
  <sheetFormatPr defaultRowHeight="15" x14ac:dyDescent="0.25"/>
  <sheetData>
    <row r="1" spans="1:2" x14ac:dyDescent="0.25">
      <c r="A1">
        <v>1</v>
      </c>
      <c r="B1" t="s">
        <v>1163</v>
      </c>
    </row>
    <row r="2" spans="1:2" x14ac:dyDescent="0.25">
      <c r="A2">
        <f>A1+1</f>
        <v>2</v>
      </c>
      <c r="B2" t="s">
        <v>1164</v>
      </c>
    </row>
    <row r="3" spans="1:2" x14ac:dyDescent="0.25">
      <c r="A3">
        <f t="shared" ref="A3:A12" si="0">A2+1</f>
        <v>3</v>
      </c>
      <c r="B3" t="s">
        <v>1165</v>
      </c>
    </row>
    <row r="4" spans="1:2" x14ac:dyDescent="0.25">
      <c r="A4">
        <f t="shared" si="0"/>
        <v>4</v>
      </c>
      <c r="B4" t="s">
        <v>1166</v>
      </c>
    </row>
    <row r="5" spans="1:2" x14ac:dyDescent="0.25">
      <c r="A5">
        <f t="shared" si="0"/>
        <v>5</v>
      </c>
      <c r="B5" t="s">
        <v>1167</v>
      </c>
    </row>
    <row r="6" spans="1:2" x14ac:dyDescent="0.25">
      <c r="A6">
        <f t="shared" si="0"/>
        <v>6</v>
      </c>
      <c r="B6" t="s">
        <v>1168</v>
      </c>
    </row>
    <row r="7" spans="1:2" x14ac:dyDescent="0.25">
      <c r="A7">
        <f t="shared" si="0"/>
        <v>7</v>
      </c>
      <c r="B7" t="s">
        <v>1169</v>
      </c>
    </row>
    <row r="8" spans="1:2" x14ac:dyDescent="0.25">
      <c r="A8">
        <f t="shared" si="0"/>
        <v>8</v>
      </c>
      <c r="B8" t="s">
        <v>1170</v>
      </c>
    </row>
    <row r="9" spans="1:2" x14ac:dyDescent="0.25">
      <c r="A9">
        <f t="shared" si="0"/>
        <v>9</v>
      </c>
      <c r="B9" t="s">
        <v>1171</v>
      </c>
    </row>
    <row r="10" spans="1:2" x14ac:dyDescent="0.25">
      <c r="A10">
        <f t="shared" si="0"/>
        <v>10</v>
      </c>
      <c r="B10" t="s">
        <v>1172</v>
      </c>
    </row>
    <row r="11" spans="1:2" x14ac:dyDescent="0.25">
      <c r="A11">
        <f t="shared" si="0"/>
        <v>11</v>
      </c>
      <c r="B11" t="s">
        <v>1173</v>
      </c>
    </row>
    <row r="12" spans="1:2" x14ac:dyDescent="0.25">
      <c r="A12">
        <f t="shared" si="0"/>
        <v>12</v>
      </c>
      <c r="B12" t="s">
        <v>1174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1A34-ED6B-44D0-871E-D030B5B3B3AA}">
  <dimension ref="A1:AC27"/>
  <sheetViews>
    <sheetView showGridLines="0" topLeftCell="J1" workbookViewId="0">
      <selection activeCell="K10" sqref="K10"/>
    </sheetView>
  </sheetViews>
  <sheetFormatPr defaultRowHeight="15" x14ac:dyDescent="0.25"/>
  <cols>
    <col min="1" max="1" width="8.85546875" bestFit="1" customWidth="1"/>
    <col min="2" max="3" width="10.140625" bestFit="1" customWidth="1"/>
    <col min="4" max="4" width="11.85546875" customWidth="1"/>
    <col min="5" max="5" width="13.28515625" bestFit="1" customWidth="1"/>
    <col min="11" max="11" width="8.28515625" customWidth="1"/>
    <col min="12" max="13" width="14.28515625" bestFit="1" customWidth="1"/>
    <col min="14" max="14" width="11.85546875" customWidth="1"/>
    <col min="15" max="15" width="4.140625" customWidth="1"/>
    <col min="26" max="26" width="9.28515625" customWidth="1"/>
  </cols>
  <sheetData>
    <row r="1" spans="1:29" x14ac:dyDescent="0.25">
      <c r="B1" t="s">
        <v>1194</v>
      </c>
    </row>
    <row r="2" spans="1:29" x14ac:dyDescent="0.25">
      <c r="B2" t="s">
        <v>1195</v>
      </c>
    </row>
    <row r="5" spans="1:29" x14ac:dyDescent="0.25">
      <c r="K5" s="20" t="s">
        <v>1189</v>
      </c>
      <c r="L5" s="21"/>
      <c r="M5" s="21"/>
      <c r="N5" s="21"/>
    </row>
    <row r="6" spans="1:29" hidden="1" x14ac:dyDescent="0.25">
      <c r="A6" s="8" t="s">
        <v>1187</v>
      </c>
      <c r="B6" s="8" t="s">
        <v>1187</v>
      </c>
      <c r="D6" s="10"/>
      <c r="K6" s="22"/>
      <c r="L6" s="22"/>
      <c r="M6" s="22"/>
      <c r="N6" s="22"/>
    </row>
    <row r="7" spans="1:29" x14ac:dyDescent="0.25">
      <c r="A7" s="8" t="s">
        <v>1162</v>
      </c>
      <c r="B7" s="14" t="s">
        <v>1183</v>
      </c>
      <c r="C7" s="14" t="s">
        <v>1184</v>
      </c>
      <c r="D7" s="13" t="s">
        <v>1188</v>
      </c>
      <c r="K7" s="23" t="s">
        <v>1162</v>
      </c>
      <c r="L7" s="24" t="s">
        <v>1183</v>
      </c>
      <c r="M7" s="24" t="s">
        <v>1184</v>
      </c>
      <c r="N7" s="21" t="s">
        <v>1188</v>
      </c>
    </row>
    <row r="8" spans="1:29" ht="23.25" x14ac:dyDescent="0.35">
      <c r="A8" s="9" t="s">
        <v>1163</v>
      </c>
      <c r="B8" s="15">
        <v>4516614.82</v>
      </c>
      <c r="C8" s="15">
        <v>5215699.830000001</v>
      </c>
      <c r="D8" s="11">
        <f>C8/B8-1</f>
        <v>0.15478074572673006</v>
      </c>
      <c r="K8" s="18" t="s">
        <v>1163</v>
      </c>
      <c r="L8" s="19">
        <v>4516614.82</v>
      </c>
      <c r="M8" s="19">
        <v>5215699.830000001</v>
      </c>
      <c r="N8" s="18">
        <v>0.15478074572673006</v>
      </c>
      <c r="Z8" s="32" t="s">
        <v>1225</v>
      </c>
      <c r="AA8" s="33"/>
      <c r="AB8" s="33"/>
      <c r="AC8" s="33"/>
    </row>
    <row r="9" spans="1:29" x14ac:dyDescent="0.25">
      <c r="A9" s="9" t="s">
        <v>1164</v>
      </c>
      <c r="B9" s="15">
        <v>2895563.9000000004</v>
      </c>
      <c r="C9" s="15">
        <v>1959413.0000000002</v>
      </c>
      <c r="D9" s="11">
        <f t="shared" ref="D9:D20" si="0">C9/B9-1</f>
        <v>-0.32330521181038352</v>
      </c>
      <c r="K9" s="11" t="s">
        <v>1164</v>
      </c>
      <c r="L9" s="16">
        <v>2895563.9000000004</v>
      </c>
      <c r="M9" s="16">
        <v>1959413.0000000002</v>
      </c>
      <c r="N9" s="11">
        <v>-0.32330521181038352</v>
      </c>
      <c r="Z9" s="38" t="s">
        <v>1222</v>
      </c>
      <c r="AA9" s="33"/>
      <c r="AB9" s="33"/>
      <c r="AC9" s="33"/>
    </row>
    <row r="10" spans="1:29" ht="15.75" thickBot="1" x14ac:dyDescent="0.3">
      <c r="A10" s="9" t="s">
        <v>1165</v>
      </c>
      <c r="B10" s="15">
        <v>2521827.9900000002</v>
      </c>
      <c r="C10" s="15">
        <v>3579943.8399999989</v>
      </c>
      <c r="D10" s="11">
        <f t="shared" si="0"/>
        <v>0.41958287963962149</v>
      </c>
      <c r="K10" s="11" t="s">
        <v>1165</v>
      </c>
      <c r="L10" s="16">
        <v>2521827.9900000002</v>
      </c>
      <c r="M10" s="16">
        <v>3579943.8399999989</v>
      </c>
      <c r="N10" s="11">
        <v>0.41958287963962149</v>
      </c>
      <c r="Z10" s="35"/>
      <c r="AA10" s="36">
        <v>2019</v>
      </c>
      <c r="AB10" s="36">
        <v>2020</v>
      </c>
      <c r="AC10" s="40" t="s">
        <v>1223</v>
      </c>
    </row>
    <row r="11" spans="1:29" x14ac:dyDescent="0.25">
      <c r="A11" s="9" t="s">
        <v>1166</v>
      </c>
      <c r="B11" s="15">
        <v>4172236.77</v>
      </c>
      <c r="C11" s="15">
        <v>4069097.7799999989</v>
      </c>
      <c r="D11" s="11">
        <f t="shared" si="0"/>
        <v>-2.472031087535842E-2</v>
      </c>
      <c r="K11" s="11" t="s">
        <v>1166</v>
      </c>
      <c r="L11" s="16">
        <v>4172236.77</v>
      </c>
      <c r="M11" s="16">
        <v>4069097.7799999989</v>
      </c>
      <c r="N11" s="11">
        <v>-2.472031087535842E-2</v>
      </c>
      <c r="Z11" s="33" t="s">
        <v>1163</v>
      </c>
      <c r="AA11" s="34">
        <f t="shared" ref="AA11:AA22" si="1">L8/1000000</f>
        <v>4.51661482</v>
      </c>
      <c r="AB11" s="34">
        <f t="shared" ref="AB11:AB22" si="2">M8/1000000</f>
        <v>5.215699830000001</v>
      </c>
      <c r="AC11" s="41">
        <v>0.15478074572673006</v>
      </c>
    </row>
    <row r="12" spans="1:29" x14ac:dyDescent="0.25">
      <c r="A12" s="9" t="s">
        <v>1167</v>
      </c>
      <c r="B12" s="15">
        <v>3825681.9699999993</v>
      </c>
      <c r="C12" s="15">
        <v>5537943.7699999986</v>
      </c>
      <c r="D12" s="11">
        <f t="shared" si="0"/>
        <v>0.44757034521612349</v>
      </c>
      <c r="K12" s="11" t="s">
        <v>1167</v>
      </c>
      <c r="L12" s="16">
        <v>3825681.9699999993</v>
      </c>
      <c r="M12" s="16">
        <v>5537943.7699999986</v>
      </c>
      <c r="N12" s="11">
        <v>0.44757034521612349</v>
      </c>
      <c r="Z12" s="33" t="s">
        <v>1164</v>
      </c>
      <c r="AA12" s="34">
        <f t="shared" si="1"/>
        <v>2.8955639000000004</v>
      </c>
      <c r="AB12" s="34">
        <f t="shared" si="2"/>
        <v>1.9594130000000003</v>
      </c>
      <c r="AC12" s="41">
        <v>-0.32330521181038352</v>
      </c>
    </row>
    <row r="13" spans="1:29" x14ac:dyDescent="0.25">
      <c r="A13" s="9" t="s">
        <v>1168</v>
      </c>
      <c r="B13" s="15">
        <v>7692234.9000000022</v>
      </c>
      <c r="C13" s="15">
        <v>7158137.8599999985</v>
      </c>
      <c r="D13" s="11">
        <f t="shared" si="0"/>
        <v>-6.9433272247055755E-2</v>
      </c>
      <c r="K13" s="11" t="s">
        <v>1168</v>
      </c>
      <c r="L13" s="16">
        <v>7692234.9000000022</v>
      </c>
      <c r="M13" s="16">
        <v>7158137.8599999985</v>
      </c>
      <c r="N13" s="11">
        <v>-6.9433272247055755E-2</v>
      </c>
      <c r="Z13" s="33" t="s">
        <v>1165</v>
      </c>
      <c r="AA13" s="34">
        <f t="shared" si="1"/>
        <v>2.5218279900000002</v>
      </c>
      <c r="AB13" s="34">
        <f t="shared" si="2"/>
        <v>3.579943839999999</v>
      </c>
      <c r="AC13" s="41">
        <v>0.41958287963962149</v>
      </c>
    </row>
    <row r="14" spans="1:29" x14ac:dyDescent="0.25">
      <c r="A14" s="9" t="s">
        <v>1169</v>
      </c>
      <c r="B14" s="15">
        <v>6638609.2100000037</v>
      </c>
      <c r="C14" s="15">
        <v>5242556.459999999</v>
      </c>
      <c r="D14" s="11">
        <f t="shared" si="0"/>
        <v>-0.21029295532218917</v>
      </c>
      <c r="K14" s="11" t="s">
        <v>1169</v>
      </c>
      <c r="L14" s="16">
        <v>6638609.2100000037</v>
      </c>
      <c r="M14" s="16">
        <v>5242556.459999999</v>
      </c>
      <c r="N14" s="11">
        <v>-0.21029295532218917</v>
      </c>
      <c r="Z14" s="33" t="s">
        <v>1166</v>
      </c>
      <c r="AA14" s="34">
        <f t="shared" si="1"/>
        <v>4.1722367699999996</v>
      </c>
      <c r="AB14" s="34">
        <f t="shared" si="2"/>
        <v>4.069097779999999</v>
      </c>
      <c r="AC14" s="41">
        <v>-2.472031087535842E-2</v>
      </c>
    </row>
    <row r="15" spans="1:29" x14ac:dyDescent="0.25">
      <c r="A15" s="9" t="s">
        <v>1170</v>
      </c>
      <c r="B15" s="15">
        <v>3437450.1399999997</v>
      </c>
      <c r="C15" s="15">
        <v>4714525.2100000009</v>
      </c>
      <c r="D15" s="11">
        <f t="shared" si="0"/>
        <v>0.37151813640560949</v>
      </c>
      <c r="K15" s="11" t="s">
        <v>1170</v>
      </c>
      <c r="L15" s="16">
        <v>3437450.1399999997</v>
      </c>
      <c r="M15" s="16">
        <v>4714525.2100000009</v>
      </c>
      <c r="N15" s="11">
        <v>0.37151813640560949</v>
      </c>
      <c r="Z15" s="33" t="s">
        <v>1167</v>
      </c>
      <c r="AA15" s="34">
        <f t="shared" si="1"/>
        <v>3.8256819699999993</v>
      </c>
      <c r="AB15" s="34">
        <f t="shared" si="2"/>
        <v>5.5379437699999983</v>
      </c>
      <c r="AC15" s="41">
        <v>0.44757034521612349</v>
      </c>
    </row>
    <row r="16" spans="1:29" x14ac:dyDescent="0.25">
      <c r="A16" s="9" t="s">
        <v>1171</v>
      </c>
      <c r="B16" s="15">
        <v>4870060.5500000007</v>
      </c>
      <c r="C16" s="15">
        <v>3778141.3699999996</v>
      </c>
      <c r="D16" s="11">
        <f t="shared" si="0"/>
        <v>-0.22421059631383866</v>
      </c>
      <c r="K16" s="11" t="s">
        <v>1171</v>
      </c>
      <c r="L16" s="16">
        <v>4870060.5500000007</v>
      </c>
      <c r="M16" s="16">
        <v>3778141.3699999996</v>
      </c>
      <c r="N16" s="11">
        <v>-0.22421059631383866</v>
      </c>
      <c r="Z16" s="33" t="s">
        <v>1168</v>
      </c>
      <c r="AA16" s="34">
        <f t="shared" si="1"/>
        <v>7.6922349000000025</v>
      </c>
      <c r="AB16" s="34">
        <f t="shared" si="2"/>
        <v>7.1581378599999983</v>
      </c>
      <c r="AC16" s="41">
        <v>-6.9433272247055755E-2</v>
      </c>
    </row>
    <row r="17" spans="1:29" x14ac:dyDescent="0.25">
      <c r="A17" s="9" t="s">
        <v>1172</v>
      </c>
      <c r="B17" s="15">
        <v>4372149.55</v>
      </c>
      <c r="C17" s="15">
        <v>4869726.8500000015</v>
      </c>
      <c r="D17" s="11">
        <f t="shared" si="0"/>
        <v>0.1138061025382815</v>
      </c>
      <c r="K17" s="11" t="s">
        <v>1172</v>
      </c>
      <c r="L17" s="16">
        <v>4372149.55</v>
      </c>
      <c r="M17" s="16">
        <v>4869726.8500000015</v>
      </c>
      <c r="N17" s="11">
        <v>0.1138061025382815</v>
      </c>
      <c r="Z17" s="33" t="s">
        <v>1169</v>
      </c>
      <c r="AA17" s="34">
        <f t="shared" si="1"/>
        <v>6.6386092100000038</v>
      </c>
      <c r="AB17" s="34">
        <f t="shared" si="2"/>
        <v>5.2425564599999994</v>
      </c>
      <c r="AC17" s="41">
        <v>-0.21029295532218917</v>
      </c>
    </row>
    <row r="18" spans="1:29" x14ac:dyDescent="0.25">
      <c r="A18" s="9" t="s">
        <v>1173</v>
      </c>
      <c r="B18" s="15">
        <v>2961318.57</v>
      </c>
      <c r="C18" s="15">
        <v>4734730.08</v>
      </c>
      <c r="D18" s="11">
        <f t="shared" si="0"/>
        <v>0.59885874082098511</v>
      </c>
      <c r="K18" s="11" t="s">
        <v>1173</v>
      </c>
      <c r="L18" s="16">
        <v>2961318.57</v>
      </c>
      <c r="M18" s="16">
        <v>4734730.08</v>
      </c>
      <c r="N18" s="11">
        <v>0.59885874082098511</v>
      </c>
      <c r="Z18" s="33" t="s">
        <v>1170</v>
      </c>
      <c r="AA18" s="34">
        <f t="shared" si="1"/>
        <v>3.4374501399999997</v>
      </c>
      <c r="AB18" s="34">
        <f t="shared" si="2"/>
        <v>4.7145252100000006</v>
      </c>
      <c r="AC18" s="41">
        <v>0.37151813640560949</v>
      </c>
    </row>
    <row r="19" spans="1:29" ht="15.75" thickBot="1" x14ac:dyDescent="0.3">
      <c r="A19" s="9" t="s">
        <v>1174</v>
      </c>
      <c r="B19" s="15">
        <v>8713776.0300000012</v>
      </c>
      <c r="C19" s="15">
        <v>5884298.2599999998</v>
      </c>
      <c r="D19" s="11">
        <f t="shared" si="0"/>
        <v>-0.3247131622684134</v>
      </c>
      <c r="K19" s="11" t="s">
        <v>1174</v>
      </c>
      <c r="L19" s="16">
        <v>8713776.0300000012</v>
      </c>
      <c r="M19" s="16">
        <v>5884298.2599999998</v>
      </c>
      <c r="N19" s="11">
        <v>-0.3247131622684134</v>
      </c>
      <c r="Z19" s="33" t="s">
        <v>1171</v>
      </c>
      <c r="AA19" s="34">
        <f t="shared" si="1"/>
        <v>4.8700605500000007</v>
      </c>
      <c r="AB19" s="34">
        <f t="shared" si="2"/>
        <v>3.7781413699999997</v>
      </c>
      <c r="AC19" s="41">
        <v>-0.22421059631383866</v>
      </c>
    </row>
    <row r="20" spans="1:29" ht="15.75" thickTop="1" x14ac:dyDescent="0.25">
      <c r="A20" s="9" t="s">
        <v>1187</v>
      </c>
      <c r="B20" s="15">
        <v>56617524.399999999</v>
      </c>
      <c r="C20" s="15">
        <v>56744214.309999995</v>
      </c>
      <c r="D20" s="12">
        <f t="shared" si="0"/>
        <v>2.2376448165577489E-3</v>
      </c>
      <c r="K20" s="12" t="s">
        <v>1187</v>
      </c>
      <c r="L20" s="17">
        <v>56617524.399999999</v>
      </c>
      <c r="M20" s="17">
        <v>56744214.309999995</v>
      </c>
      <c r="N20" s="12">
        <v>2.2376448165577489E-3</v>
      </c>
      <c r="Z20" s="33" t="s">
        <v>1172</v>
      </c>
      <c r="AA20" s="34">
        <f t="shared" si="1"/>
        <v>4.3721495499999996</v>
      </c>
      <c r="AB20" s="34">
        <f t="shared" si="2"/>
        <v>4.8697268500000011</v>
      </c>
      <c r="AC20" s="41">
        <v>0.1138061025382815</v>
      </c>
    </row>
    <row r="21" spans="1:29" x14ac:dyDescent="0.25">
      <c r="Z21" s="33" t="s">
        <v>1173</v>
      </c>
      <c r="AA21" s="34">
        <f t="shared" si="1"/>
        <v>2.96131857</v>
      </c>
      <c r="AB21" s="34">
        <f t="shared" si="2"/>
        <v>4.7347300800000003</v>
      </c>
      <c r="AC21" s="41">
        <v>0.59885874082098511</v>
      </c>
    </row>
    <row r="22" spans="1:29" ht="15.75" thickBot="1" x14ac:dyDescent="0.3">
      <c r="Z22" s="35" t="s">
        <v>1174</v>
      </c>
      <c r="AA22" s="37">
        <f t="shared" si="1"/>
        <v>8.7137760300000018</v>
      </c>
      <c r="AB22" s="37">
        <f t="shared" si="2"/>
        <v>5.8842982599999996</v>
      </c>
      <c r="AC22" s="42">
        <v>-0.3247131622684134</v>
      </c>
    </row>
    <row r="23" spans="1:29" x14ac:dyDescent="0.25">
      <c r="Z23" s="33" t="s">
        <v>1187</v>
      </c>
      <c r="AA23" s="39">
        <f>SUM(AA11:AA22)</f>
        <v>56.617524400000008</v>
      </c>
      <c r="AB23" s="39">
        <f>M20/1000000</f>
        <v>56.744214309999997</v>
      </c>
      <c r="AC23" s="43">
        <v>2.2376448165577489E-3</v>
      </c>
    </row>
    <row r="27" spans="1:29" ht="19.5" customHeight="1" x14ac:dyDescent="0.25"/>
  </sheetData>
  <conditionalFormatting sqref="N8:N19">
    <cfRule type="dataBar" priority="2">
      <dataBar>
        <cfvo type="min"/>
        <cfvo type="max"/>
        <color rgb="FFF68048"/>
      </dataBar>
      <extLst>
        <ext xmlns:x14="http://schemas.microsoft.com/office/spreadsheetml/2009/9/main" uri="{B025F937-C7B1-47D3-B67F-A62EFF666E3E}">
          <x14:id>{E7012106-1A72-46B5-9002-A3AD2B75F978}</x14:id>
        </ext>
      </extLst>
    </cfRule>
  </conditionalFormatting>
  <pageMargins left="0.7" right="0.7" top="0.75" bottom="0.75" header="0.3" footer="0.3"/>
  <ignoredErrors>
    <ignoredError sqref="L7:M7" numberStoredAsText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012106-1A72-46B5-9002-A3AD2B75F978}">
            <x14:dataBar minLength="0" maxLength="100" border="1" negativeBarBorderColorSameAsPositive="0">
              <x14:cfvo type="autoMin"/>
              <x14:cfvo type="autoMax"/>
              <x14:borderColor rgb="FFF68048"/>
              <x14:negativeFillColor rgb="FF0D1A63"/>
              <x14:negativeBorderColor rgb="FF0D1A63"/>
              <x14:axisColor rgb="FF000000"/>
            </x14:dataBar>
          </x14:cfRule>
          <xm:sqref>N8:N19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10E-4B38-4927-B012-11D4F53128F7}">
  <dimension ref="A2:C20"/>
  <sheetViews>
    <sheetView workbookViewId="0">
      <selection activeCell="B19" sqref="B19"/>
    </sheetView>
  </sheetViews>
  <sheetFormatPr defaultRowHeight="15" x14ac:dyDescent="0.25"/>
  <cols>
    <col min="1" max="1" width="24.140625" bestFit="1" customWidth="1"/>
    <col min="2" max="2" width="16.42578125" bestFit="1" customWidth="1"/>
    <col min="3" max="3" width="12.7109375" bestFit="1" customWidth="1"/>
    <col min="4" max="4" width="9.5703125" bestFit="1" customWidth="1"/>
    <col min="5" max="5" width="12.7109375" bestFit="1" customWidth="1"/>
  </cols>
  <sheetData>
    <row r="2" spans="1:3" x14ac:dyDescent="0.25">
      <c r="B2" t="s">
        <v>1196</v>
      </c>
    </row>
    <row r="3" spans="1:3" x14ac:dyDescent="0.25">
      <c r="B3" t="s">
        <v>1197</v>
      </c>
    </row>
    <row r="4" spans="1:3" x14ac:dyDescent="0.25">
      <c r="B4" t="s">
        <v>1198</v>
      </c>
    </row>
    <row r="6" spans="1:3" x14ac:dyDescent="0.25">
      <c r="A6" s="8" t="s">
        <v>1186</v>
      </c>
      <c r="B6" s="8" t="s">
        <v>1185</v>
      </c>
    </row>
    <row r="7" spans="1:3" x14ac:dyDescent="0.25">
      <c r="A7" s="8" t="s">
        <v>1181</v>
      </c>
      <c r="B7">
        <v>2019</v>
      </c>
      <c r="C7">
        <v>2020</v>
      </c>
    </row>
    <row r="8" spans="1:3" x14ac:dyDescent="0.25">
      <c r="A8" s="9">
        <v>1</v>
      </c>
      <c r="B8" s="1">
        <v>4516614.82</v>
      </c>
      <c r="C8" s="1">
        <v>5215699.830000001</v>
      </c>
    </row>
    <row r="9" spans="1:3" x14ac:dyDescent="0.25">
      <c r="A9" s="9">
        <v>2</v>
      </c>
      <c r="B9" s="1">
        <v>2895563.9000000004</v>
      </c>
      <c r="C9" s="1">
        <v>1959413.0000000002</v>
      </c>
    </row>
    <row r="10" spans="1:3" x14ac:dyDescent="0.25">
      <c r="A10" s="9">
        <v>3</v>
      </c>
      <c r="B10" s="1">
        <v>2521827.9900000002</v>
      </c>
      <c r="C10" s="1">
        <v>3579943.8399999989</v>
      </c>
    </row>
    <row r="11" spans="1:3" x14ac:dyDescent="0.25">
      <c r="A11" s="9">
        <v>4</v>
      </c>
      <c r="B11" s="1">
        <v>4172236.77</v>
      </c>
      <c r="C11" s="1">
        <v>4069097.7799999989</v>
      </c>
    </row>
    <row r="12" spans="1:3" x14ac:dyDescent="0.25">
      <c r="A12" s="9">
        <v>5</v>
      </c>
      <c r="B12" s="1">
        <v>3825681.9699999993</v>
      </c>
      <c r="C12" s="1">
        <v>5537943.7699999986</v>
      </c>
    </row>
    <row r="13" spans="1:3" x14ac:dyDescent="0.25">
      <c r="A13" s="9">
        <v>6</v>
      </c>
      <c r="B13" s="1">
        <v>7692234.9000000022</v>
      </c>
      <c r="C13" s="1">
        <v>7158137.8599999985</v>
      </c>
    </row>
    <row r="14" spans="1:3" x14ac:dyDescent="0.25">
      <c r="A14" s="9">
        <v>7</v>
      </c>
      <c r="B14" s="1">
        <v>6638609.2100000037</v>
      </c>
      <c r="C14" s="1">
        <v>5242556.459999999</v>
      </c>
    </row>
    <row r="15" spans="1:3" x14ac:dyDescent="0.25">
      <c r="A15" s="9">
        <v>8</v>
      </c>
      <c r="B15" s="1">
        <v>3437450.1399999997</v>
      </c>
      <c r="C15" s="1">
        <v>4714525.2100000009</v>
      </c>
    </row>
    <row r="16" spans="1:3" x14ac:dyDescent="0.25">
      <c r="A16" s="9">
        <v>9</v>
      </c>
      <c r="B16" s="1">
        <v>4870060.5500000007</v>
      </c>
      <c r="C16" s="1">
        <v>3778141.3699999996</v>
      </c>
    </row>
    <row r="17" spans="1:3" x14ac:dyDescent="0.25">
      <c r="A17" s="9">
        <v>10</v>
      </c>
      <c r="B17" s="1">
        <v>4372149.55</v>
      </c>
      <c r="C17" s="1">
        <v>4869726.8500000015</v>
      </c>
    </row>
    <row r="18" spans="1:3" x14ac:dyDescent="0.25">
      <c r="A18" s="9">
        <v>11</v>
      </c>
      <c r="B18" s="1">
        <v>2961318.57</v>
      </c>
      <c r="C18" s="1">
        <v>4734730.08</v>
      </c>
    </row>
    <row r="19" spans="1:3" x14ac:dyDescent="0.25">
      <c r="A19" s="9">
        <v>12</v>
      </c>
      <c r="B19" s="1">
        <v>8713776.0300000012</v>
      </c>
      <c r="C19" s="1">
        <v>5884298.2599999998</v>
      </c>
    </row>
    <row r="20" spans="1:3" x14ac:dyDescent="0.25">
      <c r="A20" s="9" t="s">
        <v>1182</v>
      </c>
      <c r="B20" s="1">
        <v>56617524.399999999</v>
      </c>
      <c r="C20" s="1">
        <v>56744214.309999995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3577-6347-42A0-BAEB-5CED3A7BA3C6}">
  <dimension ref="A2:E21"/>
  <sheetViews>
    <sheetView workbookViewId="0">
      <selection activeCell="E8" sqref="E8:E20"/>
    </sheetView>
  </sheetViews>
  <sheetFormatPr defaultRowHeight="15" x14ac:dyDescent="0.25"/>
  <cols>
    <col min="1" max="1" width="13.140625" bestFit="1" customWidth="1"/>
    <col min="2" max="2" width="23.28515625" bestFit="1" customWidth="1"/>
    <col min="3" max="3" width="24.28515625" hidden="1" customWidth="1"/>
    <col min="4" max="4" width="23.28515625" bestFit="1" customWidth="1"/>
    <col min="5" max="5" width="24.28515625" bestFit="1" customWidth="1"/>
  </cols>
  <sheetData>
    <row r="2" spans="1:5" x14ac:dyDescent="0.25">
      <c r="B2" t="s">
        <v>1196</v>
      </c>
    </row>
    <row r="3" spans="1:5" x14ac:dyDescent="0.25">
      <c r="B3" t="s">
        <v>1200</v>
      </c>
    </row>
    <row r="6" spans="1:5" x14ac:dyDescent="0.25">
      <c r="B6" s="8" t="s">
        <v>1185</v>
      </c>
    </row>
    <row r="7" spans="1:5" x14ac:dyDescent="0.25">
      <c r="B7">
        <v>2019</v>
      </c>
      <c r="C7">
        <v>2019</v>
      </c>
      <c r="D7">
        <v>2020</v>
      </c>
      <c r="E7">
        <v>2020</v>
      </c>
    </row>
    <row r="8" spans="1:5" x14ac:dyDescent="0.25">
      <c r="A8" s="8" t="s">
        <v>1181</v>
      </c>
      <c r="B8" t="s">
        <v>1186</v>
      </c>
      <c r="C8" t="s">
        <v>1199</v>
      </c>
      <c r="D8" t="s">
        <v>1186</v>
      </c>
      <c r="E8" t="s">
        <v>1199</v>
      </c>
    </row>
    <row r="9" spans="1:5" x14ac:dyDescent="0.25">
      <c r="A9" s="9">
        <v>1</v>
      </c>
      <c r="B9" s="1">
        <v>4516614.82</v>
      </c>
      <c r="C9" s="25"/>
      <c r="D9" s="1">
        <v>5215699.830000001</v>
      </c>
      <c r="E9" s="25">
        <v>0.15478074572673006</v>
      </c>
    </row>
    <row r="10" spans="1:5" x14ac:dyDescent="0.25">
      <c r="A10" s="9">
        <v>2</v>
      </c>
      <c r="B10" s="1">
        <v>2895563.9000000004</v>
      </c>
      <c r="C10" s="25"/>
      <c r="D10" s="1">
        <v>1959413.0000000002</v>
      </c>
      <c r="E10" s="25">
        <v>-0.32330521181038346</v>
      </c>
    </row>
    <row r="11" spans="1:5" x14ac:dyDescent="0.25">
      <c r="A11" s="9">
        <v>3</v>
      </c>
      <c r="B11" s="1">
        <v>2521827.9900000002</v>
      </c>
      <c r="C11" s="25"/>
      <c r="D11" s="1">
        <v>3579943.8399999989</v>
      </c>
      <c r="E11" s="25">
        <v>0.41958287963962149</v>
      </c>
    </row>
    <row r="12" spans="1:5" x14ac:dyDescent="0.25">
      <c r="A12" s="9">
        <v>4</v>
      </c>
      <c r="B12" s="1">
        <v>4172236.77</v>
      </c>
      <c r="C12" s="25"/>
      <c r="D12" s="1">
        <v>4069097.7799999989</v>
      </c>
      <c r="E12" s="25">
        <v>-2.4720310875358389E-2</v>
      </c>
    </row>
    <row r="13" spans="1:5" x14ac:dyDescent="0.25">
      <c r="A13" s="9">
        <v>5</v>
      </c>
      <c r="B13" s="1">
        <v>3825681.9699999993</v>
      </c>
      <c r="C13" s="25"/>
      <c r="D13" s="1">
        <v>5537943.7699999986</v>
      </c>
      <c r="E13" s="25">
        <v>0.44757034521612354</v>
      </c>
    </row>
    <row r="14" spans="1:5" x14ac:dyDescent="0.25">
      <c r="A14" s="9">
        <v>6</v>
      </c>
      <c r="B14" s="1">
        <v>7692234.9000000022</v>
      </c>
      <c r="C14" s="25"/>
      <c r="D14" s="1">
        <v>7158137.8599999985</v>
      </c>
      <c r="E14" s="25">
        <v>-6.9433272247055741E-2</v>
      </c>
    </row>
    <row r="15" spans="1:5" x14ac:dyDescent="0.25">
      <c r="A15" s="9">
        <v>7</v>
      </c>
      <c r="B15" s="1">
        <v>6638609.2100000037</v>
      </c>
      <c r="C15" s="25"/>
      <c r="D15" s="1">
        <v>5242556.459999999</v>
      </c>
      <c r="E15" s="25">
        <v>-0.21029295532218922</v>
      </c>
    </row>
    <row r="16" spans="1:5" x14ac:dyDescent="0.25">
      <c r="A16" s="9">
        <v>8</v>
      </c>
      <c r="B16" s="1">
        <v>3437450.1399999997</v>
      </c>
      <c r="C16" s="25"/>
      <c r="D16" s="1">
        <v>4714525.2100000009</v>
      </c>
      <c r="E16" s="25">
        <v>0.37151813640560949</v>
      </c>
    </row>
    <row r="17" spans="1:5" x14ac:dyDescent="0.25">
      <c r="A17" s="9">
        <v>9</v>
      </c>
      <c r="B17" s="1">
        <v>4870060.5500000007</v>
      </c>
      <c r="C17" s="25"/>
      <c r="D17" s="1">
        <v>3778141.3699999996</v>
      </c>
      <c r="E17" s="25">
        <v>-0.22421059631383863</v>
      </c>
    </row>
    <row r="18" spans="1:5" x14ac:dyDescent="0.25">
      <c r="A18" s="9">
        <v>10</v>
      </c>
      <c r="B18" s="1">
        <v>4372149.55</v>
      </c>
      <c r="C18" s="25"/>
      <c r="D18" s="1">
        <v>4869726.8500000015</v>
      </c>
      <c r="E18" s="25">
        <v>0.11380610253828159</v>
      </c>
    </row>
    <row r="19" spans="1:5" x14ac:dyDescent="0.25">
      <c r="A19" s="9">
        <v>11</v>
      </c>
      <c r="B19" s="1">
        <v>2961318.57</v>
      </c>
      <c r="C19" s="25"/>
      <c r="D19" s="1">
        <v>4734730.08</v>
      </c>
      <c r="E19" s="25">
        <v>0.59885874082098511</v>
      </c>
    </row>
    <row r="20" spans="1:5" x14ac:dyDescent="0.25">
      <c r="A20" s="9">
        <v>12</v>
      </c>
      <c r="B20" s="1">
        <v>8713776.0300000012</v>
      </c>
      <c r="C20" s="25"/>
      <c r="D20" s="1">
        <v>5884298.2599999998</v>
      </c>
      <c r="E20" s="25">
        <v>-0.3247131622684134</v>
      </c>
    </row>
    <row r="21" spans="1:5" x14ac:dyDescent="0.25">
      <c r="A21" s="9" t="s">
        <v>1182</v>
      </c>
      <c r="B21" s="1">
        <v>56617524.399999999</v>
      </c>
      <c r="C21" s="25"/>
      <c r="D21" s="1">
        <v>56744214.309999995</v>
      </c>
      <c r="E21" s="25">
        <v>2.2376448165578292E-3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BC54-04E1-4EA1-8247-141A4889ADA8}">
  <dimension ref="B1:J15"/>
  <sheetViews>
    <sheetView workbookViewId="0">
      <selection activeCell="J2" sqref="J2"/>
    </sheetView>
  </sheetViews>
  <sheetFormatPr defaultRowHeight="15" x14ac:dyDescent="0.25"/>
  <cols>
    <col min="2" max="3" width="10.42578125" bestFit="1" customWidth="1"/>
    <col min="4" max="6" width="10.42578125" customWidth="1"/>
    <col min="8" max="9" width="11.5703125" bestFit="1" customWidth="1"/>
    <col min="10" max="10" width="10.28515625" bestFit="1" customWidth="1"/>
  </cols>
  <sheetData>
    <row r="1" spans="2:10" x14ac:dyDescent="0.25">
      <c r="G1" s="20" t="s">
        <v>1189</v>
      </c>
      <c r="H1" s="22"/>
      <c r="I1" s="22"/>
      <c r="J1" s="22"/>
    </row>
    <row r="2" spans="2:10" x14ac:dyDescent="0.25">
      <c r="G2" s="20" t="s">
        <v>1162</v>
      </c>
      <c r="H2" s="26" t="s">
        <v>1183</v>
      </c>
      <c r="I2" s="26" t="s">
        <v>1184</v>
      </c>
      <c r="J2" s="27" t="s">
        <v>1188</v>
      </c>
    </row>
    <row r="3" spans="2:10" x14ac:dyDescent="0.25">
      <c r="B3" s="2">
        <v>43466</v>
      </c>
      <c r="C3" s="2">
        <f>EOMONTH(B3,0)</f>
        <v>43496</v>
      </c>
      <c r="D3" s="2">
        <f>EOMONTH(B3,11)+1</f>
        <v>43831</v>
      </c>
      <c r="E3" s="2">
        <f>EOMONTH(D3,0)</f>
        <v>43861</v>
      </c>
      <c r="F3" s="2"/>
      <c r="G3" s="18" t="s">
        <v>1163</v>
      </c>
      <c r="H3" s="19">
        <f>SUMIFS(data!$C:$C,data!$D:$D,"&gt;="&amp;B3,data!$D:$D,"&lt;="&amp;C3)</f>
        <v>3792383.5100000007</v>
      </c>
      <c r="I3" s="19">
        <f>SUMIFS(data!$C:$C,data!$D:$D,"&gt;="&amp;D3,data!$D:$D,"&lt;="&amp;E3)</f>
        <v>4291060.8099999987</v>
      </c>
      <c r="J3" s="18">
        <f>I3/H3-1</f>
        <v>0.13149442789344845</v>
      </c>
    </row>
    <row r="4" spans="2:10" x14ac:dyDescent="0.25">
      <c r="B4" s="2">
        <f>C3+1</f>
        <v>43497</v>
      </c>
      <c r="C4" s="2">
        <f>EOMONTH(B4,0)</f>
        <v>43524</v>
      </c>
      <c r="D4" s="2">
        <f t="shared" ref="D4:D14" si="0">EOMONTH(B4,11)+1</f>
        <v>43862</v>
      </c>
      <c r="E4" s="2">
        <f>EOMONTH(D4,0)</f>
        <v>43890</v>
      </c>
      <c r="F4" s="2"/>
      <c r="G4" s="11" t="s">
        <v>1164</v>
      </c>
      <c r="H4" s="16">
        <f>SUMIFS(data!$C:$C,data!$D:$D,"&gt;="&amp;B4,data!$D:$D,"&lt;="&amp;C4)</f>
        <v>2402359</v>
      </c>
      <c r="I4" s="16">
        <f>SUMIFS(data!$C:$C,data!$D:$D,"&gt;="&amp;D4,data!$D:$D,"&lt;="&amp;E4)</f>
        <v>1643662.4899999998</v>
      </c>
      <c r="J4" s="11">
        <f t="shared" ref="J4:J15" si="1">I4/H4-1</f>
        <v>-0.31581312784642102</v>
      </c>
    </row>
    <row r="5" spans="2:10" x14ac:dyDescent="0.25">
      <c r="B5" s="2">
        <f t="shared" ref="B5:B14" si="2">C4+1</f>
        <v>43525</v>
      </c>
      <c r="C5" s="2">
        <f t="shared" ref="C5:E14" si="3">EOMONTH(B5,0)</f>
        <v>43555</v>
      </c>
      <c r="D5" s="2">
        <f t="shared" si="0"/>
        <v>43891</v>
      </c>
      <c r="E5" s="2">
        <f t="shared" si="3"/>
        <v>43921</v>
      </c>
      <c r="F5" s="2"/>
      <c r="G5" s="11" t="s">
        <v>1165</v>
      </c>
      <c r="H5" s="16">
        <f>SUMIFS(data!$C:$C,data!$D:$D,"&gt;="&amp;B5,data!$D:$D,"&lt;="&amp;C5)</f>
        <v>2092407.37</v>
      </c>
      <c r="I5" s="16">
        <f>SUMIFS(data!$C:$C,data!$D:$D,"&gt;="&amp;D5,data!$D:$D,"&lt;="&amp;E5)</f>
        <v>2983600.0700000003</v>
      </c>
      <c r="J5" s="11">
        <f t="shared" si="1"/>
        <v>0.42591739676390072</v>
      </c>
    </row>
    <row r="6" spans="2:10" x14ac:dyDescent="0.25">
      <c r="B6" s="2">
        <f t="shared" si="2"/>
        <v>43556</v>
      </c>
      <c r="C6" s="2">
        <f t="shared" si="3"/>
        <v>43585</v>
      </c>
      <c r="D6" s="2">
        <f t="shared" si="0"/>
        <v>43922</v>
      </c>
      <c r="E6" s="2">
        <f t="shared" si="3"/>
        <v>43951</v>
      </c>
      <c r="F6" s="2"/>
      <c r="G6" s="11" t="s">
        <v>1166</v>
      </c>
      <c r="H6" s="16">
        <f>SUMIFS(data!$C:$C,data!$D:$D,"&gt;="&amp;B6,data!$D:$D,"&lt;="&amp;C6)</f>
        <v>3479483.149999999</v>
      </c>
      <c r="I6" s="16">
        <f>SUMIFS(data!$C:$C,data!$D:$D,"&gt;="&amp;D6,data!$D:$D,"&lt;="&amp;E6)</f>
        <v>3372878.3200000003</v>
      </c>
      <c r="J6" s="11">
        <f t="shared" si="1"/>
        <v>-3.0638122216513297E-2</v>
      </c>
    </row>
    <row r="7" spans="2:10" x14ac:dyDescent="0.25">
      <c r="B7" s="2">
        <f t="shared" si="2"/>
        <v>43586</v>
      </c>
      <c r="C7" s="2">
        <f t="shared" si="3"/>
        <v>43616</v>
      </c>
      <c r="D7" s="2">
        <f t="shared" si="0"/>
        <v>43952</v>
      </c>
      <c r="E7" s="2">
        <f t="shared" si="3"/>
        <v>43982</v>
      </c>
      <c r="F7" s="2"/>
      <c r="G7" s="11" t="s">
        <v>1167</v>
      </c>
      <c r="H7" s="16">
        <f>SUMIFS(data!$C:$C,data!$D:$D,"&gt;="&amp;B7,data!$D:$D,"&lt;="&amp;C7)</f>
        <v>3177423.6700000004</v>
      </c>
      <c r="I7" s="16">
        <f>SUMIFS(data!$C:$C,data!$D:$D,"&gt;="&amp;D7,data!$D:$D,"&lt;="&amp;E7)</f>
        <v>4623092.12</v>
      </c>
      <c r="J7" s="11">
        <f t="shared" si="1"/>
        <v>0.4549813308339834</v>
      </c>
    </row>
    <row r="8" spans="2:10" x14ac:dyDescent="0.25">
      <c r="B8" s="2">
        <f t="shared" si="2"/>
        <v>43617</v>
      </c>
      <c r="C8" s="2">
        <f t="shared" si="3"/>
        <v>43646</v>
      </c>
      <c r="D8" s="2">
        <f t="shared" si="0"/>
        <v>43983</v>
      </c>
      <c r="E8" s="2">
        <f t="shared" si="3"/>
        <v>44012</v>
      </c>
      <c r="F8" s="2"/>
      <c r="G8" s="11" t="s">
        <v>1168</v>
      </c>
      <c r="H8" s="16">
        <f>SUMIFS(data!$C:$C,data!$D:$D,"&gt;="&amp;B8,data!$D:$D,"&lt;="&amp;C8)</f>
        <v>6386956.5299999984</v>
      </c>
      <c r="I8" s="16">
        <f>SUMIFS(data!$C:$C,data!$D:$D,"&gt;="&amp;D8,data!$D:$D,"&lt;="&amp;E8)</f>
        <v>5971093.3899999997</v>
      </c>
      <c r="J8" s="11">
        <f t="shared" si="1"/>
        <v>-6.5111315232326938E-2</v>
      </c>
    </row>
    <row r="9" spans="2:10" x14ac:dyDescent="0.25">
      <c r="B9" s="2">
        <f t="shared" si="2"/>
        <v>43647</v>
      </c>
      <c r="C9" s="2">
        <f t="shared" si="3"/>
        <v>43677</v>
      </c>
      <c r="D9" s="2">
        <f t="shared" si="0"/>
        <v>44013</v>
      </c>
      <c r="E9" s="2">
        <f t="shared" si="3"/>
        <v>44043</v>
      </c>
      <c r="F9" s="2"/>
      <c r="G9" s="11" t="s">
        <v>1169</v>
      </c>
      <c r="H9" s="16">
        <f>SUMIFS(data!$C:$C,data!$D:$D,"&gt;="&amp;B9,data!$D:$D,"&lt;="&amp;C9)</f>
        <v>5554381.8000000007</v>
      </c>
      <c r="I9" s="16">
        <f>SUMIFS(data!$C:$C,data!$D:$D,"&gt;="&amp;D9,data!$D:$D,"&lt;="&amp;E9)</f>
        <v>4402567.0699999994</v>
      </c>
      <c r="J9" s="11">
        <f t="shared" si="1"/>
        <v>-0.20737046380211044</v>
      </c>
    </row>
    <row r="10" spans="2:10" x14ac:dyDescent="0.25">
      <c r="B10" s="2">
        <f t="shared" si="2"/>
        <v>43678</v>
      </c>
      <c r="C10" s="2">
        <f t="shared" si="3"/>
        <v>43708</v>
      </c>
      <c r="D10" s="2">
        <f t="shared" si="0"/>
        <v>44044</v>
      </c>
      <c r="E10" s="2">
        <f t="shared" si="3"/>
        <v>44074</v>
      </c>
      <c r="F10" s="2"/>
      <c r="G10" s="11" t="s">
        <v>1170</v>
      </c>
      <c r="H10" s="16">
        <f>SUMIFS(data!$C:$C,data!$D:$D,"&gt;="&amp;B10,data!$D:$D,"&lt;="&amp;C10)</f>
        <v>2857134.02</v>
      </c>
      <c r="I10" s="16">
        <f>SUMIFS(data!$C:$C,data!$D:$D,"&gt;="&amp;D10,data!$D:$D,"&lt;="&amp;E10)</f>
        <v>3945548.85</v>
      </c>
      <c r="J10" s="11">
        <f t="shared" si="1"/>
        <v>0.38094636876711863</v>
      </c>
    </row>
    <row r="11" spans="2:10" x14ac:dyDescent="0.25">
      <c r="B11" s="2">
        <f t="shared" si="2"/>
        <v>43709</v>
      </c>
      <c r="C11" s="2">
        <f t="shared" si="3"/>
        <v>43738</v>
      </c>
      <c r="D11" s="2">
        <f t="shared" si="0"/>
        <v>44075</v>
      </c>
      <c r="E11" s="2">
        <f t="shared" si="3"/>
        <v>44104</v>
      </c>
      <c r="F11" s="2"/>
      <c r="G11" s="11" t="s">
        <v>1171</v>
      </c>
      <c r="H11" s="16">
        <f>SUMIFS(data!$C:$C,data!$D:$D,"&gt;="&amp;B11,data!$D:$D,"&lt;="&amp;C11)</f>
        <v>4081868.9699999997</v>
      </c>
      <c r="I11" s="16">
        <f>SUMIFS(data!$C:$C,data!$D:$D,"&gt;="&amp;D11,data!$D:$D,"&lt;="&amp;E11)</f>
        <v>3114973.7200000007</v>
      </c>
      <c r="J11" s="11">
        <f t="shared" si="1"/>
        <v>-0.23687562170816057</v>
      </c>
    </row>
    <row r="12" spans="2:10" x14ac:dyDescent="0.25">
      <c r="B12" s="2">
        <f t="shared" si="2"/>
        <v>43739</v>
      </c>
      <c r="C12" s="2">
        <f t="shared" si="3"/>
        <v>43769</v>
      </c>
      <c r="D12" s="2">
        <f t="shared" si="0"/>
        <v>44105</v>
      </c>
      <c r="E12" s="2">
        <f t="shared" si="3"/>
        <v>44135</v>
      </c>
      <c r="F12" s="2"/>
      <c r="G12" s="11" t="s">
        <v>1172</v>
      </c>
      <c r="H12" s="16">
        <f>SUMIFS(data!$C:$C,data!$D:$D,"&gt;="&amp;B12,data!$D:$D,"&lt;="&amp;C12)</f>
        <v>3627715.0699999989</v>
      </c>
      <c r="I12" s="16">
        <f>SUMIFS(data!$C:$C,data!$D:$D,"&gt;="&amp;D12,data!$D:$D,"&lt;="&amp;E12)</f>
        <v>4030025.8900000006</v>
      </c>
      <c r="J12" s="11">
        <f t="shared" si="1"/>
        <v>0.11089923332925977</v>
      </c>
    </row>
    <row r="13" spans="2:10" x14ac:dyDescent="0.25">
      <c r="B13" s="2">
        <f t="shared" si="2"/>
        <v>43770</v>
      </c>
      <c r="C13" s="2">
        <f t="shared" si="3"/>
        <v>43799</v>
      </c>
      <c r="D13" s="2">
        <f t="shared" si="0"/>
        <v>44136</v>
      </c>
      <c r="E13" s="2">
        <f t="shared" si="3"/>
        <v>44165</v>
      </c>
      <c r="F13" s="2"/>
      <c r="G13" s="11" t="s">
        <v>1173</v>
      </c>
      <c r="H13" s="16">
        <f>SUMIFS(data!$C:$C,data!$D:$D,"&gt;="&amp;B13,data!$D:$D,"&lt;="&amp;C13)</f>
        <v>2479030.9500000002</v>
      </c>
      <c r="I13" s="16">
        <f>SUMIFS(data!$C:$C,data!$D:$D,"&gt;="&amp;D13,data!$D:$D,"&lt;="&amp;E13)</f>
        <v>3947059.71</v>
      </c>
      <c r="J13" s="11">
        <f t="shared" si="1"/>
        <v>0.59217847199527696</v>
      </c>
    </row>
    <row r="14" spans="2:10" ht="15.75" thickBot="1" x14ac:dyDescent="0.3">
      <c r="B14" s="2">
        <f t="shared" si="2"/>
        <v>43800</v>
      </c>
      <c r="C14" s="2">
        <f t="shared" si="3"/>
        <v>43830</v>
      </c>
      <c r="D14" s="2">
        <f t="shared" si="0"/>
        <v>44166</v>
      </c>
      <c r="E14" s="2">
        <f t="shared" si="3"/>
        <v>44196</v>
      </c>
      <c r="F14" s="2"/>
      <c r="G14" s="11" t="s">
        <v>1174</v>
      </c>
      <c r="H14" s="16">
        <f>SUMIFS(data!$C:$C,data!$D:$D,"&gt;="&amp;B14,data!$D:$D,"&lt;="&amp;C14)</f>
        <v>7199102.4700000007</v>
      </c>
      <c r="I14" s="16">
        <f>SUMIFS(data!$C:$C,data!$D:$D,"&gt;="&amp;D14,data!$D:$D,"&lt;="&amp;E14)</f>
        <v>4913502.04</v>
      </c>
      <c r="J14" s="11">
        <f t="shared" si="1"/>
        <v>-0.31748408076208423</v>
      </c>
    </row>
    <row r="15" spans="2:10" ht="15.75" thickTop="1" x14ac:dyDescent="0.25">
      <c r="G15" s="12" t="s">
        <v>1187</v>
      </c>
      <c r="H15" s="17">
        <v>56617524.399999999</v>
      </c>
      <c r="I15" s="17">
        <v>56744214.309999995</v>
      </c>
      <c r="J15" s="12">
        <f t="shared" si="1"/>
        <v>2.2376448165577489E-3</v>
      </c>
    </row>
  </sheetData>
  <conditionalFormatting sqref="J3:J14">
    <cfRule type="dataBar" priority="1">
      <dataBar>
        <cfvo type="min"/>
        <cfvo type="max"/>
        <color rgb="FFF68048"/>
      </dataBar>
      <extLst>
        <ext xmlns:x14="http://schemas.microsoft.com/office/spreadsheetml/2009/9/main" uri="{B025F937-C7B1-47D3-B67F-A62EFF666E3E}">
          <x14:id>{E1EC7310-5C04-4086-AC43-548E61200385}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EC7310-5C04-4086-AC43-548E61200385}">
            <x14:dataBar minLength="0" maxLength="100" border="1" negativeBarBorderColorSameAsPositive="0">
              <x14:cfvo type="autoMin"/>
              <x14:cfvo type="autoMax"/>
              <x14:borderColor rgb="FFF68048"/>
              <x14:negativeFillColor rgb="FF0D1A63"/>
              <x14:negativeBorderColor rgb="FF0D1A63"/>
              <x14:axisColor rgb="FF000000"/>
            </x14:dataBar>
          </x14:cfRule>
          <xm:sqref>J3:J14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9210-D631-4D5D-9D7A-5226D5ABF8DC}">
  <dimension ref="A1:AF29"/>
  <sheetViews>
    <sheetView showGridLines="0" workbookViewId="0">
      <selection activeCell="B3" sqref="B3"/>
    </sheetView>
  </sheetViews>
  <sheetFormatPr defaultRowHeight="15" x14ac:dyDescent="0.25"/>
  <cols>
    <col min="1" max="1" width="6.7109375" bestFit="1" customWidth="1"/>
    <col min="2" max="2" width="9.140625" bestFit="1" customWidth="1"/>
    <col min="30" max="30" width="18.5703125" customWidth="1"/>
    <col min="32" max="32" width="19.28515625" customWidth="1"/>
  </cols>
  <sheetData>
    <row r="1" spans="1:32" x14ac:dyDescent="0.25">
      <c r="A1" s="3" t="s">
        <v>1162</v>
      </c>
      <c r="B1" s="3">
        <v>2019</v>
      </c>
      <c r="C1" s="3">
        <v>2020</v>
      </c>
      <c r="D1" t="s">
        <v>1175</v>
      </c>
      <c r="AF1" s="7"/>
    </row>
    <row r="2" spans="1:32" x14ac:dyDescent="0.25">
      <c r="A2" s="5" t="s">
        <v>1163</v>
      </c>
      <c r="B2" s="4" cm="1">
        <f t="array" ref="B2">SUMPRODUCT((data!D2:D1001&gt;=43466)*(data!D2:D1001&lt;43497)*data!B2:B1001)</f>
        <v>4516614.82</v>
      </c>
      <c r="C2" s="4" cm="1">
        <f t="array" ref="C2">SUMPRODUCT((data!D2:D1001&gt;=43831)*(data!D2:D1001&lt;43862)*data!B2:B1001)</f>
        <v>5215699.830000001</v>
      </c>
      <c r="D2" s="6"/>
    </row>
    <row r="3" spans="1:32" x14ac:dyDescent="0.25">
      <c r="A3" s="5" t="s">
        <v>1164</v>
      </c>
      <c r="B3" s="4" cm="1">
        <f t="array" ref="B3">SUMPRODUCT((data!D2:D1001&gt;=43497)*(data!D2:D1001&lt;43525)*data!B2:B1001)</f>
        <v>2895563.9000000004</v>
      </c>
      <c r="C3" s="4" cm="1">
        <f t="array" ref="C3">SUMPRODUCT((data!D2:D1001&gt;=43862)*(data!D2:D1001&lt;43891)*data!B2:B1001)</f>
        <v>1959413.0000000002</v>
      </c>
    </row>
    <row r="4" spans="1:32" x14ac:dyDescent="0.25">
      <c r="A4" s="5" t="s">
        <v>1165</v>
      </c>
      <c r="B4" s="4" cm="1">
        <f t="array" ref="B4">SUMPRODUCT((data!D2:D1001&gt;=43525)*(data!D2:D1001&lt;43556)*data!B2:B1001)</f>
        <v>2521827.9900000002</v>
      </c>
      <c r="C4" s="4" cm="1">
        <f t="array" ref="C4">SUMPRODUCT((data!D2:D1001&gt;=43891)*(data!D2:D1001&lt;43922)*data!B2:B1001)</f>
        <v>3579943.8399999989</v>
      </c>
    </row>
    <row r="5" spans="1:32" x14ac:dyDescent="0.25">
      <c r="A5" s="5" t="s">
        <v>1166</v>
      </c>
      <c r="B5" s="4" cm="1">
        <f t="array" ref="B5">SUMPRODUCT((data!D2:D1001&gt;=43556)*(data!D2:D1001&lt;43586)*data!B2:B1001)</f>
        <v>4172236.77</v>
      </c>
      <c r="C5" s="4" cm="1">
        <f t="array" ref="C5">SUMPRODUCT((data!D2:D1001&gt;=43922)*(data!D2:D1001&lt;43952)*data!B2:B1001)</f>
        <v>4069097.7799999989</v>
      </c>
    </row>
    <row r="6" spans="1:32" x14ac:dyDescent="0.25">
      <c r="A6" s="5" t="s">
        <v>1167</v>
      </c>
      <c r="B6" s="4" cm="1">
        <f t="array" ref="B6">SUMPRODUCT((data!D2:D1001&gt;=43586)*(data!D2:D1001&lt;43617)*data!B2:B1001)</f>
        <v>3825681.9699999993</v>
      </c>
      <c r="C6" s="4" cm="1">
        <f t="array" ref="C6">SUMPRODUCT((data!D2:D1001&gt;=43952)*(data!D2:D1001&lt;43983)*data!B2:B1001)</f>
        <v>5537943.7699999986</v>
      </c>
    </row>
    <row r="7" spans="1:32" x14ac:dyDescent="0.25">
      <c r="A7" s="5" t="s">
        <v>1168</v>
      </c>
      <c r="B7" s="4" cm="1">
        <f t="array" ref="B7">SUMPRODUCT((data!D2:D1001&gt;=43617)*(data!D2:D1001&lt;43647)*data!B2:B1001)</f>
        <v>7692234.9000000022</v>
      </c>
      <c r="C7" s="4" cm="1">
        <f t="array" ref="C7">SUMPRODUCT((data!D2:D1001&gt;=43983)*(data!D2:D1001&lt;44013)*data!B2:B1001)</f>
        <v>7158137.8599999985</v>
      </c>
      <c r="D7" s="6">
        <v>10000000</v>
      </c>
    </row>
    <row r="8" spans="1:32" x14ac:dyDescent="0.25">
      <c r="A8" s="5" t="s">
        <v>1169</v>
      </c>
      <c r="B8" s="4" cm="1">
        <f t="array" ref="B8">SUMPRODUCT((data!D2:D1001&gt;=43647)*(data!D2:D1001&lt;43678)*data!B2:B1001)</f>
        <v>6638609.2100000037</v>
      </c>
      <c r="C8" s="4" cm="1">
        <f t="array" ref="C8">SUMPRODUCT((data!D2:D1001&gt;=44013)*(data!D2:D1001&lt;44044)*data!B2:B1001)</f>
        <v>5242556.459999999</v>
      </c>
      <c r="D8" s="6">
        <v>10000000</v>
      </c>
    </row>
    <row r="9" spans="1:32" x14ac:dyDescent="0.25">
      <c r="A9" s="5" t="s">
        <v>1170</v>
      </c>
      <c r="B9" s="4" cm="1">
        <f t="array" ref="B9">SUMPRODUCT((data!D2:D1001&gt;=43678)*(data!D2:D1001&lt;43709)*data!B2:B1001)</f>
        <v>3437450.1399999997</v>
      </c>
      <c r="C9" s="4" cm="1">
        <f t="array" ref="C9">SUMPRODUCT((data!D2:D1001&gt;=44044)*(data!D2:D1001&lt;44075)*data!B2:B1001)</f>
        <v>4714525.2100000009</v>
      </c>
    </row>
    <row r="10" spans="1:32" x14ac:dyDescent="0.25">
      <c r="A10" s="5" t="s">
        <v>1171</v>
      </c>
      <c r="B10" s="4" cm="1">
        <f t="array" ref="B10">SUMPRODUCT((data!D2:D1001&gt;=43709)*(data!D2:D1001&lt;43739)*data!B2:B1001)</f>
        <v>4870060.5500000007</v>
      </c>
      <c r="C10" s="4" cm="1">
        <f t="array" ref="C10">SUMPRODUCT((data!D2:D1001&gt;=44075)*(data!D2:D1001&lt;44105)*data!B2:B1001)</f>
        <v>3778141.3699999996</v>
      </c>
    </row>
    <row r="11" spans="1:32" x14ac:dyDescent="0.25">
      <c r="A11" s="5" t="s">
        <v>1172</v>
      </c>
      <c r="B11" s="4" cm="1">
        <f t="array" ref="B11">SUMPRODUCT((data!D2:D1001&gt;=43739)*(data!D2:D1001&lt;43770)*data!B2:B1001)</f>
        <v>4372149.55</v>
      </c>
      <c r="C11" s="4" cm="1">
        <f t="array" ref="C11">SUMPRODUCT((data!D2:D1001&gt;=44105)*(data!D2:D1001&lt;44136)*data!B2:B1001)</f>
        <v>4869726.8500000015</v>
      </c>
    </row>
    <row r="12" spans="1:32" x14ac:dyDescent="0.25">
      <c r="A12" s="5" t="s">
        <v>1173</v>
      </c>
      <c r="B12" s="4" cm="1">
        <f t="array" ref="B12">SUMPRODUCT((data!D2:D1001&gt;=43770)*(data!D2:D1001&lt;43800)*data!B2:B1001)</f>
        <v>2961318.57</v>
      </c>
      <c r="C12" s="4" cm="1">
        <f t="array" ref="C12">SUMPRODUCT((data!D2:D1001&gt;=44136)*(data!D2:D1001&lt;44166)*data!B2:B1001)</f>
        <v>4734730.08</v>
      </c>
    </row>
    <row r="13" spans="1:32" x14ac:dyDescent="0.25">
      <c r="A13" s="5" t="s">
        <v>1174</v>
      </c>
      <c r="B13" s="4" cm="1">
        <f t="array" ref="B13">SUMPRODUCT((data!D2:D1001&gt;=43800)*(data!D2:D1001&lt;43831)*data!B2:B1001)</f>
        <v>8713776.0300000012</v>
      </c>
      <c r="C13" s="4" cm="1">
        <f t="array" ref="C13">SUMPRODUCT((data!D2:D1001&gt;=44166)*(data!D2:D1001&lt;44197)*data!B2:B1001)</f>
        <v>5884298.2599999998</v>
      </c>
      <c r="D13" s="6">
        <v>10000000</v>
      </c>
      <c r="E13">
        <v>2019</v>
      </c>
      <c r="F13">
        <v>2020</v>
      </c>
    </row>
    <row r="14" spans="1:32" x14ac:dyDescent="0.25">
      <c r="A14" s="5"/>
      <c r="B14" s="4"/>
    </row>
    <row r="15" spans="1:32" x14ac:dyDescent="0.25">
      <c r="A15" s="5"/>
      <c r="B15" s="4"/>
    </row>
    <row r="16" spans="1:32" x14ac:dyDescent="0.25">
      <c r="A16" s="5"/>
      <c r="B16" s="4"/>
    </row>
    <row r="17" spans="1:11" x14ac:dyDescent="0.25">
      <c r="A17" s="5"/>
      <c r="B17" s="4"/>
    </row>
    <row r="18" spans="1:11" x14ac:dyDescent="0.25">
      <c r="A18" s="5"/>
      <c r="B18" s="4"/>
    </row>
    <row r="19" spans="1:11" x14ac:dyDescent="0.25">
      <c r="A19" s="5"/>
      <c r="B19" s="4"/>
    </row>
    <row r="20" spans="1:11" x14ac:dyDescent="0.25">
      <c r="A20" s="5"/>
      <c r="B20" s="4"/>
    </row>
    <row r="21" spans="1:11" x14ac:dyDescent="0.25">
      <c r="A21" s="5"/>
      <c r="B21" s="4"/>
    </row>
    <row r="22" spans="1:11" x14ac:dyDescent="0.25">
      <c r="A22" s="5"/>
      <c r="B22" s="4"/>
    </row>
    <row r="23" spans="1:11" x14ac:dyDescent="0.25">
      <c r="A23" s="5"/>
      <c r="B23" s="4"/>
    </row>
    <row r="24" spans="1:11" x14ac:dyDescent="0.25">
      <c r="A24" s="5"/>
      <c r="B24" s="4"/>
    </row>
    <row r="25" spans="1:11" x14ac:dyDescent="0.25">
      <c r="A25" s="5"/>
      <c r="B25" s="4"/>
      <c r="K25" t="s">
        <v>1176</v>
      </c>
    </row>
    <row r="26" spans="1:11" x14ac:dyDescent="0.25">
      <c r="K26" t="s">
        <v>1177</v>
      </c>
    </row>
    <row r="27" spans="1:11" x14ac:dyDescent="0.25">
      <c r="K27" t="s">
        <v>1178</v>
      </c>
    </row>
    <row r="28" spans="1:11" x14ac:dyDescent="0.25">
      <c r="K28" t="s">
        <v>1179</v>
      </c>
    </row>
    <row r="29" spans="1:11" x14ac:dyDescent="0.25">
      <c r="K29" t="s">
        <v>1180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506C-54B9-4006-95A9-E258EA253E70}">
  <dimension ref="A1:AF144"/>
  <sheetViews>
    <sheetView showGridLines="0" tabSelected="1" topLeftCell="A84" zoomScaleNormal="100" workbookViewId="0">
      <selection activeCell="N112" sqref="N112"/>
    </sheetView>
  </sheetViews>
  <sheetFormatPr defaultRowHeight="15" x14ac:dyDescent="0.25"/>
  <cols>
    <col min="1" max="1" width="6.7109375" bestFit="1" customWidth="1"/>
    <col min="2" max="2" width="9.140625" bestFit="1" customWidth="1"/>
    <col min="10" max="10" width="9.85546875" bestFit="1" customWidth="1"/>
    <col min="11" max="11" width="10.7109375" customWidth="1"/>
    <col min="30" max="30" width="18.5703125" customWidth="1"/>
    <col min="32" max="32" width="19.28515625" customWidth="1"/>
  </cols>
  <sheetData>
    <row r="1" spans="1:32" x14ac:dyDescent="0.25">
      <c r="A1" s="3" t="s">
        <v>1162</v>
      </c>
      <c r="B1" s="3">
        <v>2019</v>
      </c>
      <c r="C1" s="3">
        <v>2020</v>
      </c>
      <c r="D1" t="s">
        <v>1175</v>
      </c>
      <c r="I1" s="3" t="s">
        <v>1162</v>
      </c>
      <c r="J1" t="s">
        <v>1202</v>
      </c>
      <c r="K1" t="s">
        <v>1224</v>
      </c>
      <c r="AF1" s="7"/>
    </row>
    <row r="2" spans="1:32" x14ac:dyDescent="0.25">
      <c r="A2" s="5" t="s">
        <v>1163</v>
      </c>
      <c r="B2" s="4" cm="1">
        <f t="array" ref="B2">SUMPRODUCT((data!D2:D1001&gt;=43466)*(data!D2:D1001&lt;43497)*data!B2:B1001)</f>
        <v>4516614.82</v>
      </c>
      <c r="C2" s="4" cm="1">
        <f t="array" ref="C2">SUMPRODUCT((data!D2:D1001&gt;=43831)*(data!D2:D1001&lt;43862)*data!B2:B1001)</f>
        <v>5215699.830000001</v>
      </c>
      <c r="D2" s="6"/>
      <c r="I2" s="5" t="s">
        <v>1163</v>
      </c>
      <c r="J2" s="4">
        <f>C2-B2</f>
        <v>699085.01000000071</v>
      </c>
      <c r="K2" s="4">
        <f>SUM($J$2:J2)</f>
        <v>699085.01000000071</v>
      </c>
    </row>
    <row r="3" spans="1:32" x14ac:dyDescent="0.25">
      <c r="A3" s="5" t="s">
        <v>1164</v>
      </c>
      <c r="B3" s="4" cm="1">
        <f t="array" ref="B3">SUMPRODUCT((data!D2:D1001&gt;=43497)*(data!D2:D1001&lt;43525)*data!B2:B1001)</f>
        <v>2895563.9000000004</v>
      </c>
      <c r="C3" s="4" cm="1">
        <f t="array" ref="C3">SUMPRODUCT((data!D2:D1001&gt;=43862)*(data!D2:D1001&lt;43891)*data!B2:B1001)</f>
        <v>1959413.0000000002</v>
      </c>
      <c r="I3" s="5" t="s">
        <v>1164</v>
      </c>
      <c r="J3" s="4">
        <f t="shared" ref="J3:J13" si="0">C3-B3</f>
        <v>-936150.90000000014</v>
      </c>
      <c r="K3" s="4">
        <f>SUM($J$2:J3)</f>
        <v>-237065.88999999943</v>
      </c>
    </row>
    <row r="4" spans="1:32" x14ac:dyDescent="0.25">
      <c r="A4" s="5" t="s">
        <v>1165</v>
      </c>
      <c r="B4" s="4" cm="1">
        <f t="array" ref="B4">SUMPRODUCT((data!D2:D1001&gt;=43525)*(data!D2:D1001&lt;43556)*data!B2:B1001)</f>
        <v>2521827.9900000002</v>
      </c>
      <c r="C4" s="4" cm="1">
        <f t="array" ref="C4">SUMPRODUCT((data!D2:D1001&gt;=43891)*(data!D2:D1001&lt;43922)*data!B2:B1001)</f>
        <v>3579943.8399999989</v>
      </c>
      <c r="I4" s="5" t="s">
        <v>1165</v>
      </c>
      <c r="J4" s="4">
        <f t="shared" si="0"/>
        <v>1058115.8499999987</v>
      </c>
      <c r="K4" s="4">
        <f>SUM($J$2:J4)</f>
        <v>821049.95999999926</v>
      </c>
    </row>
    <row r="5" spans="1:32" x14ac:dyDescent="0.25">
      <c r="A5" s="5" t="s">
        <v>1166</v>
      </c>
      <c r="B5" s="4" cm="1">
        <f t="array" ref="B5">SUMPRODUCT((data!D2:D1001&gt;=43556)*(data!D2:D1001&lt;43586)*data!B2:B1001)</f>
        <v>4172236.77</v>
      </c>
      <c r="C5" s="4" cm="1">
        <f t="array" ref="C5">SUMPRODUCT((data!D2:D1001&gt;=43922)*(data!D2:D1001&lt;43952)*data!B2:B1001)</f>
        <v>4069097.7799999989</v>
      </c>
      <c r="I5" s="5" t="s">
        <v>1166</v>
      </c>
      <c r="J5" s="4">
        <f t="shared" si="0"/>
        <v>-103138.99000000115</v>
      </c>
      <c r="K5" s="4">
        <f>SUM($J$2:J5)</f>
        <v>717910.96999999811</v>
      </c>
    </row>
    <row r="6" spans="1:32" x14ac:dyDescent="0.25">
      <c r="A6" s="5" t="s">
        <v>1167</v>
      </c>
      <c r="B6" s="4" cm="1">
        <f t="array" ref="B6">SUMPRODUCT((data!D2:D1001&gt;=43586)*(data!D2:D1001&lt;43617)*data!B2:B1001)</f>
        <v>3825681.9699999993</v>
      </c>
      <c r="C6" s="4" cm="1">
        <f t="array" ref="C6">SUMPRODUCT((data!D2:D1001&gt;=43952)*(data!D2:D1001&lt;43983)*data!B2:B1001)</f>
        <v>5537943.7699999986</v>
      </c>
      <c r="I6" s="5" t="s">
        <v>1167</v>
      </c>
      <c r="J6" s="4">
        <f t="shared" si="0"/>
        <v>1712261.7999999993</v>
      </c>
      <c r="K6" s="4">
        <f>SUM($J$2:J6)</f>
        <v>2430172.7699999977</v>
      </c>
    </row>
    <row r="7" spans="1:32" x14ac:dyDescent="0.25">
      <c r="A7" s="5" t="s">
        <v>1168</v>
      </c>
      <c r="B7" s="4" cm="1">
        <f t="array" ref="B7">SUMPRODUCT((data!D2:D1001&gt;=43617)*(data!D2:D1001&lt;43647)*data!B2:B1001)</f>
        <v>7692234.9000000022</v>
      </c>
      <c r="C7" s="4" cm="1">
        <f t="array" ref="C7">SUMPRODUCT((data!D2:D1001&gt;=43983)*(data!D2:D1001&lt;44013)*data!B2:B1001)</f>
        <v>7158137.8599999985</v>
      </c>
      <c r="D7" s="6">
        <v>10000000</v>
      </c>
      <c r="I7" s="5" t="s">
        <v>1168</v>
      </c>
      <c r="J7" s="4">
        <f t="shared" si="0"/>
        <v>-534097.04000000376</v>
      </c>
      <c r="K7" s="4">
        <f>SUM($J$2:J7)</f>
        <v>1896075.7299999939</v>
      </c>
    </row>
    <row r="8" spans="1:32" x14ac:dyDescent="0.25">
      <c r="A8" s="5" t="s">
        <v>1169</v>
      </c>
      <c r="B8" s="4" cm="1">
        <f t="array" ref="B8">SUMPRODUCT((data!D2:D1001&gt;=43647)*(data!D2:D1001&lt;43678)*data!B2:B1001)</f>
        <v>6638609.2100000037</v>
      </c>
      <c r="C8" s="4" cm="1">
        <f t="array" ref="C8">SUMPRODUCT((data!D2:D1001&gt;=44013)*(data!D2:D1001&lt;44044)*data!B2:B1001)</f>
        <v>5242556.459999999</v>
      </c>
      <c r="D8" s="6">
        <v>10000000</v>
      </c>
      <c r="I8" s="5" t="s">
        <v>1169</v>
      </c>
      <c r="J8" s="4">
        <f t="shared" si="0"/>
        <v>-1396052.7500000047</v>
      </c>
      <c r="K8" s="4">
        <f>SUM($J$2:J8)</f>
        <v>500022.97999998927</v>
      </c>
    </row>
    <row r="9" spans="1:32" x14ac:dyDescent="0.25">
      <c r="A9" s="5" t="s">
        <v>1170</v>
      </c>
      <c r="B9" s="4" cm="1">
        <f t="array" ref="B9">SUMPRODUCT((data!D2:D1001&gt;=43678)*(data!D2:D1001&lt;43709)*data!B2:B1001)</f>
        <v>3437450.1399999997</v>
      </c>
      <c r="C9" s="4" cm="1">
        <f t="array" ref="C9">SUMPRODUCT((data!D2:D1001&gt;=44044)*(data!D2:D1001&lt;44075)*data!B2:B1001)</f>
        <v>4714525.2100000009</v>
      </c>
      <c r="I9" s="5" t="s">
        <v>1170</v>
      </c>
      <c r="J9" s="4">
        <f t="shared" si="0"/>
        <v>1277075.0700000012</v>
      </c>
      <c r="K9" s="4">
        <f>SUM($J$2:J9)</f>
        <v>1777098.0499999905</v>
      </c>
    </row>
    <row r="10" spans="1:32" x14ac:dyDescent="0.25">
      <c r="A10" s="5" t="s">
        <v>1171</v>
      </c>
      <c r="B10" s="4" cm="1">
        <f t="array" ref="B10">SUMPRODUCT((data!D2:D1001&gt;=43709)*(data!D2:D1001&lt;43739)*data!B2:B1001)</f>
        <v>4870060.5500000007</v>
      </c>
      <c r="C10" s="4" cm="1">
        <f t="array" ref="C10">SUMPRODUCT((data!D2:D1001&gt;=44075)*(data!D2:D1001&lt;44105)*data!B2:B1001)</f>
        <v>3778141.3699999996</v>
      </c>
      <c r="I10" s="5" t="s">
        <v>1171</v>
      </c>
      <c r="J10" s="4">
        <f t="shared" si="0"/>
        <v>-1091919.1800000011</v>
      </c>
      <c r="K10" s="4">
        <f>SUM($J$2:J10)</f>
        <v>685178.8699999894</v>
      </c>
    </row>
    <row r="11" spans="1:32" x14ac:dyDescent="0.25">
      <c r="A11" s="5" t="s">
        <v>1172</v>
      </c>
      <c r="B11" s="4" cm="1">
        <f t="array" ref="B11">SUMPRODUCT((data!D2:D1001&gt;=43739)*(data!D2:D1001&lt;43770)*data!B2:B1001)</f>
        <v>4372149.55</v>
      </c>
      <c r="C11" s="4" cm="1">
        <f t="array" ref="C11">SUMPRODUCT((data!D2:D1001&gt;=44105)*(data!D2:D1001&lt;44136)*data!B2:B1001)</f>
        <v>4869726.8500000015</v>
      </c>
      <c r="I11" s="5" t="s">
        <v>1172</v>
      </c>
      <c r="J11" s="4">
        <f t="shared" si="0"/>
        <v>497577.30000000168</v>
      </c>
      <c r="K11" s="4">
        <f>SUM($J$2:J11)</f>
        <v>1182756.1699999911</v>
      </c>
    </row>
    <row r="12" spans="1:32" x14ac:dyDescent="0.25">
      <c r="A12" s="5" t="s">
        <v>1173</v>
      </c>
      <c r="B12" s="4" cm="1">
        <f t="array" ref="B12">SUMPRODUCT((data!D2:D1001&gt;=43770)*(data!D2:D1001&lt;43800)*data!B2:B1001)</f>
        <v>2961318.57</v>
      </c>
      <c r="C12" s="4" cm="1">
        <f t="array" ref="C12">SUMPRODUCT((data!D2:D1001&gt;=44136)*(data!D2:D1001&lt;44166)*data!B2:B1001)</f>
        <v>4734730.08</v>
      </c>
      <c r="I12" s="5" t="s">
        <v>1173</v>
      </c>
      <c r="J12" s="4">
        <f t="shared" si="0"/>
        <v>1773411.5100000002</v>
      </c>
      <c r="K12" s="4">
        <f>SUM($J$2:J12)</f>
        <v>2956167.6799999913</v>
      </c>
    </row>
    <row r="13" spans="1:32" x14ac:dyDescent="0.25">
      <c r="A13" s="5" t="s">
        <v>1174</v>
      </c>
      <c r="B13" s="4" cm="1">
        <f t="array" ref="B13">SUMPRODUCT((data!D2:D1001&gt;=43800)*(data!D2:D1001&lt;43831)*data!B2:B1001)</f>
        <v>8713776.0300000012</v>
      </c>
      <c r="C13" s="4" cm="1">
        <f t="array" ref="C13">SUMPRODUCT((data!D2:D1001&gt;=44166)*(data!D2:D1001&lt;44197)*data!B2:B1001)</f>
        <v>5884298.2599999998</v>
      </c>
      <c r="D13" s="6">
        <v>10000000</v>
      </c>
      <c r="E13">
        <v>2019</v>
      </c>
      <c r="F13">
        <v>2020</v>
      </c>
      <c r="I13" s="5" t="s">
        <v>1174</v>
      </c>
      <c r="J13" s="4">
        <f t="shared" si="0"/>
        <v>-2829477.7700000014</v>
      </c>
      <c r="K13" s="4">
        <f>SUM($J$2:J13)</f>
        <v>126689.9099999899</v>
      </c>
    </row>
    <row r="14" spans="1:32" x14ac:dyDescent="0.25">
      <c r="A14" s="5"/>
      <c r="B14" s="4"/>
    </row>
    <row r="15" spans="1:32" x14ac:dyDescent="0.25">
      <c r="A15" s="5"/>
      <c r="B15" s="4"/>
    </row>
    <row r="16" spans="1:32" x14ac:dyDescent="0.25">
      <c r="A16" s="5"/>
      <c r="B16" s="4"/>
    </row>
    <row r="17" spans="1:15" x14ac:dyDescent="0.25">
      <c r="A17" s="5"/>
      <c r="B17" s="4"/>
    </row>
    <row r="18" spans="1:15" x14ac:dyDescent="0.25">
      <c r="A18" s="5"/>
      <c r="B18" s="4"/>
    </row>
    <row r="19" spans="1:15" x14ac:dyDescent="0.25">
      <c r="A19" s="5"/>
      <c r="B19" s="4"/>
    </row>
    <row r="20" spans="1:15" x14ac:dyDescent="0.25">
      <c r="A20" s="5"/>
      <c r="B20" s="4"/>
    </row>
    <row r="21" spans="1:15" x14ac:dyDescent="0.25">
      <c r="A21" s="5"/>
      <c r="B21" s="4"/>
    </row>
    <row r="22" spans="1:15" x14ac:dyDescent="0.25">
      <c r="A22" s="5"/>
      <c r="B22" s="4"/>
    </row>
    <row r="23" spans="1:15" x14ac:dyDescent="0.25">
      <c r="A23" s="5"/>
      <c r="B23" s="4"/>
    </row>
    <row r="24" spans="1:15" x14ac:dyDescent="0.25">
      <c r="A24" s="5"/>
      <c r="B24" s="4"/>
      <c r="O24" t="s">
        <v>1176</v>
      </c>
    </row>
    <row r="25" spans="1:15" x14ac:dyDescent="0.25">
      <c r="A25" s="5"/>
      <c r="B25" s="4"/>
      <c r="O25" t="s">
        <v>1177</v>
      </c>
    </row>
    <row r="26" spans="1:15" x14ac:dyDescent="0.25">
      <c r="O26" t="s">
        <v>1178</v>
      </c>
    </row>
    <row r="27" spans="1:15" x14ac:dyDescent="0.25">
      <c r="O27" t="s">
        <v>1179</v>
      </c>
    </row>
    <row r="28" spans="1:15" x14ac:dyDescent="0.25">
      <c r="O28" t="s">
        <v>1180</v>
      </c>
    </row>
    <row r="50" spans="31:31" x14ac:dyDescent="0.25">
      <c r="AE50" s="28"/>
    </row>
    <row r="67" spans="14:14" ht="18.75" x14ac:dyDescent="0.25">
      <c r="N67" s="29"/>
    </row>
    <row r="143" spans="20:20" x14ac:dyDescent="0.25">
      <c r="T143" t="s">
        <v>1203</v>
      </c>
    </row>
    <row r="144" spans="20:20" x14ac:dyDescent="0.25">
      <c r="T144" t="s">
        <v>1204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50DA-924A-41CE-A3D9-DEA46C0818EB}">
  <dimension ref="A2:J334"/>
  <sheetViews>
    <sheetView topLeftCell="A134" workbookViewId="0">
      <selection activeCell="G199" sqref="G199"/>
    </sheetView>
  </sheetViews>
  <sheetFormatPr defaultRowHeight="15" x14ac:dyDescent="0.25"/>
  <cols>
    <col min="1" max="1" width="24.140625" bestFit="1" customWidth="1"/>
    <col min="2" max="2" width="16.85546875" bestFit="1" customWidth="1"/>
    <col min="3" max="3" width="12.7109375" bestFit="1" customWidth="1"/>
    <col min="4" max="4" width="11.7109375" bestFit="1" customWidth="1"/>
    <col min="5" max="7" width="12.7109375" bestFit="1" customWidth="1"/>
    <col min="8" max="8" width="11.7109375" bestFit="1" customWidth="1"/>
    <col min="9" max="9" width="12.7109375" bestFit="1" customWidth="1"/>
    <col min="10" max="10" width="13.85546875" bestFit="1" customWidth="1"/>
    <col min="11" max="13" width="12.42578125" bestFit="1" customWidth="1"/>
    <col min="14" max="14" width="13.85546875" bestFit="1" customWidth="1"/>
    <col min="15" max="16" width="12.7109375" bestFit="1" customWidth="1"/>
    <col min="17" max="17" width="13.85546875" bestFit="1" customWidth="1"/>
    <col min="18" max="18" width="10.85546875" bestFit="1" customWidth="1"/>
    <col min="19" max="19" width="14.85546875" bestFit="1" customWidth="1"/>
    <col min="20" max="20" width="12.7109375" bestFit="1" customWidth="1"/>
    <col min="21" max="21" width="15.5703125" bestFit="1" customWidth="1"/>
    <col min="22" max="22" width="11.7109375" bestFit="1" customWidth="1"/>
    <col min="23" max="23" width="8" bestFit="1" customWidth="1"/>
    <col min="24" max="24" width="16" bestFit="1" customWidth="1"/>
    <col min="25" max="25" width="16.7109375" bestFit="1" customWidth="1"/>
    <col min="26" max="26" width="13.42578125" bestFit="1" customWidth="1"/>
    <col min="27" max="27" width="16.42578125" bestFit="1" customWidth="1"/>
    <col min="28" max="28" width="12" bestFit="1" customWidth="1"/>
    <col min="29" max="29" width="14.140625" bestFit="1" customWidth="1"/>
    <col min="30" max="30" width="14" bestFit="1" customWidth="1"/>
    <col min="31" max="31" width="16.42578125" bestFit="1" customWidth="1"/>
    <col min="32" max="32" width="9.85546875" bestFit="1" customWidth="1"/>
    <col min="33" max="33" width="11.28515625" bestFit="1" customWidth="1"/>
    <col min="34" max="35" width="11.7109375" bestFit="1" customWidth="1"/>
    <col min="36" max="36" width="13.42578125" bestFit="1" customWidth="1"/>
    <col min="37" max="38" width="10.140625" bestFit="1" customWidth="1"/>
    <col min="39" max="39" width="10.85546875" bestFit="1" customWidth="1"/>
    <col min="40" max="41" width="11.7109375" bestFit="1" customWidth="1"/>
    <col min="42" max="42" width="13.140625" bestFit="1" customWidth="1"/>
    <col min="43" max="43" width="11.7109375" bestFit="1" customWidth="1"/>
    <col min="44" max="44" width="10.140625" bestFit="1" customWidth="1"/>
    <col min="45" max="45" width="11.7109375" bestFit="1" customWidth="1"/>
    <col min="46" max="46" width="12.7109375" bestFit="1" customWidth="1"/>
  </cols>
  <sheetData>
    <row r="2" spans="1:7" x14ac:dyDescent="0.25">
      <c r="A2" s="8" t="s">
        <v>1186</v>
      </c>
      <c r="B2" s="8" t="s">
        <v>1185</v>
      </c>
    </row>
    <row r="3" spans="1:7" x14ac:dyDescent="0.25">
      <c r="B3">
        <v>2019</v>
      </c>
      <c r="E3">
        <v>2020</v>
      </c>
    </row>
    <row r="4" spans="1:7" x14ac:dyDescent="0.25">
      <c r="A4" s="8" t="s">
        <v>1181</v>
      </c>
      <c r="B4" t="s">
        <v>14</v>
      </c>
      <c r="C4" t="s">
        <v>27</v>
      </c>
      <c r="D4" t="s">
        <v>37</v>
      </c>
      <c r="E4" t="s">
        <v>14</v>
      </c>
      <c r="F4" t="s">
        <v>27</v>
      </c>
      <c r="G4" t="s">
        <v>37</v>
      </c>
    </row>
    <row r="5" spans="1:7" x14ac:dyDescent="0.25">
      <c r="A5" s="9" t="s">
        <v>81</v>
      </c>
      <c r="B5" s="1">
        <v>512800.89</v>
      </c>
      <c r="C5" s="1">
        <v>2022380.3299999998</v>
      </c>
      <c r="D5" s="1">
        <v>495470.75</v>
      </c>
      <c r="E5" s="1">
        <v>93996.68</v>
      </c>
      <c r="F5" s="1">
        <v>1365493.71</v>
      </c>
      <c r="G5" s="1">
        <v>54446.5</v>
      </c>
    </row>
    <row r="6" spans="1:7" x14ac:dyDescent="0.25">
      <c r="A6" s="9" t="s">
        <v>71</v>
      </c>
      <c r="B6" s="1">
        <v>253580.37</v>
      </c>
      <c r="C6" s="1">
        <v>3169565.82</v>
      </c>
      <c r="D6" s="1">
        <v>638875.84</v>
      </c>
      <c r="E6" s="1">
        <v>439504.69999999995</v>
      </c>
      <c r="F6" s="1">
        <v>2107337.17</v>
      </c>
      <c r="G6" s="1">
        <v>46296.26</v>
      </c>
    </row>
    <row r="7" spans="1:7" x14ac:dyDescent="0.25">
      <c r="A7" s="9" t="s">
        <v>68</v>
      </c>
      <c r="B7" s="1">
        <v>165160.22</v>
      </c>
      <c r="C7" s="1">
        <v>1608477.2</v>
      </c>
      <c r="D7" s="1">
        <v>19930.04</v>
      </c>
      <c r="E7" s="1">
        <v>193137.13</v>
      </c>
      <c r="F7" s="1">
        <v>1520045.9599999997</v>
      </c>
      <c r="G7" s="1">
        <v>110092.84</v>
      </c>
    </row>
    <row r="8" spans="1:7" x14ac:dyDescent="0.25">
      <c r="A8" s="9" t="s">
        <v>31</v>
      </c>
      <c r="B8" s="1">
        <v>654933.67000000004</v>
      </c>
      <c r="C8" s="1">
        <v>1440563.85</v>
      </c>
      <c r="D8" s="1">
        <v>89830.34</v>
      </c>
      <c r="E8" s="1">
        <v>290498.21999999997</v>
      </c>
      <c r="F8" s="1">
        <v>2598897.94</v>
      </c>
      <c r="G8" s="1">
        <v>413829.11</v>
      </c>
    </row>
    <row r="9" spans="1:7" x14ac:dyDescent="0.25">
      <c r="A9" s="9" t="s">
        <v>143</v>
      </c>
      <c r="B9" s="1">
        <v>454590.83999999997</v>
      </c>
      <c r="C9" s="1">
        <v>1307572.26</v>
      </c>
      <c r="D9" s="1">
        <v>277322.94</v>
      </c>
      <c r="E9" s="1">
        <v>581163.50999999989</v>
      </c>
      <c r="F9" s="1">
        <v>1839695.08</v>
      </c>
      <c r="G9" s="1">
        <v>252406.76</v>
      </c>
    </row>
    <row r="10" spans="1:7" x14ac:dyDescent="0.25">
      <c r="A10" s="9" t="s">
        <v>409</v>
      </c>
      <c r="B10" s="1"/>
      <c r="C10" s="1"/>
      <c r="D10" s="1"/>
      <c r="E10" s="1"/>
      <c r="F10" s="1">
        <v>190166.35</v>
      </c>
      <c r="G10" s="1"/>
    </row>
    <row r="11" spans="1:7" x14ac:dyDescent="0.25">
      <c r="A11" s="9" t="s">
        <v>161</v>
      </c>
      <c r="B11" s="1">
        <v>78293.94</v>
      </c>
      <c r="C11" s="1">
        <v>953239.1399999999</v>
      </c>
      <c r="D11" s="1">
        <v>37073.910000000003</v>
      </c>
      <c r="E11" s="1"/>
      <c r="F11" s="1">
        <v>814589.38</v>
      </c>
      <c r="G11" s="1"/>
    </row>
    <row r="12" spans="1:7" x14ac:dyDescent="0.25">
      <c r="A12" s="9" t="s">
        <v>36</v>
      </c>
      <c r="B12" s="1">
        <v>280678.20999999996</v>
      </c>
      <c r="C12" s="1">
        <v>286411.11</v>
      </c>
      <c r="D12" s="1">
        <v>178763.42</v>
      </c>
      <c r="E12" s="1">
        <v>120012.56</v>
      </c>
      <c r="F12" s="1">
        <v>199698.58</v>
      </c>
      <c r="G12" s="1"/>
    </row>
    <row r="13" spans="1:7" x14ac:dyDescent="0.25">
      <c r="A13" s="9" t="s">
        <v>218</v>
      </c>
      <c r="B13" s="1">
        <v>406772.54</v>
      </c>
      <c r="C13" s="1">
        <v>856472.03</v>
      </c>
      <c r="D13" s="1">
        <v>41805.53</v>
      </c>
      <c r="E13" s="1">
        <v>221010.84999999998</v>
      </c>
      <c r="F13" s="1">
        <v>3053647.3899999997</v>
      </c>
      <c r="G13" s="1">
        <v>179323.22</v>
      </c>
    </row>
    <row r="14" spans="1:7" x14ac:dyDescent="0.25">
      <c r="A14" s="9" t="s">
        <v>175</v>
      </c>
      <c r="B14" s="1">
        <v>307535.91000000003</v>
      </c>
      <c r="C14" s="1">
        <v>851089.22</v>
      </c>
      <c r="D14" s="1">
        <v>114232.68</v>
      </c>
      <c r="E14" s="1">
        <v>239399.8</v>
      </c>
      <c r="F14" s="1">
        <v>1205614.05</v>
      </c>
      <c r="G14" s="1"/>
    </row>
    <row r="15" spans="1:7" x14ac:dyDescent="0.25">
      <c r="A15" s="9" t="s">
        <v>117</v>
      </c>
      <c r="B15" s="1">
        <v>325331.99</v>
      </c>
      <c r="C15" s="1">
        <v>798196.1399999999</v>
      </c>
      <c r="D15" s="1">
        <v>204484.61</v>
      </c>
      <c r="E15" s="1">
        <v>591358.80000000005</v>
      </c>
      <c r="F15" s="1">
        <v>957366.40999999992</v>
      </c>
      <c r="G15" s="1">
        <v>82116.31</v>
      </c>
    </row>
    <row r="16" spans="1:7" x14ac:dyDescent="0.25">
      <c r="A16" s="9" t="s">
        <v>347</v>
      </c>
      <c r="B16" s="1"/>
      <c r="C16" s="1">
        <v>297172.76</v>
      </c>
      <c r="D16" s="1"/>
      <c r="E16" s="1"/>
      <c r="F16" s="1">
        <v>193787.99</v>
      </c>
      <c r="G16" s="1"/>
    </row>
    <row r="17" spans="1:7" x14ac:dyDescent="0.25">
      <c r="A17" s="9" t="s">
        <v>216</v>
      </c>
      <c r="B17" s="1">
        <v>80986.100000000006</v>
      </c>
      <c r="C17" s="1">
        <v>1277243.94</v>
      </c>
      <c r="D17" s="1">
        <v>51407.3</v>
      </c>
      <c r="E17" s="1">
        <v>527020.25</v>
      </c>
      <c r="F17" s="1">
        <v>808468.5199999999</v>
      </c>
      <c r="G17" s="1">
        <v>48922.42</v>
      </c>
    </row>
    <row r="18" spans="1:7" x14ac:dyDescent="0.25">
      <c r="A18" s="9" t="s">
        <v>700</v>
      </c>
      <c r="B18" s="1"/>
      <c r="C18" s="1">
        <v>39287.29</v>
      </c>
      <c r="D18" s="1"/>
      <c r="E18" s="1"/>
      <c r="F18" s="1">
        <v>232955.47</v>
      </c>
      <c r="G18" s="1"/>
    </row>
    <row r="19" spans="1:7" x14ac:dyDescent="0.25">
      <c r="A19" s="9" t="s">
        <v>98</v>
      </c>
      <c r="B19" s="1">
        <v>76183.740000000005</v>
      </c>
      <c r="C19" s="1">
        <v>152370.57</v>
      </c>
      <c r="D19" s="1"/>
      <c r="E19" s="1">
        <v>211215.03</v>
      </c>
      <c r="F19" s="1">
        <v>169200.62</v>
      </c>
      <c r="G19" s="1"/>
    </row>
    <row r="20" spans="1:7" x14ac:dyDescent="0.25">
      <c r="A20" s="9" t="s">
        <v>75</v>
      </c>
      <c r="B20" s="1">
        <v>544111.52999999991</v>
      </c>
      <c r="C20" s="1">
        <v>2185710.2999999998</v>
      </c>
      <c r="D20" s="1">
        <v>257879.35</v>
      </c>
      <c r="E20" s="1">
        <v>87513.27</v>
      </c>
      <c r="F20" s="1">
        <v>3781370.7300000004</v>
      </c>
      <c r="G20" s="1">
        <v>40467.85</v>
      </c>
    </row>
    <row r="21" spans="1:7" x14ac:dyDescent="0.25">
      <c r="A21" s="9" t="s">
        <v>127</v>
      </c>
      <c r="B21" s="1">
        <v>203604.46</v>
      </c>
      <c r="C21" s="1">
        <v>2434315.4500000007</v>
      </c>
      <c r="D21" s="1">
        <v>240171.57</v>
      </c>
      <c r="E21" s="1">
        <v>149028.5</v>
      </c>
      <c r="F21" s="1">
        <v>2088833.9999999998</v>
      </c>
      <c r="G21" s="1">
        <v>38648.720000000001</v>
      </c>
    </row>
    <row r="22" spans="1:7" x14ac:dyDescent="0.25">
      <c r="A22" s="9" t="s">
        <v>65</v>
      </c>
      <c r="B22" s="1">
        <v>112491.58</v>
      </c>
      <c r="C22" s="1">
        <v>2115123</v>
      </c>
      <c r="D22" s="1">
        <v>209344.07</v>
      </c>
      <c r="E22" s="1">
        <v>287715.07</v>
      </c>
      <c r="F22" s="1">
        <v>1574219.05</v>
      </c>
      <c r="G22" s="1">
        <v>34748.75</v>
      </c>
    </row>
    <row r="23" spans="1:7" x14ac:dyDescent="0.25">
      <c r="A23" s="9" t="s">
        <v>89</v>
      </c>
      <c r="B23" s="1">
        <v>754664.12999999989</v>
      </c>
      <c r="C23" s="1">
        <v>2167729.6800000006</v>
      </c>
      <c r="D23" s="1">
        <v>308527.28000000003</v>
      </c>
      <c r="E23" s="1">
        <v>477021.4</v>
      </c>
      <c r="F23" s="1">
        <v>1999025.63</v>
      </c>
      <c r="G23" s="1">
        <v>453248.85000000003</v>
      </c>
    </row>
    <row r="24" spans="1:7" x14ac:dyDescent="0.25">
      <c r="A24" s="9" t="s">
        <v>73</v>
      </c>
      <c r="B24" s="1">
        <v>256388.08</v>
      </c>
      <c r="C24" s="1">
        <v>1598031.26</v>
      </c>
      <c r="D24" s="1">
        <v>83097.399999999994</v>
      </c>
      <c r="E24" s="1">
        <v>77128.75</v>
      </c>
      <c r="F24" s="1">
        <v>977691</v>
      </c>
      <c r="G24" s="1">
        <v>114101.42</v>
      </c>
    </row>
    <row r="25" spans="1:7" x14ac:dyDescent="0.25">
      <c r="A25" s="9" t="s">
        <v>107</v>
      </c>
      <c r="B25" s="1">
        <v>104743.22</v>
      </c>
      <c r="C25" s="1">
        <v>998039.46</v>
      </c>
      <c r="D25" s="1">
        <v>569532.38</v>
      </c>
      <c r="E25" s="1"/>
      <c r="F25" s="1">
        <v>1241235.3400000001</v>
      </c>
      <c r="G25" s="1"/>
    </row>
    <row r="26" spans="1:7" x14ac:dyDescent="0.25">
      <c r="A26" s="9" t="s">
        <v>140</v>
      </c>
      <c r="B26" s="1"/>
      <c r="C26" s="1">
        <v>459532.09000000008</v>
      </c>
      <c r="D26" s="1"/>
      <c r="E26" s="1">
        <v>185564.4</v>
      </c>
      <c r="F26" s="1">
        <v>246239.97</v>
      </c>
      <c r="G26" s="1">
        <v>44232.84</v>
      </c>
    </row>
    <row r="27" spans="1:7" x14ac:dyDescent="0.25">
      <c r="A27" s="9" t="s">
        <v>13</v>
      </c>
      <c r="B27" s="1">
        <v>460839.73</v>
      </c>
      <c r="C27" s="1">
        <v>1105178.5499999998</v>
      </c>
      <c r="D27" s="1">
        <v>97063.22</v>
      </c>
      <c r="E27" s="1">
        <v>234994.63</v>
      </c>
      <c r="F27" s="1">
        <v>2015484.49</v>
      </c>
      <c r="G27" s="1">
        <v>36181.81</v>
      </c>
    </row>
    <row r="28" spans="1:7" x14ac:dyDescent="0.25">
      <c r="A28" s="9" t="s">
        <v>55</v>
      </c>
      <c r="B28" s="1">
        <v>467178.51</v>
      </c>
      <c r="C28" s="1">
        <v>2407774.02</v>
      </c>
      <c r="D28" s="1"/>
      <c r="E28" s="1">
        <v>31161.759999999998</v>
      </c>
      <c r="F28" s="1">
        <v>1099156.4300000002</v>
      </c>
      <c r="G28" s="1">
        <v>134621.80000000002</v>
      </c>
    </row>
    <row r="29" spans="1:7" x14ac:dyDescent="0.25">
      <c r="A29" s="9" t="s">
        <v>424</v>
      </c>
      <c r="B29" s="1"/>
      <c r="C29" s="1">
        <v>68745.86</v>
      </c>
      <c r="D29" s="1"/>
      <c r="E29" s="1"/>
      <c r="F29" s="1">
        <v>188568.66</v>
      </c>
      <c r="G29" s="1">
        <v>148530.26</v>
      </c>
    </row>
    <row r="30" spans="1:7" x14ac:dyDescent="0.25">
      <c r="A30" s="9" t="s">
        <v>352</v>
      </c>
      <c r="B30" s="1">
        <v>248195.53999999998</v>
      </c>
      <c r="C30" s="1">
        <v>815694.01000000013</v>
      </c>
      <c r="D30" s="1">
        <v>256542.88</v>
      </c>
      <c r="E30" s="1">
        <v>186397.6</v>
      </c>
      <c r="F30" s="1">
        <v>1097369.8499999999</v>
      </c>
      <c r="G30" s="1">
        <v>106115.85</v>
      </c>
    </row>
    <row r="31" spans="1:7" x14ac:dyDescent="0.25">
      <c r="A31" s="9" t="s">
        <v>85</v>
      </c>
      <c r="B31" s="1">
        <v>104152.15</v>
      </c>
      <c r="C31" s="1">
        <v>696744.00000000012</v>
      </c>
      <c r="D31" s="1">
        <v>214983.15</v>
      </c>
      <c r="E31" s="1">
        <v>207751.43</v>
      </c>
      <c r="F31" s="1">
        <v>1950792.59</v>
      </c>
      <c r="G31" s="1">
        <v>50241.47</v>
      </c>
    </row>
    <row r="32" spans="1:7" x14ac:dyDescent="0.25">
      <c r="A32" s="9" t="s">
        <v>132</v>
      </c>
      <c r="B32" s="1">
        <v>590815.30000000005</v>
      </c>
      <c r="C32" s="1">
        <v>2277726.94</v>
      </c>
      <c r="D32" s="1"/>
      <c r="E32" s="1">
        <v>334106.41000000003</v>
      </c>
      <c r="F32" s="1">
        <v>1884734.3899999997</v>
      </c>
      <c r="G32" s="1">
        <v>150888.60999999999</v>
      </c>
    </row>
    <row r="33" spans="1:7" x14ac:dyDescent="0.25">
      <c r="A33" s="9" t="s">
        <v>211</v>
      </c>
      <c r="B33" s="1"/>
      <c r="C33" s="1">
        <v>1036133.25</v>
      </c>
      <c r="D33" s="1"/>
      <c r="E33" s="1">
        <v>306303.61</v>
      </c>
      <c r="F33" s="1">
        <v>891976.19</v>
      </c>
      <c r="G33" s="1"/>
    </row>
    <row r="34" spans="1:7" x14ac:dyDescent="0.25">
      <c r="A34" s="9" t="s">
        <v>40</v>
      </c>
      <c r="B34" s="1">
        <v>59163.79</v>
      </c>
      <c r="C34" s="1">
        <v>615903.27999999991</v>
      </c>
      <c r="D34" s="1"/>
      <c r="E34" s="1"/>
      <c r="F34" s="1">
        <v>352763.8</v>
      </c>
      <c r="G34" s="1"/>
    </row>
    <row r="35" spans="1:7" x14ac:dyDescent="0.25">
      <c r="A35" s="9" t="s">
        <v>103</v>
      </c>
      <c r="B35" s="1">
        <v>83141.47</v>
      </c>
      <c r="C35" s="1">
        <v>757666.74</v>
      </c>
      <c r="D35" s="1"/>
      <c r="E35" s="1">
        <v>214701.97</v>
      </c>
      <c r="F35" s="1">
        <v>543438.09</v>
      </c>
      <c r="G35" s="1"/>
    </row>
    <row r="36" spans="1:7" x14ac:dyDescent="0.25">
      <c r="A36" s="9" t="s">
        <v>26</v>
      </c>
      <c r="B36" s="1">
        <v>246741.34000000003</v>
      </c>
      <c r="C36" s="1">
        <v>1472738.4399999997</v>
      </c>
      <c r="D36" s="1">
        <v>294472.77</v>
      </c>
      <c r="E36" s="1">
        <v>487744.33</v>
      </c>
      <c r="F36" s="1">
        <v>1989810.2599999998</v>
      </c>
      <c r="G36" s="1"/>
    </row>
    <row r="37" spans="1:7" x14ac:dyDescent="0.25">
      <c r="A37" s="9" t="s">
        <v>169</v>
      </c>
      <c r="B37" s="1">
        <v>113586.11</v>
      </c>
      <c r="C37" s="1">
        <v>2328756.75</v>
      </c>
      <c r="D37" s="1">
        <v>145558</v>
      </c>
      <c r="E37" s="1">
        <v>127148.98</v>
      </c>
      <c r="F37" s="1">
        <v>1753805.3000000003</v>
      </c>
      <c r="G37" s="1">
        <v>98320.37</v>
      </c>
    </row>
    <row r="38" spans="1:7" x14ac:dyDescent="0.25">
      <c r="A38" s="9" t="s">
        <v>20</v>
      </c>
      <c r="B38" s="1">
        <v>116563.4</v>
      </c>
      <c r="C38" s="1">
        <v>732927.07000000007</v>
      </c>
      <c r="D38" s="1">
        <v>368106.23</v>
      </c>
      <c r="E38" s="1"/>
      <c r="F38" s="1">
        <v>1351323.9300000002</v>
      </c>
      <c r="G38" s="1">
        <v>268798.69</v>
      </c>
    </row>
    <row r="39" spans="1:7" x14ac:dyDescent="0.25">
      <c r="A39" s="9" t="s">
        <v>48</v>
      </c>
      <c r="B39" s="1">
        <v>153713.47</v>
      </c>
      <c r="C39" s="1">
        <v>1705590.5399999998</v>
      </c>
      <c r="D39" s="1">
        <v>166004.15999999997</v>
      </c>
      <c r="E39" s="1">
        <v>327852.52</v>
      </c>
      <c r="F39" s="1">
        <v>2322377.12</v>
      </c>
      <c r="G39" s="1"/>
    </row>
    <row r="40" spans="1:7" x14ac:dyDescent="0.25">
      <c r="A40" s="9" t="s">
        <v>1182</v>
      </c>
      <c r="B40" s="1">
        <v>8216942.2300000004</v>
      </c>
      <c r="C40" s="1">
        <v>43040102.350000001</v>
      </c>
      <c r="D40" s="1">
        <v>5360479.82</v>
      </c>
      <c r="E40" s="1">
        <v>7230452.1600000001</v>
      </c>
      <c r="F40" s="1">
        <v>46607181.43999999</v>
      </c>
      <c r="G40" s="1">
        <v>2906580.7100000004</v>
      </c>
    </row>
    <row r="45" spans="1:7" x14ac:dyDescent="0.25">
      <c r="A45" s="8" t="s">
        <v>1186</v>
      </c>
      <c r="B45" s="8" t="s">
        <v>1185</v>
      </c>
    </row>
    <row r="46" spans="1:7" x14ac:dyDescent="0.25">
      <c r="A46" s="8" t="s">
        <v>1181</v>
      </c>
      <c r="B46">
        <v>2019</v>
      </c>
      <c r="C46">
        <v>2020</v>
      </c>
      <c r="D46" t="s">
        <v>1182</v>
      </c>
    </row>
    <row r="47" spans="1:7" x14ac:dyDescent="0.25">
      <c r="A47" s="9" t="s">
        <v>998</v>
      </c>
      <c r="B47" s="1">
        <v>41805.53</v>
      </c>
      <c r="C47" s="1">
        <v>149372.32</v>
      </c>
      <c r="D47" s="1">
        <v>191177.85</v>
      </c>
    </row>
    <row r="48" spans="1:7" x14ac:dyDescent="0.25">
      <c r="A48" s="9" t="s">
        <v>159</v>
      </c>
      <c r="B48" s="1">
        <v>1247594.3599999999</v>
      </c>
      <c r="C48" s="1">
        <v>1276613.9800000002</v>
      </c>
      <c r="D48" s="1">
        <v>2524208.34</v>
      </c>
    </row>
    <row r="49" spans="1:4" x14ac:dyDescent="0.25">
      <c r="A49" s="9" t="s">
        <v>96</v>
      </c>
      <c r="B49" s="1">
        <v>412995.68</v>
      </c>
      <c r="C49" s="1">
        <v>1645291.7899999998</v>
      </c>
      <c r="D49" s="1">
        <v>2058287.4699999997</v>
      </c>
    </row>
    <row r="50" spans="1:4" x14ac:dyDescent="0.25">
      <c r="A50" s="9" t="s">
        <v>179</v>
      </c>
      <c r="B50" s="1">
        <v>769774.07000000007</v>
      </c>
      <c r="C50" s="1">
        <v>584176.6</v>
      </c>
      <c r="D50" s="1">
        <v>1353950.67</v>
      </c>
    </row>
    <row r="51" spans="1:4" x14ac:dyDescent="0.25">
      <c r="A51" s="9" t="s">
        <v>466</v>
      </c>
      <c r="B51" s="1">
        <v>106142.65</v>
      </c>
      <c r="C51" s="1">
        <v>65397.279999999999</v>
      </c>
      <c r="D51" s="1">
        <v>171539.93</v>
      </c>
    </row>
    <row r="52" spans="1:4" x14ac:dyDescent="0.25">
      <c r="A52" s="9" t="s">
        <v>157</v>
      </c>
      <c r="B52" s="1">
        <v>1409447.06</v>
      </c>
      <c r="C52" s="1">
        <v>538832.19000000006</v>
      </c>
      <c r="D52" s="1">
        <v>1948279.25</v>
      </c>
    </row>
    <row r="53" spans="1:4" x14ac:dyDescent="0.25">
      <c r="A53" s="9" t="s">
        <v>394</v>
      </c>
      <c r="B53" s="1">
        <v>429417.27999999997</v>
      </c>
      <c r="C53" s="1">
        <v>201537.12</v>
      </c>
      <c r="D53" s="1">
        <v>630954.39999999991</v>
      </c>
    </row>
    <row r="54" spans="1:4" x14ac:dyDescent="0.25">
      <c r="A54" s="9" t="s">
        <v>109</v>
      </c>
      <c r="B54" s="1">
        <v>605245.71000000008</v>
      </c>
      <c r="C54" s="1">
        <v>721475.52</v>
      </c>
      <c r="D54" s="1">
        <v>1326721.23</v>
      </c>
    </row>
    <row r="55" spans="1:4" x14ac:dyDescent="0.25">
      <c r="A55" s="9" t="s">
        <v>253</v>
      </c>
      <c r="B55" s="1">
        <v>1120009.6299999999</v>
      </c>
      <c r="C55" s="1">
        <v>736058.72</v>
      </c>
      <c r="D55" s="1">
        <v>1856068.3499999999</v>
      </c>
    </row>
    <row r="56" spans="1:4" x14ac:dyDescent="0.25">
      <c r="A56" s="9" t="s">
        <v>120</v>
      </c>
      <c r="B56" s="1">
        <v>801090.8600000001</v>
      </c>
      <c r="C56" s="1">
        <v>1074305.4000000001</v>
      </c>
      <c r="D56" s="1">
        <v>1875396.2600000002</v>
      </c>
    </row>
    <row r="57" spans="1:4" x14ac:dyDescent="0.25">
      <c r="A57" s="9" t="s">
        <v>209</v>
      </c>
      <c r="B57" s="1">
        <v>1288115.3400000001</v>
      </c>
      <c r="C57" s="1">
        <v>1418614.9799999997</v>
      </c>
      <c r="D57" s="1">
        <v>2706730.32</v>
      </c>
    </row>
    <row r="58" spans="1:4" x14ac:dyDescent="0.25">
      <c r="A58" s="9" t="s">
        <v>39</v>
      </c>
      <c r="B58" s="1">
        <v>618952.74000000011</v>
      </c>
      <c r="C58" s="1">
        <v>982696.22</v>
      </c>
      <c r="D58" s="1">
        <v>1601648.96</v>
      </c>
    </row>
    <row r="59" spans="1:4" x14ac:dyDescent="0.25">
      <c r="A59" s="9" t="s">
        <v>145</v>
      </c>
      <c r="B59" s="1">
        <v>280939.26</v>
      </c>
      <c r="C59" s="1">
        <v>585351.25</v>
      </c>
      <c r="D59" s="1">
        <v>866290.51</v>
      </c>
    </row>
    <row r="60" spans="1:4" x14ac:dyDescent="0.25">
      <c r="A60" s="9" t="s">
        <v>91</v>
      </c>
      <c r="B60" s="1">
        <v>471792.25</v>
      </c>
      <c r="C60" s="1">
        <v>404854.26</v>
      </c>
      <c r="D60" s="1">
        <v>876646.51</v>
      </c>
    </row>
    <row r="61" spans="1:4" x14ac:dyDescent="0.25">
      <c r="A61" s="9" t="s">
        <v>367</v>
      </c>
      <c r="B61" s="1">
        <v>300951.26</v>
      </c>
      <c r="C61" s="1">
        <v>331837.25</v>
      </c>
      <c r="D61" s="1">
        <v>632788.51</v>
      </c>
    </row>
    <row r="62" spans="1:4" x14ac:dyDescent="0.25">
      <c r="A62" s="9" t="s">
        <v>113</v>
      </c>
      <c r="B62" s="1">
        <v>1103549.76</v>
      </c>
      <c r="C62" s="1">
        <v>992278.48</v>
      </c>
      <c r="D62" s="1">
        <v>2095828.24</v>
      </c>
    </row>
    <row r="63" spans="1:4" x14ac:dyDescent="0.25">
      <c r="A63" s="9" t="s">
        <v>53</v>
      </c>
      <c r="B63" s="1">
        <v>931967.9800000001</v>
      </c>
      <c r="C63" s="1">
        <v>1078356.77</v>
      </c>
      <c r="D63" s="1">
        <v>2010324.75</v>
      </c>
    </row>
    <row r="64" spans="1:4" x14ac:dyDescent="0.25">
      <c r="A64" s="9" t="s">
        <v>445</v>
      </c>
      <c r="B64" s="1">
        <v>248261.86</v>
      </c>
      <c r="C64" s="1">
        <v>216025.89</v>
      </c>
      <c r="D64" s="1">
        <v>464287.75</v>
      </c>
    </row>
    <row r="65" spans="1:4" x14ac:dyDescent="0.25">
      <c r="A65" s="9" t="s">
        <v>11</v>
      </c>
      <c r="B65" s="1">
        <v>384927.23</v>
      </c>
      <c r="C65" s="1">
        <v>523544.06000000006</v>
      </c>
      <c r="D65" s="1">
        <v>908471.29</v>
      </c>
    </row>
    <row r="66" spans="1:4" x14ac:dyDescent="0.25">
      <c r="A66" s="9" t="s">
        <v>671</v>
      </c>
      <c r="B66" s="1"/>
      <c r="C66" s="1">
        <v>33724.53</v>
      </c>
      <c r="D66" s="1">
        <v>33724.53</v>
      </c>
    </row>
    <row r="67" spans="1:4" x14ac:dyDescent="0.25">
      <c r="A67" s="9" t="s">
        <v>134</v>
      </c>
      <c r="B67" s="1">
        <v>743651.32</v>
      </c>
      <c r="C67" s="1">
        <v>696628.95</v>
      </c>
      <c r="D67" s="1">
        <v>1440280.27</v>
      </c>
    </row>
    <row r="68" spans="1:4" x14ac:dyDescent="0.25">
      <c r="A68" s="9" t="s">
        <v>230</v>
      </c>
      <c r="B68" s="1">
        <v>40148.49</v>
      </c>
      <c r="C68" s="1">
        <v>420960.88999999996</v>
      </c>
      <c r="D68" s="1">
        <v>461109.37999999995</v>
      </c>
    </row>
    <row r="69" spans="1:4" x14ac:dyDescent="0.25">
      <c r="A69" s="9" t="s">
        <v>433</v>
      </c>
      <c r="B69" s="1">
        <v>890011.39</v>
      </c>
      <c r="C69" s="1">
        <v>115840.76000000001</v>
      </c>
      <c r="D69" s="1">
        <v>1005852.15</v>
      </c>
    </row>
    <row r="70" spans="1:4" x14ac:dyDescent="0.25">
      <c r="A70" s="9" t="s">
        <v>733</v>
      </c>
      <c r="B70" s="1">
        <v>234961.46</v>
      </c>
      <c r="C70" s="1">
        <v>207248.75999999998</v>
      </c>
      <c r="D70" s="1">
        <v>442210.22</v>
      </c>
    </row>
    <row r="71" spans="1:4" x14ac:dyDescent="0.25">
      <c r="A71" s="9" t="s">
        <v>165</v>
      </c>
      <c r="B71" s="1">
        <v>913880.24000000011</v>
      </c>
      <c r="C71" s="1">
        <v>955056.87</v>
      </c>
      <c r="D71" s="1">
        <v>1868937.11</v>
      </c>
    </row>
    <row r="72" spans="1:4" x14ac:dyDescent="0.25">
      <c r="A72" s="9" t="s">
        <v>46</v>
      </c>
      <c r="B72" s="1">
        <v>357211.70999999996</v>
      </c>
      <c r="C72" s="1">
        <v>714702.47</v>
      </c>
      <c r="D72" s="1">
        <v>1071914.18</v>
      </c>
    </row>
    <row r="73" spans="1:4" x14ac:dyDescent="0.25">
      <c r="A73" s="9" t="s">
        <v>30</v>
      </c>
      <c r="B73" s="1">
        <v>2207495.92</v>
      </c>
      <c r="C73" s="1">
        <v>4304567.96</v>
      </c>
      <c r="D73" s="1">
        <v>6512063.8799999999</v>
      </c>
    </row>
    <row r="74" spans="1:4" x14ac:dyDescent="0.25">
      <c r="A74" s="9" t="s">
        <v>18</v>
      </c>
      <c r="B74" s="1">
        <v>1033860.27</v>
      </c>
      <c r="C74" s="1">
        <v>796798.65999999992</v>
      </c>
      <c r="D74" s="1">
        <v>1830658.93</v>
      </c>
    </row>
    <row r="75" spans="1:4" x14ac:dyDescent="0.25">
      <c r="A75" s="9" t="s">
        <v>340</v>
      </c>
      <c r="B75" s="1">
        <v>188689.18</v>
      </c>
      <c r="C75" s="1">
        <v>322431.69999999995</v>
      </c>
      <c r="D75" s="1">
        <v>511120.87999999995</v>
      </c>
    </row>
    <row r="76" spans="1:4" x14ac:dyDescent="0.25">
      <c r="A76" s="9" t="s">
        <v>93</v>
      </c>
      <c r="B76" s="1">
        <v>593747.15999999992</v>
      </c>
      <c r="C76" s="1">
        <v>494220.85</v>
      </c>
      <c r="D76" s="1">
        <v>1087968.0099999998</v>
      </c>
    </row>
    <row r="77" spans="1:4" x14ac:dyDescent="0.25">
      <c r="A77" s="9" t="s">
        <v>34</v>
      </c>
      <c r="B77" s="1">
        <v>9344591.8400000036</v>
      </c>
      <c r="C77" s="1">
        <v>7015665.4799999977</v>
      </c>
      <c r="D77" s="1">
        <v>16360257.32</v>
      </c>
    </row>
    <row r="78" spans="1:4" x14ac:dyDescent="0.25">
      <c r="A78" s="9" t="s">
        <v>115</v>
      </c>
      <c r="B78" s="1">
        <v>629989.65999999992</v>
      </c>
      <c r="C78" s="1">
        <v>759680.04</v>
      </c>
      <c r="D78" s="1">
        <v>1389669.7</v>
      </c>
    </row>
    <row r="79" spans="1:4" x14ac:dyDescent="0.25">
      <c r="A79" s="9" t="s">
        <v>233</v>
      </c>
      <c r="B79" s="1">
        <v>1275462.29</v>
      </c>
      <c r="C79" s="1">
        <v>727796.59000000008</v>
      </c>
      <c r="D79" s="1">
        <v>2003258.8800000001</v>
      </c>
    </row>
    <row r="80" spans="1:4" x14ac:dyDescent="0.25">
      <c r="A80" s="9" t="s">
        <v>111</v>
      </c>
      <c r="B80" s="1">
        <v>915857.62</v>
      </c>
      <c r="C80" s="1">
        <v>566999.27</v>
      </c>
      <c r="D80" s="1">
        <v>1482856.8900000001</v>
      </c>
    </row>
    <row r="81" spans="1:4" x14ac:dyDescent="0.25">
      <c r="A81" s="9" t="s">
        <v>310</v>
      </c>
      <c r="B81" s="1">
        <v>168848.84</v>
      </c>
      <c r="C81" s="1">
        <v>362064.68</v>
      </c>
      <c r="D81" s="1">
        <v>530913.52</v>
      </c>
    </row>
    <row r="82" spans="1:4" x14ac:dyDescent="0.25">
      <c r="A82" s="9" t="s">
        <v>122</v>
      </c>
      <c r="B82" s="1">
        <v>1267643.1200000001</v>
      </c>
      <c r="C82" s="1">
        <v>897621.78999999992</v>
      </c>
      <c r="D82" s="1">
        <v>2165264.91</v>
      </c>
    </row>
    <row r="83" spans="1:4" x14ac:dyDescent="0.25">
      <c r="A83" s="9" t="s">
        <v>24</v>
      </c>
      <c r="B83" s="1">
        <v>1672742.4399999997</v>
      </c>
      <c r="C83" s="1">
        <v>893807.46</v>
      </c>
      <c r="D83" s="1">
        <v>2566549.8999999994</v>
      </c>
    </row>
    <row r="84" spans="1:4" x14ac:dyDescent="0.25">
      <c r="A84" s="9" t="s">
        <v>167</v>
      </c>
      <c r="B84" s="1">
        <v>214060.65</v>
      </c>
      <c r="C84" s="1">
        <v>556210.76</v>
      </c>
      <c r="D84" s="1">
        <v>770271.41</v>
      </c>
    </row>
    <row r="85" spans="1:4" x14ac:dyDescent="0.25">
      <c r="A85" s="9" t="s">
        <v>1080</v>
      </c>
      <c r="B85" s="1">
        <v>57115.99</v>
      </c>
      <c r="C85" s="1"/>
      <c r="D85" s="1">
        <v>57115.99</v>
      </c>
    </row>
    <row r="86" spans="1:4" x14ac:dyDescent="0.25">
      <c r="A86" s="9" t="s">
        <v>973</v>
      </c>
      <c r="B86" s="1">
        <v>95966.17</v>
      </c>
      <c r="C86" s="1"/>
      <c r="D86" s="1">
        <v>95966.17</v>
      </c>
    </row>
    <row r="87" spans="1:4" x14ac:dyDescent="0.25">
      <c r="A87" s="9" t="s">
        <v>202</v>
      </c>
      <c r="B87" s="1">
        <v>185183.58000000002</v>
      </c>
      <c r="C87" s="1">
        <v>442586.52</v>
      </c>
      <c r="D87" s="1">
        <v>627770.10000000009</v>
      </c>
    </row>
    <row r="88" spans="1:4" x14ac:dyDescent="0.25">
      <c r="A88" s="9" t="s">
        <v>264</v>
      </c>
      <c r="B88" s="1">
        <v>223549.31</v>
      </c>
      <c r="C88" s="1">
        <v>208157.79</v>
      </c>
      <c r="D88" s="1">
        <v>431707.1</v>
      </c>
    </row>
    <row r="89" spans="1:4" x14ac:dyDescent="0.25">
      <c r="A89" s="9" t="s">
        <v>293</v>
      </c>
      <c r="B89" s="1">
        <v>91842.59</v>
      </c>
      <c r="C89" s="1">
        <v>104711.22</v>
      </c>
      <c r="D89" s="1">
        <v>196553.81</v>
      </c>
    </row>
    <row r="90" spans="1:4" x14ac:dyDescent="0.25">
      <c r="A90" s="9" t="s">
        <v>223</v>
      </c>
      <c r="B90" s="1">
        <v>638834.94999999995</v>
      </c>
      <c r="C90" s="1">
        <v>589170.05999999994</v>
      </c>
      <c r="D90" s="1">
        <v>1228005.0099999998</v>
      </c>
    </row>
    <row r="91" spans="1:4" x14ac:dyDescent="0.25">
      <c r="A91" s="9" t="s">
        <v>147</v>
      </c>
      <c r="B91" s="1">
        <v>433475.01000000007</v>
      </c>
      <c r="C91" s="1">
        <v>750555.35000000009</v>
      </c>
      <c r="D91" s="1">
        <v>1184030.3600000001</v>
      </c>
    </row>
    <row r="92" spans="1:4" x14ac:dyDescent="0.25">
      <c r="A92" s="9" t="s">
        <v>181</v>
      </c>
      <c r="B92" s="1">
        <v>1119072.33</v>
      </c>
      <c r="C92" s="1">
        <v>781252.66</v>
      </c>
      <c r="D92" s="1">
        <v>1900324.9900000002</v>
      </c>
    </row>
    <row r="93" spans="1:4" x14ac:dyDescent="0.25">
      <c r="A93" s="9" t="s">
        <v>281</v>
      </c>
      <c r="B93" s="1">
        <v>230619.19</v>
      </c>
      <c r="C93" s="1">
        <v>474820.79000000004</v>
      </c>
      <c r="D93" s="1">
        <v>705439.98</v>
      </c>
    </row>
    <row r="94" spans="1:4" x14ac:dyDescent="0.25">
      <c r="A94" s="9" t="s">
        <v>101</v>
      </c>
      <c r="B94" s="1">
        <v>983068.66</v>
      </c>
      <c r="C94" s="1">
        <v>955175.47</v>
      </c>
      <c r="D94" s="1">
        <v>1938244.13</v>
      </c>
    </row>
    <row r="95" spans="1:4" x14ac:dyDescent="0.25">
      <c r="A95" s="9" t="s">
        <v>184</v>
      </c>
      <c r="B95" s="1">
        <v>997811.47000000009</v>
      </c>
      <c r="C95" s="1">
        <v>671072.79999999993</v>
      </c>
      <c r="D95" s="1">
        <v>1668884.27</v>
      </c>
    </row>
    <row r="96" spans="1:4" x14ac:dyDescent="0.25">
      <c r="A96" s="9" t="s">
        <v>332</v>
      </c>
      <c r="B96" s="1">
        <v>116157.89</v>
      </c>
      <c r="C96" s="1">
        <v>120332.26</v>
      </c>
      <c r="D96" s="1">
        <v>236490.15</v>
      </c>
    </row>
    <row r="97" spans="1:4" x14ac:dyDescent="0.25">
      <c r="A97" s="9" t="s">
        <v>204</v>
      </c>
      <c r="B97" s="1">
        <v>37073.910000000003</v>
      </c>
      <c r="C97" s="1">
        <v>102255.86</v>
      </c>
      <c r="D97" s="1">
        <v>139329.77000000002</v>
      </c>
    </row>
    <row r="98" spans="1:4" x14ac:dyDescent="0.25">
      <c r="A98" s="9" t="s">
        <v>88</v>
      </c>
      <c r="B98" s="1">
        <v>645874.68999999994</v>
      </c>
      <c r="C98" s="1">
        <v>1780833.7100000004</v>
      </c>
      <c r="D98" s="1">
        <v>2426708.4000000004</v>
      </c>
    </row>
    <row r="99" spans="1:4" x14ac:dyDescent="0.25">
      <c r="A99" s="9" t="s">
        <v>301</v>
      </c>
      <c r="B99" s="1">
        <v>606599.76</v>
      </c>
      <c r="C99" s="1">
        <v>1053742.3800000001</v>
      </c>
      <c r="D99" s="1">
        <v>1660342.1400000001</v>
      </c>
    </row>
    <row r="100" spans="1:4" x14ac:dyDescent="0.25">
      <c r="A100" s="9" t="s">
        <v>70</v>
      </c>
      <c r="B100" s="1">
        <v>1146265.81</v>
      </c>
      <c r="C100" s="1">
        <v>1166259.1299999999</v>
      </c>
      <c r="D100" s="1">
        <v>2312524.94</v>
      </c>
    </row>
    <row r="101" spans="1:4" x14ac:dyDescent="0.25">
      <c r="A101" s="9" t="s">
        <v>131</v>
      </c>
      <c r="B101" s="1">
        <v>556279.26</v>
      </c>
      <c r="C101" s="1">
        <v>938876.12999999989</v>
      </c>
      <c r="D101" s="1">
        <v>1495155.39</v>
      </c>
    </row>
    <row r="102" spans="1:4" x14ac:dyDescent="0.25">
      <c r="A102" s="9" t="s">
        <v>42</v>
      </c>
      <c r="B102" s="1">
        <v>416579.95</v>
      </c>
      <c r="C102" s="1">
        <v>417250.22000000009</v>
      </c>
      <c r="D102" s="1">
        <v>833830.17000000016</v>
      </c>
    </row>
    <row r="103" spans="1:4" x14ac:dyDescent="0.25">
      <c r="A103" s="9" t="s">
        <v>236</v>
      </c>
      <c r="B103" s="1">
        <v>1513486.01</v>
      </c>
      <c r="C103" s="1">
        <v>503885.14</v>
      </c>
      <c r="D103" s="1">
        <v>2017371.15</v>
      </c>
    </row>
    <row r="104" spans="1:4" x14ac:dyDescent="0.25">
      <c r="A104" s="9" t="s">
        <v>706</v>
      </c>
      <c r="B104" s="1">
        <v>404804.96</v>
      </c>
      <c r="C104" s="1">
        <v>45463.65</v>
      </c>
      <c r="D104" s="1">
        <v>450268.61000000004</v>
      </c>
    </row>
    <row r="105" spans="1:4" x14ac:dyDescent="0.25">
      <c r="A105" s="9" t="s">
        <v>200</v>
      </c>
      <c r="B105" s="1">
        <v>246814.87</v>
      </c>
      <c r="C105" s="1">
        <v>333949.95999999996</v>
      </c>
      <c r="D105" s="1">
        <v>580764.82999999996</v>
      </c>
    </row>
    <row r="106" spans="1:4" x14ac:dyDescent="0.25">
      <c r="A106" s="9" t="s">
        <v>173</v>
      </c>
      <c r="B106" s="1">
        <v>1504634.72</v>
      </c>
      <c r="C106" s="1">
        <v>305537.64999999997</v>
      </c>
      <c r="D106" s="1">
        <v>1810172.3699999999</v>
      </c>
    </row>
    <row r="107" spans="1:4" x14ac:dyDescent="0.25">
      <c r="A107" s="9" t="s">
        <v>149</v>
      </c>
      <c r="B107" s="1">
        <v>630914.98</v>
      </c>
      <c r="C107" s="1">
        <v>960916.26</v>
      </c>
      <c r="D107" s="1">
        <v>1591831.24</v>
      </c>
    </row>
    <row r="108" spans="1:4" x14ac:dyDescent="0.25">
      <c r="A108" s="9" t="s">
        <v>77</v>
      </c>
      <c r="B108" s="1">
        <v>307047.33</v>
      </c>
      <c r="C108" s="1">
        <v>213409.95</v>
      </c>
      <c r="D108" s="1">
        <v>520457.28</v>
      </c>
    </row>
    <row r="109" spans="1:4" x14ac:dyDescent="0.25">
      <c r="A109" s="9" t="s">
        <v>647</v>
      </c>
      <c r="B109" s="1">
        <v>292844.27</v>
      </c>
      <c r="C109" s="1">
        <v>120831.28</v>
      </c>
      <c r="D109" s="1">
        <v>413675.55000000005</v>
      </c>
    </row>
    <row r="110" spans="1:4" x14ac:dyDescent="0.25">
      <c r="A110" s="9" t="s">
        <v>326</v>
      </c>
      <c r="B110" s="1">
        <v>350305.38</v>
      </c>
      <c r="C110" s="1">
        <v>681145.77999999991</v>
      </c>
      <c r="D110" s="1">
        <v>1031451.1599999999</v>
      </c>
    </row>
    <row r="111" spans="1:4" x14ac:dyDescent="0.25">
      <c r="A111" s="9" t="s">
        <v>379</v>
      </c>
      <c r="B111" s="1"/>
      <c r="C111" s="1">
        <v>470367.47</v>
      </c>
      <c r="D111" s="1">
        <v>470367.47</v>
      </c>
    </row>
    <row r="112" spans="1:4" x14ac:dyDescent="0.25">
      <c r="A112" s="9" t="s">
        <v>57</v>
      </c>
      <c r="B112" s="1">
        <v>1344370.26</v>
      </c>
      <c r="C112" s="1">
        <v>1161764.3</v>
      </c>
      <c r="D112" s="1">
        <v>2506134.56</v>
      </c>
    </row>
    <row r="113" spans="1:4" x14ac:dyDescent="0.25">
      <c r="A113" s="9" t="s">
        <v>67</v>
      </c>
      <c r="B113" s="1">
        <v>973963.74999999977</v>
      </c>
      <c r="C113" s="1">
        <v>1105340.9799999997</v>
      </c>
      <c r="D113" s="1">
        <v>2079304.7299999995</v>
      </c>
    </row>
    <row r="114" spans="1:4" x14ac:dyDescent="0.25">
      <c r="A114" s="9" t="s">
        <v>290</v>
      </c>
      <c r="B114" s="1">
        <v>256388.08</v>
      </c>
      <c r="C114" s="1">
        <v>591379.28</v>
      </c>
      <c r="D114" s="1">
        <v>847767.36</v>
      </c>
    </row>
    <row r="115" spans="1:4" x14ac:dyDescent="0.25">
      <c r="A115" s="9" t="s">
        <v>154</v>
      </c>
      <c r="B115" s="1">
        <v>1042057.0699999998</v>
      </c>
      <c r="C115" s="1">
        <v>1118240.8999999999</v>
      </c>
      <c r="D115" s="1">
        <v>2160297.9699999997</v>
      </c>
    </row>
    <row r="116" spans="1:4" x14ac:dyDescent="0.25">
      <c r="A116" s="9" t="s">
        <v>187</v>
      </c>
      <c r="B116" s="1">
        <v>613014.48</v>
      </c>
      <c r="C116" s="1">
        <v>919432</v>
      </c>
      <c r="D116" s="1">
        <v>1532446.48</v>
      </c>
    </row>
    <row r="117" spans="1:4" x14ac:dyDescent="0.25">
      <c r="A117" s="9" t="s">
        <v>63</v>
      </c>
      <c r="B117" s="1">
        <v>1388973.8800000001</v>
      </c>
      <c r="C117" s="1">
        <v>888740.54999999993</v>
      </c>
      <c r="D117" s="1">
        <v>2277714.4300000002</v>
      </c>
    </row>
    <row r="118" spans="1:4" x14ac:dyDescent="0.25">
      <c r="A118" s="9" t="s">
        <v>125</v>
      </c>
      <c r="B118" s="1">
        <v>776399.41999999993</v>
      </c>
      <c r="C118" s="1">
        <v>534752.46</v>
      </c>
      <c r="D118" s="1">
        <v>1311151.8799999999</v>
      </c>
    </row>
    <row r="119" spans="1:4" x14ac:dyDescent="0.25">
      <c r="A119" s="9" t="s">
        <v>152</v>
      </c>
      <c r="B119" s="1">
        <v>545278.46</v>
      </c>
      <c r="C119" s="1">
        <v>328384.34000000003</v>
      </c>
      <c r="D119" s="1">
        <v>873662.8</v>
      </c>
    </row>
    <row r="120" spans="1:4" x14ac:dyDescent="0.25">
      <c r="A120" s="9" t="s">
        <v>605</v>
      </c>
      <c r="B120" s="1">
        <v>160608.19</v>
      </c>
      <c r="C120" s="1">
        <v>352543.11</v>
      </c>
      <c r="D120" s="1">
        <v>513151.3</v>
      </c>
    </row>
    <row r="121" spans="1:4" x14ac:dyDescent="0.25">
      <c r="A121" s="9" t="s">
        <v>177</v>
      </c>
      <c r="B121" s="1">
        <v>418413.66000000003</v>
      </c>
      <c r="C121" s="1">
        <v>1182428.3499999999</v>
      </c>
      <c r="D121" s="1">
        <v>1600842.0099999998</v>
      </c>
    </row>
    <row r="122" spans="1:4" x14ac:dyDescent="0.25">
      <c r="A122" s="9" t="s">
        <v>1182</v>
      </c>
      <c r="B122" s="1">
        <v>56617524.399999984</v>
      </c>
      <c r="C122" s="1">
        <v>56744214.309999987</v>
      </c>
      <c r="D122" s="1">
        <v>113361738.71000001</v>
      </c>
    </row>
    <row r="126" spans="1:4" x14ac:dyDescent="0.25">
      <c r="A126" s="8" t="s">
        <v>1207</v>
      </c>
      <c r="B126" s="8" t="s">
        <v>1185</v>
      </c>
    </row>
    <row r="127" spans="1:4" x14ac:dyDescent="0.25">
      <c r="A127" s="8" t="s">
        <v>1181</v>
      </c>
      <c r="B127">
        <v>2019</v>
      </c>
      <c r="C127">
        <v>2020</v>
      </c>
      <c r="D127" t="s">
        <v>1182</v>
      </c>
    </row>
    <row r="128" spans="1:4" x14ac:dyDescent="0.25">
      <c r="A128" s="9" t="s">
        <v>14</v>
      </c>
      <c r="B128" s="1">
        <v>1377838.6500000013</v>
      </c>
      <c r="C128" s="1">
        <v>1174875.6799999997</v>
      </c>
      <c r="D128" s="1">
        <v>2552714.3300000019</v>
      </c>
    </row>
    <row r="129" spans="1:4" x14ac:dyDescent="0.25">
      <c r="A129" s="9" t="s">
        <v>27</v>
      </c>
      <c r="B129" s="1">
        <v>7225849.9200000241</v>
      </c>
      <c r="C129" s="1">
        <v>7862448.3200000226</v>
      </c>
      <c r="D129" s="1">
        <v>15088298.240000024</v>
      </c>
    </row>
    <row r="130" spans="1:4" x14ac:dyDescent="0.25">
      <c r="A130" s="9" t="s">
        <v>37</v>
      </c>
      <c r="B130" s="1">
        <v>883589.31999999937</v>
      </c>
      <c r="C130" s="1">
        <v>467825.83000000007</v>
      </c>
      <c r="D130" s="1">
        <v>1351415.1499999976</v>
      </c>
    </row>
    <row r="131" spans="1:4" x14ac:dyDescent="0.25">
      <c r="A131" s="9" t="s">
        <v>1182</v>
      </c>
      <c r="B131" s="1">
        <v>9487277.890000008</v>
      </c>
      <c r="C131" s="1">
        <v>9505149.8300000504</v>
      </c>
      <c r="D131" s="1">
        <v>18992427.720000029</v>
      </c>
    </row>
    <row r="135" spans="1:4" x14ac:dyDescent="0.25">
      <c r="A135" s="8" t="s">
        <v>1207</v>
      </c>
      <c r="B135" s="8" t="s">
        <v>1185</v>
      </c>
    </row>
    <row r="136" spans="1:4" x14ac:dyDescent="0.25">
      <c r="A136" s="8" t="s">
        <v>1181</v>
      </c>
      <c r="B136">
        <v>2019</v>
      </c>
      <c r="C136">
        <v>2020</v>
      </c>
      <c r="D136" t="s">
        <v>1182</v>
      </c>
    </row>
    <row r="137" spans="1:4" x14ac:dyDescent="0.25">
      <c r="A137" s="9" t="s">
        <v>25</v>
      </c>
      <c r="B137" s="1">
        <v>1909637.4600000009</v>
      </c>
      <c r="C137" s="1">
        <v>2760470.0999999978</v>
      </c>
      <c r="D137" s="1">
        <v>4670107.5600000173</v>
      </c>
    </row>
    <row r="138" spans="1:4" x14ac:dyDescent="0.25">
      <c r="A138" s="9" t="s">
        <v>102</v>
      </c>
      <c r="B138" s="1">
        <v>334425.91000000038</v>
      </c>
      <c r="C138" s="1">
        <v>270977.20999999996</v>
      </c>
      <c r="D138" s="1">
        <v>605403.11999999965</v>
      </c>
    </row>
    <row r="139" spans="1:4" x14ac:dyDescent="0.25">
      <c r="A139" s="9" t="s">
        <v>84</v>
      </c>
      <c r="B139" s="1">
        <v>172195.31000000006</v>
      </c>
      <c r="C139" s="1">
        <v>353370.7799999998</v>
      </c>
      <c r="D139" s="1">
        <v>525566.09000000032</v>
      </c>
    </row>
    <row r="140" spans="1:4" x14ac:dyDescent="0.25">
      <c r="A140" s="9" t="s">
        <v>35</v>
      </c>
      <c r="B140" s="1">
        <v>242609.57000000007</v>
      </c>
      <c r="C140" s="1">
        <v>172080.45000000019</v>
      </c>
      <c r="D140" s="1">
        <v>414690.01999999979</v>
      </c>
    </row>
    <row r="141" spans="1:4" x14ac:dyDescent="0.25">
      <c r="A141" s="9" t="s">
        <v>174</v>
      </c>
      <c r="B141" s="1">
        <v>415829.3200000003</v>
      </c>
      <c r="C141" s="1">
        <v>413482.66999999946</v>
      </c>
      <c r="D141" s="1">
        <v>829311.98999999976</v>
      </c>
    </row>
    <row r="142" spans="1:4" x14ac:dyDescent="0.25">
      <c r="A142" s="9" t="s">
        <v>19</v>
      </c>
      <c r="B142" s="1">
        <v>433870.39999999991</v>
      </c>
      <c r="C142" s="1">
        <v>465414.66000000061</v>
      </c>
      <c r="D142" s="1">
        <v>899285.06000000052</v>
      </c>
    </row>
    <row r="143" spans="1:4" x14ac:dyDescent="0.25">
      <c r="A143" s="9" t="s">
        <v>106</v>
      </c>
      <c r="B143" s="1">
        <v>277916.23000000021</v>
      </c>
      <c r="C143" s="1">
        <v>204650.2300000001</v>
      </c>
      <c r="D143" s="1">
        <v>482566.46000000043</v>
      </c>
    </row>
    <row r="144" spans="1:4" x14ac:dyDescent="0.25">
      <c r="A144" s="9" t="s">
        <v>47</v>
      </c>
      <c r="B144" s="1">
        <v>1093907.2499999981</v>
      </c>
      <c r="C144" s="1">
        <v>958147.20999999903</v>
      </c>
      <c r="D144" s="1">
        <v>2052054.4599999934</v>
      </c>
    </row>
    <row r="145" spans="1:10" x14ac:dyDescent="0.25">
      <c r="A145" s="9" t="s">
        <v>97</v>
      </c>
      <c r="B145" s="1">
        <v>38458.039999999979</v>
      </c>
      <c r="C145" s="1">
        <v>55975.239999999932</v>
      </c>
      <c r="D145" s="1">
        <v>94433.280000000144</v>
      </c>
    </row>
    <row r="146" spans="1:10" x14ac:dyDescent="0.25">
      <c r="A146" s="9" t="s">
        <v>12</v>
      </c>
      <c r="B146" s="1">
        <v>1735194.5100000035</v>
      </c>
      <c r="C146" s="1">
        <v>1558322.54</v>
      </c>
      <c r="D146" s="1">
        <v>3293517.0500000175</v>
      </c>
    </row>
    <row r="147" spans="1:10" x14ac:dyDescent="0.25">
      <c r="A147" s="9" t="s">
        <v>346</v>
      </c>
      <c r="B147" s="1">
        <v>57485.209999999963</v>
      </c>
      <c r="C147" s="1">
        <v>75867.489999999932</v>
      </c>
      <c r="D147" s="1">
        <v>133352.70000000007</v>
      </c>
    </row>
    <row r="148" spans="1:10" x14ac:dyDescent="0.25">
      <c r="A148" s="9" t="s">
        <v>408</v>
      </c>
      <c r="B148" s="1">
        <v>0</v>
      </c>
      <c r="C148" s="1">
        <v>35718.380000000005</v>
      </c>
      <c r="D148" s="1">
        <v>35718.380000000005</v>
      </c>
    </row>
    <row r="149" spans="1:10" x14ac:dyDescent="0.25">
      <c r="A149" s="9" t="s">
        <v>54</v>
      </c>
      <c r="B149" s="1">
        <v>2474885.4400000013</v>
      </c>
      <c r="C149" s="1">
        <v>1860119.1300000008</v>
      </c>
      <c r="D149" s="1">
        <v>4335004.5699999891</v>
      </c>
    </row>
    <row r="150" spans="1:10" x14ac:dyDescent="0.25">
      <c r="A150" s="9" t="s">
        <v>139</v>
      </c>
      <c r="B150" s="1">
        <v>68469.510000000068</v>
      </c>
      <c r="C150" s="1">
        <v>86989.119999999937</v>
      </c>
      <c r="D150" s="1">
        <v>155458.63000000024</v>
      </c>
    </row>
    <row r="151" spans="1:10" x14ac:dyDescent="0.25">
      <c r="A151" s="9" t="s">
        <v>215</v>
      </c>
      <c r="B151" s="1">
        <v>232393.72999999975</v>
      </c>
      <c r="C151" s="1">
        <v>233564.61999999988</v>
      </c>
      <c r="D151" s="1">
        <v>465958.34999999963</v>
      </c>
    </row>
    <row r="152" spans="1:10" x14ac:dyDescent="0.25">
      <c r="A152" s="9" t="s">
        <v>1182</v>
      </c>
      <c r="B152" s="1">
        <v>9487277.8899999559</v>
      </c>
      <c r="C152" s="1">
        <v>9505149.8299999759</v>
      </c>
      <c r="D152" s="1">
        <v>18992427.720000014</v>
      </c>
    </row>
    <row r="155" spans="1:10" x14ac:dyDescent="0.25">
      <c r="A155" s="8" t="s">
        <v>1186</v>
      </c>
      <c r="B155" s="8" t="s">
        <v>1185</v>
      </c>
    </row>
    <row r="156" spans="1:10" x14ac:dyDescent="0.25">
      <c r="B156">
        <v>2019</v>
      </c>
      <c r="E156" t="s">
        <v>1205</v>
      </c>
      <c r="F156">
        <v>2020</v>
      </c>
      <c r="I156" t="s">
        <v>1206</v>
      </c>
      <c r="J156" t="s">
        <v>1182</v>
      </c>
    </row>
    <row r="157" spans="1:10" x14ac:dyDescent="0.25">
      <c r="A157" s="8" t="s">
        <v>1181</v>
      </c>
      <c r="B157" t="s">
        <v>14</v>
      </c>
      <c r="C157" t="s">
        <v>27</v>
      </c>
      <c r="D157" t="s">
        <v>37</v>
      </c>
      <c r="F157" t="s">
        <v>14</v>
      </c>
      <c r="G157" t="s">
        <v>27</v>
      </c>
      <c r="H157" t="s">
        <v>37</v>
      </c>
    </row>
    <row r="158" spans="1:10" x14ac:dyDescent="0.25">
      <c r="A158" s="9" t="s">
        <v>25</v>
      </c>
      <c r="B158" s="1">
        <v>2607223.2100000004</v>
      </c>
      <c r="C158" s="1">
        <v>8123214.2999999998</v>
      </c>
      <c r="D158" s="1">
        <v>992515.27000000014</v>
      </c>
      <c r="E158" s="1">
        <v>11722952.779999999</v>
      </c>
      <c r="F158" s="1">
        <v>1563788.0700000003</v>
      </c>
      <c r="G158" s="1">
        <v>13422751.950000003</v>
      </c>
      <c r="H158" s="1">
        <v>1086869.03</v>
      </c>
      <c r="I158" s="1">
        <v>16073409.050000003</v>
      </c>
      <c r="J158" s="1">
        <v>27796361.830000006</v>
      </c>
    </row>
    <row r="159" spans="1:10" x14ac:dyDescent="0.25">
      <c r="A159" s="9" t="s">
        <v>102</v>
      </c>
      <c r="B159" s="1">
        <v>161435.41</v>
      </c>
      <c r="C159" s="1">
        <v>1710905.88</v>
      </c>
      <c r="D159" s="1">
        <v>37073.910000000003</v>
      </c>
      <c r="E159" s="1">
        <v>1909415.1999999997</v>
      </c>
      <c r="F159" s="1">
        <v>214701.97</v>
      </c>
      <c r="G159" s="1">
        <v>1358027.47</v>
      </c>
      <c r="H159" s="1"/>
      <c r="I159" s="1">
        <v>1572729.44</v>
      </c>
      <c r="J159" s="1">
        <v>3482144.6399999997</v>
      </c>
    </row>
    <row r="160" spans="1:10" x14ac:dyDescent="0.25">
      <c r="A160" s="9" t="s">
        <v>84</v>
      </c>
      <c r="B160" s="1">
        <v>104152.15</v>
      </c>
      <c r="C160" s="1">
        <v>696744.00000000012</v>
      </c>
      <c r="D160" s="1">
        <v>214983.15</v>
      </c>
      <c r="E160" s="1">
        <v>1015879.3000000002</v>
      </c>
      <c r="F160" s="1">
        <v>207751.43</v>
      </c>
      <c r="G160" s="1">
        <v>1950792.59</v>
      </c>
      <c r="H160" s="1">
        <v>50241.47</v>
      </c>
      <c r="I160" s="1">
        <v>2208785.4900000002</v>
      </c>
      <c r="J160" s="1">
        <v>3224664.7900000005</v>
      </c>
    </row>
    <row r="161" spans="1:10" x14ac:dyDescent="0.25">
      <c r="A161" s="9" t="s">
        <v>35</v>
      </c>
      <c r="B161" s="1">
        <v>339842</v>
      </c>
      <c r="C161" s="1">
        <v>971060.25</v>
      </c>
      <c r="D161" s="1">
        <v>178763.42</v>
      </c>
      <c r="E161" s="1">
        <v>1489665.67</v>
      </c>
      <c r="F161" s="1">
        <v>120012.56</v>
      </c>
      <c r="G161" s="1">
        <v>741031.04</v>
      </c>
      <c r="H161" s="1">
        <v>148530.26</v>
      </c>
      <c r="I161" s="1">
        <v>1009573.8600000001</v>
      </c>
      <c r="J161" s="1">
        <v>2499239.5300000003</v>
      </c>
    </row>
    <row r="162" spans="1:10" x14ac:dyDescent="0.25">
      <c r="A162" s="9" t="s">
        <v>174</v>
      </c>
      <c r="B162" s="1">
        <v>307535.91000000003</v>
      </c>
      <c r="C162" s="1">
        <v>1887222.4700000002</v>
      </c>
      <c r="D162" s="1">
        <v>114232.68</v>
      </c>
      <c r="E162" s="1">
        <v>2308991.0600000005</v>
      </c>
      <c r="F162" s="1">
        <v>545703.40999999992</v>
      </c>
      <c r="G162" s="1">
        <v>2097590.2399999998</v>
      </c>
      <c r="H162" s="1"/>
      <c r="I162" s="1">
        <v>2643293.6499999994</v>
      </c>
      <c r="J162" s="1">
        <v>4952284.7100000009</v>
      </c>
    </row>
    <row r="163" spans="1:10" x14ac:dyDescent="0.25">
      <c r="A163" s="9" t="s">
        <v>19</v>
      </c>
      <c r="B163" s="1">
        <v>364758.93999999994</v>
      </c>
      <c r="C163" s="1">
        <v>1548621.0799999998</v>
      </c>
      <c r="D163" s="1">
        <v>624649.11</v>
      </c>
      <c r="E163" s="1">
        <v>2538029.13</v>
      </c>
      <c r="F163" s="1">
        <v>186397.6</v>
      </c>
      <c r="G163" s="1">
        <v>2448693.7800000003</v>
      </c>
      <c r="H163" s="1">
        <v>374914.54000000004</v>
      </c>
      <c r="I163" s="1">
        <v>3010005.9200000004</v>
      </c>
      <c r="J163" s="1">
        <v>5548035.0499999998</v>
      </c>
    </row>
    <row r="164" spans="1:10" x14ac:dyDescent="0.25">
      <c r="A164" s="9" t="s">
        <v>106</v>
      </c>
      <c r="B164" s="1">
        <v>104743.22</v>
      </c>
      <c r="C164" s="1">
        <v>998039.46</v>
      </c>
      <c r="D164" s="1">
        <v>569532.38</v>
      </c>
      <c r="E164" s="1">
        <v>1672315.06</v>
      </c>
      <c r="F164" s="1"/>
      <c r="G164" s="1">
        <v>1241235.3400000001</v>
      </c>
      <c r="H164" s="1"/>
      <c r="I164" s="1">
        <v>1241235.3400000001</v>
      </c>
      <c r="J164" s="1">
        <v>2913550.4000000004</v>
      </c>
    </row>
    <row r="165" spans="1:10" x14ac:dyDescent="0.25">
      <c r="A165" s="9" t="s">
        <v>47</v>
      </c>
      <c r="B165" s="1">
        <v>522593.13</v>
      </c>
      <c r="C165" s="1">
        <v>5418744.7999999998</v>
      </c>
      <c r="D165" s="1">
        <v>458445.63</v>
      </c>
      <c r="E165" s="1">
        <v>6399783.5599999996</v>
      </c>
      <c r="F165" s="1">
        <v>692696.34</v>
      </c>
      <c r="G165" s="1">
        <v>4874287.17</v>
      </c>
      <c r="H165" s="1">
        <v>148850.16999999998</v>
      </c>
      <c r="I165" s="1">
        <v>5715833.6799999997</v>
      </c>
      <c r="J165" s="1">
        <v>12115617.24</v>
      </c>
    </row>
    <row r="166" spans="1:10" x14ac:dyDescent="0.25">
      <c r="A166" s="9" t="s">
        <v>97</v>
      </c>
      <c r="B166" s="1">
        <v>76183.740000000005</v>
      </c>
      <c r="C166" s="1">
        <v>152370.57</v>
      </c>
      <c r="D166" s="1"/>
      <c r="E166" s="1">
        <v>228554.31</v>
      </c>
      <c r="F166" s="1">
        <v>211215.03</v>
      </c>
      <c r="G166" s="1">
        <v>169200.62</v>
      </c>
      <c r="H166" s="1"/>
      <c r="I166" s="1">
        <v>380415.65</v>
      </c>
      <c r="J166" s="1">
        <v>608969.96</v>
      </c>
    </row>
    <row r="167" spans="1:10" x14ac:dyDescent="0.25">
      <c r="A167" s="9" t="s">
        <v>12</v>
      </c>
      <c r="B167" s="1">
        <v>1577718.94</v>
      </c>
      <c r="C167" s="1">
        <v>7862988.9700000025</v>
      </c>
      <c r="D167" s="1">
        <v>962506.62</v>
      </c>
      <c r="E167" s="1">
        <v>10403214.530000001</v>
      </c>
      <c r="F167" s="1">
        <v>1240636.2200000002</v>
      </c>
      <c r="G167" s="1">
        <v>7612195.8700000001</v>
      </c>
      <c r="H167" s="1">
        <v>381157.83</v>
      </c>
      <c r="I167" s="1">
        <v>9233989.9199999999</v>
      </c>
      <c r="J167" s="1">
        <v>19637204.449999999</v>
      </c>
    </row>
    <row r="168" spans="1:10" x14ac:dyDescent="0.25">
      <c r="A168" s="9" t="s">
        <v>346</v>
      </c>
      <c r="B168" s="1"/>
      <c r="C168" s="1">
        <v>336460.05</v>
      </c>
      <c r="D168" s="1"/>
      <c r="E168" s="1">
        <v>336460.05</v>
      </c>
      <c r="F168" s="1"/>
      <c r="G168" s="1">
        <v>426743.45999999996</v>
      </c>
      <c r="H168" s="1"/>
      <c r="I168" s="1">
        <v>426743.45999999996</v>
      </c>
      <c r="J168" s="1">
        <v>763203.51</v>
      </c>
    </row>
    <row r="169" spans="1:10" x14ac:dyDescent="0.25">
      <c r="A169" s="9" t="s">
        <v>408</v>
      </c>
      <c r="B169" s="1"/>
      <c r="C169" s="1"/>
      <c r="D169" s="1"/>
      <c r="E169" s="1"/>
      <c r="F169" s="1"/>
      <c r="G169" s="1">
        <v>190166.35</v>
      </c>
      <c r="H169" s="1"/>
      <c r="I169" s="1">
        <v>190166.35</v>
      </c>
      <c r="J169" s="1">
        <v>190166.35</v>
      </c>
    </row>
    <row r="170" spans="1:10" x14ac:dyDescent="0.25">
      <c r="A170" s="9" t="s">
        <v>54</v>
      </c>
      <c r="B170" s="1">
        <v>1969769.4799999997</v>
      </c>
      <c r="C170" s="1">
        <v>11596954.489999998</v>
      </c>
      <c r="D170" s="1">
        <v>1156370.3499999999</v>
      </c>
      <c r="E170" s="1">
        <v>14723094.319999998</v>
      </c>
      <c r="F170" s="1">
        <v>1534964.88</v>
      </c>
      <c r="G170" s="1">
        <v>9019757.0700000003</v>
      </c>
      <c r="H170" s="1">
        <v>622862.15</v>
      </c>
      <c r="I170" s="1">
        <v>11177584.1</v>
      </c>
      <c r="J170" s="1">
        <v>25900678.419999998</v>
      </c>
    </row>
    <row r="171" spans="1:10" x14ac:dyDescent="0.25">
      <c r="A171" s="9" t="s">
        <v>139</v>
      </c>
      <c r="B171" s="1"/>
      <c r="C171" s="1">
        <v>459532.09000000008</v>
      </c>
      <c r="D171" s="1"/>
      <c r="E171" s="1">
        <v>459532.09000000008</v>
      </c>
      <c r="F171" s="1">
        <v>185564.4</v>
      </c>
      <c r="G171" s="1">
        <v>246239.97</v>
      </c>
      <c r="H171" s="1">
        <v>44232.84</v>
      </c>
      <c r="I171" s="1">
        <v>476037.20999999996</v>
      </c>
      <c r="J171" s="1">
        <v>935569.3</v>
      </c>
    </row>
    <row r="172" spans="1:10" x14ac:dyDescent="0.25">
      <c r="A172" s="9" t="s">
        <v>215</v>
      </c>
      <c r="B172" s="1">
        <v>80986.100000000006</v>
      </c>
      <c r="C172" s="1">
        <v>1277243.94</v>
      </c>
      <c r="D172" s="1">
        <v>51407.3</v>
      </c>
      <c r="E172" s="1">
        <v>1409637.34</v>
      </c>
      <c r="F172" s="1">
        <v>527020.25</v>
      </c>
      <c r="G172" s="1">
        <v>808468.5199999999</v>
      </c>
      <c r="H172" s="1">
        <v>48922.42</v>
      </c>
      <c r="I172" s="1">
        <v>1384411.19</v>
      </c>
      <c r="J172" s="1">
        <v>2794048.53</v>
      </c>
    </row>
    <row r="173" spans="1:10" x14ac:dyDescent="0.25">
      <c r="A173" s="9" t="s">
        <v>1182</v>
      </c>
      <c r="B173" s="1">
        <v>8216942.2299999995</v>
      </c>
      <c r="C173" s="1">
        <v>43040102.350000009</v>
      </c>
      <c r="D173" s="1">
        <v>5360479.8199999994</v>
      </c>
      <c r="E173" s="1">
        <v>56617524.399999999</v>
      </c>
      <c r="F173" s="1">
        <v>7230452.1600000011</v>
      </c>
      <c r="G173" s="1">
        <v>46607181.440000013</v>
      </c>
      <c r="H173" s="1">
        <v>2906580.7099999995</v>
      </c>
      <c r="I173" s="1">
        <v>56744214.31000001</v>
      </c>
      <c r="J173" s="1">
        <v>113361738.71000001</v>
      </c>
    </row>
    <row r="177" spans="1:4" x14ac:dyDescent="0.25">
      <c r="A177" s="8" t="s">
        <v>1207</v>
      </c>
      <c r="B177" s="8" t="s">
        <v>1185</v>
      </c>
    </row>
    <row r="178" spans="1:4" x14ac:dyDescent="0.25">
      <c r="A178" s="8" t="s">
        <v>1181</v>
      </c>
      <c r="B178">
        <v>2019</v>
      </c>
      <c r="C178">
        <v>2020</v>
      </c>
      <c r="D178" t="s">
        <v>1182</v>
      </c>
    </row>
    <row r="179" spans="1:4" x14ac:dyDescent="0.25">
      <c r="A179" s="9" t="s">
        <v>14</v>
      </c>
      <c r="B179" s="1">
        <v>1377838.6500000022</v>
      </c>
      <c r="C179" s="1">
        <v>1174875.679999995</v>
      </c>
      <c r="D179" s="1">
        <v>2552714.3300000038</v>
      </c>
    </row>
    <row r="180" spans="1:4" x14ac:dyDescent="0.25">
      <c r="A180" s="30" t="s">
        <v>95</v>
      </c>
      <c r="B180" s="1">
        <v>14566.330000000002</v>
      </c>
      <c r="C180" s="1">
        <v>30381.379999999976</v>
      </c>
      <c r="D180" s="1">
        <v>44947.709999999992</v>
      </c>
    </row>
    <row r="181" spans="1:4" x14ac:dyDescent="0.25">
      <c r="A181" s="30" t="s">
        <v>100</v>
      </c>
      <c r="B181" s="1">
        <v>23198.23000000001</v>
      </c>
      <c r="C181" s="1">
        <v>30853.679999999993</v>
      </c>
      <c r="D181" s="1">
        <v>54051.910000000033</v>
      </c>
    </row>
    <row r="182" spans="1:4" x14ac:dyDescent="0.25">
      <c r="A182" s="30" t="s">
        <v>16</v>
      </c>
      <c r="B182" s="1">
        <v>57633.459999999963</v>
      </c>
      <c r="C182" s="1">
        <v>25163.679999999993</v>
      </c>
      <c r="D182" s="1">
        <v>82797.139999999898</v>
      </c>
    </row>
    <row r="183" spans="1:4" x14ac:dyDescent="0.25">
      <c r="A183" s="30" t="s">
        <v>52</v>
      </c>
      <c r="B183" s="1">
        <v>318998.92000000016</v>
      </c>
      <c r="C183" s="1">
        <v>241932.71999999951</v>
      </c>
      <c r="D183" s="1">
        <v>560931.6400000006</v>
      </c>
    </row>
    <row r="184" spans="1:4" x14ac:dyDescent="0.25">
      <c r="A184" s="30" t="s">
        <v>214</v>
      </c>
      <c r="B184" s="1">
        <v>16861.310000000005</v>
      </c>
      <c r="C184" s="1">
        <v>83630.930000000051</v>
      </c>
      <c r="D184" s="1">
        <v>100492.24000000011</v>
      </c>
    </row>
    <row r="185" spans="1:4" x14ac:dyDescent="0.25">
      <c r="A185" s="30" t="s">
        <v>172</v>
      </c>
      <c r="B185" s="1">
        <v>60236.580000000045</v>
      </c>
      <c r="C185" s="1">
        <v>88462.779999999912</v>
      </c>
      <c r="D185" s="1">
        <v>148699.35999999999</v>
      </c>
    </row>
    <row r="186" spans="1:4" x14ac:dyDescent="0.25">
      <c r="A186" s="30" t="s">
        <v>137</v>
      </c>
      <c r="B186" s="1">
        <v>0</v>
      </c>
      <c r="C186" s="1">
        <v>35302.130000000005</v>
      </c>
      <c r="D186" s="1">
        <v>35302.130000000005</v>
      </c>
    </row>
    <row r="187" spans="1:4" x14ac:dyDescent="0.25">
      <c r="A187" s="30" t="s">
        <v>105</v>
      </c>
      <c r="B187" s="1">
        <v>21461.89</v>
      </c>
      <c r="C187" s="1">
        <v>0</v>
      </c>
      <c r="D187" s="1">
        <v>21461.89</v>
      </c>
    </row>
    <row r="188" spans="1:4" x14ac:dyDescent="0.25">
      <c r="A188" s="30" t="s">
        <v>83</v>
      </c>
      <c r="B188" s="1">
        <v>18455.759999999995</v>
      </c>
      <c r="C188" s="1">
        <v>36259.76999999999</v>
      </c>
      <c r="D188" s="1">
        <v>54715.530000000028</v>
      </c>
    </row>
    <row r="189" spans="1:4" x14ac:dyDescent="0.25">
      <c r="A189" s="30" t="s">
        <v>22</v>
      </c>
      <c r="B189" s="1">
        <v>423550.66000000061</v>
      </c>
      <c r="C189" s="1">
        <v>267013.9600000002</v>
      </c>
      <c r="D189" s="1">
        <v>690564.62000000058</v>
      </c>
    </row>
    <row r="190" spans="1:4" x14ac:dyDescent="0.25">
      <c r="A190" s="30" t="s">
        <v>33</v>
      </c>
      <c r="B190" s="1">
        <v>46800.06</v>
      </c>
      <c r="C190" s="1">
        <v>22250.33</v>
      </c>
      <c r="D190" s="1">
        <v>69050.390000000014</v>
      </c>
    </row>
    <row r="191" spans="1:4" x14ac:dyDescent="0.25">
      <c r="A191" s="30" t="s">
        <v>9</v>
      </c>
      <c r="B191" s="1">
        <v>279685.46999999997</v>
      </c>
      <c r="C191" s="1">
        <v>205184.81000000017</v>
      </c>
      <c r="D191" s="1">
        <v>484870.28000000073</v>
      </c>
    </row>
    <row r="192" spans="1:4" x14ac:dyDescent="0.25">
      <c r="A192" s="30" t="s">
        <v>44</v>
      </c>
      <c r="B192" s="1">
        <v>96389.979999999981</v>
      </c>
      <c r="C192" s="1">
        <v>108439.50999999989</v>
      </c>
      <c r="D192" s="1">
        <v>204829.49</v>
      </c>
    </row>
    <row r="193" spans="1:4" x14ac:dyDescent="0.25">
      <c r="A193" s="9" t="s">
        <v>27</v>
      </c>
      <c r="B193" s="1">
        <v>7225849.9200000241</v>
      </c>
      <c r="C193" s="1">
        <v>7862448.3199999481</v>
      </c>
      <c r="D193" s="1">
        <v>15088298.24000001</v>
      </c>
    </row>
    <row r="194" spans="1:4" x14ac:dyDescent="0.25">
      <c r="A194" s="30" t="s">
        <v>407</v>
      </c>
      <c r="B194" s="1">
        <v>0</v>
      </c>
      <c r="C194" s="1">
        <v>35718.380000000005</v>
      </c>
      <c r="D194" s="1">
        <v>35718.380000000005</v>
      </c>
    </row>
    <row r="195" spans="1:4" x14ac:dyDescent="0.25">
      <c r="A195" s="30" t="s">
        <v>95</v>
      </c>
      <c r="B195" s="1">
        <v>23891.710000000006</v>
      </c>
      <c r="C195" s="1">
        <v>25593.859999999986</v>
      </c>
      <c r="D195" s="1">
        <v>49485.570000000007</v>
      </c>
    </row>
    <row r="196" spans="1:4" x14ac:dyDescent="0.25">
      <c r="A196" s="30" t="s">
        <v>100</v>
      </c>
      <c r="B196" s="1">
        <v>304428.32000000007</v>
      </c>
      <c r="C196" s="1">
        <v>240123.53000000003</v>
      </c>
      <c r="D196" s="1">
        <v>544551.84999999963</v>
      </c>
    </row>
    <row r="197" spans="1:4" x14ac:dyDescent="0.25">
      <c r="A197" s="30" t="s">
        <v>345</v>
      </c>
      <c r="B197" s="1">
        <v>57485.209999999963</v>
      </c>
      <c r="C197" s="1">
        <v>75867.489999999932</v>
      </c>
      <c r="D197" s="1">
        <v>133352.70000000007</v>
      </c>
    </row>
    <row r="198" spans="1:4" x14ac:dyDescent="0.25">
      <c r="A198" s="30" t="s">
        <v>16</v>
      </c>
      <c r="B198" s="1">
        <v>263708.77999999956</v>
      </c>
      <c r="C198" s="1">
        <v>388266.39000000036</v>
      </c>
      <c r="D198" s="1">
        <v>651975.17000000039</v>
      </c>
    </row>
    <row r="199" spans="1:4" x14ac:dyDescent="0.25">
      <c r="A199" s="30" t="s">
        <v>52</v>
      </c>
      <c r="B199" s="1">
        <v>1974249.5700000003</v>
      </c>
      <c r="C199" s="1">
        <v>1524298.6399999997</v>
      </c>
      <c r="D199" s="1">
        <v>3498548.2099999897</v>
      </c>
    </row>
    <row r="200" spans="1:4" x14ac:dyDescent="0.25">
      <c r="A200" s="30" t="s">
        <v>214</v>
      </c>
      <c r="B200" s="1">
        <v>208417.64999999991</v>
      </c>
      <c r="C200" s="1">
        <v>140398.70999999985</v>
      </c>
      <c r="D200" s="1">
        <v>348816.36000000034</v>
      </c>
    </row>
    <row r="201" spans="1:4" x14ac:dyDescent="0.25">
      <c r="A201" s="30" t="s">
        <v>172</v>
      </c>
      <c r="B201" s="1">
        <v>337155.58000000007</v>
      </c>
      <c r="C201" s="1">
        <v>325019.89000000013</v>
      </c>
      <c r="D201" s="1">
        <v>662175.4700000002</v>
      </c>
    </row>
    <row r="202" spans="1:4" x14ac:dyDescent="0.25">
      <c r="A202" s="30" t="s">
        <v>137</v>
      </c>
      <c r="B202" s="1">
        <v>68469.510000000068</v>
      </c>
      <c r="C202" s="1">
        <v>46334.820000000007</v>
      </c>
      <c r="D202" s="1">
        <v>114804.33000000007</v>
      </c>
    </row>
    <row r="203" spans="1:4" x14ac:dyDescent="0.25">
      <c r="A203" s="30" t="s">
        <v>105</v>
      </c>
      <c r="B203" s="1">
        <v>167122.81999999983</v>
      </c>
      <c r="C203" s="1">
        <v>204650.2300000001</v>
      </c>
      <c r="D203" s="1">
        <v>371773.04999999981</v>
      </c>
    </row>
    <row r="204" spans="1:4" x14ac:dyDescent="0.25">
      <c r="A204" s="30" t="s">
        <v>83</v>
      </c>
      <c r="B204" s="1">
        <v>119170.26000000013</v>
      </c>
      <c r="C204" s="1">
        <v>310313.34000000008</v>
      </c>
      <c r="D204" s="1">
        <v>429483.60000000056</v>
      </c>
    </row>
    <row r="205" spans="1:4" x14ac:dyDescent="0.25">
      <c r="A205" s="30" t="s">
        <v>22</v>
      </c>
      <c r="B205" s="1">
        <v>1327886.5000000009</v>
      </c>
      <c r="C205" s="1">
        <v>2316243.4000000004</v>
      </c>
      <c r="D205" s="1">
        <v>3644129.8999999985</v>
      </c>
    </row>
    <row r="206" spans="1:4" x14ac:dyDescent="0.25">
      <c r="A206" s="30" t="s">
        <v>33</v>
      </c>
      <c r="B206" s="1">
        <v>163667.84999999998</v>
      </c>
      <c r="C206" s="1">
        <v>119849.96000000008</v>
      </c>
      <c r="D206" s="1">
        <v>283517.80999999982</v>
      </c>
    </row>
    <row r="207" spans="1:4" x14ac:dyDescent="0.25">
      <c r="A207" s="30" t="s">
        <v>9</v>
      </c>
      <c r="B207" s="1">
        <v>1296014.5400000047</v>
      </c>
      <c r="C207" s="1">
        <v>1287839.4399999995</v>
      </c>
      <c r="D207" s="1">
        <v>2583853.9800000153</v>
      </c>
    </row>
    <row r="208" spans="1:4" x14ac:dyDescent="0.25">
      <c r="A208" s="30" t="s">
        <v>44</v>
      </c>
      <c r="B208" s="1">
        <v>914181.61999999918</v>
      </c>
      <c r="C208" s="1">
        <v>821930.23999999976</v>
      </c>
      <c r="D208" s="1">
        <v>1736111.8599999957</v>
      </c>
    </row>
    <row r="209" spans="1:4" x14ac:dyDescent="0.25">
      <c r="A209" s="9" t="s">
        <v>37</v>
      </c>
      <c r="B209" s="1">
        <v>883589.32000000123</v>
      </c>
      <c r="C209" s="1">
        <v>467825.83000000054</v>
      </c>
      <c r="D209" s="1">
        <v>1351415.1499999985</v>
      </c>
    </row>
    <row r="210" spans="1:4" x14ac:dyDescent="0.25">
      <c r="A210" s="30" t="s">
        <v>100</v>
      </c>
      <c r="B210" s="1">
        <v>6799.3600000000042</v>
      </c>
      <c r="C210" s="1">
        <v>0</v>
      </c>
      <c r="D210" s="1">
        <v>6799.3600000000042</v>
      </c>
    </row>
    <row r="211" spans="1:4" x14ac:dyDescent="0.25">
      <c r="A211" s="30" t="s">
        <v>16</v>
      </c>
      <c r="B211" s="1">
        <v>112528.16000000003</v>
      </c>
      <c r="C211" s="1">
        <v>51984.590000000026</v>
      </c>
      <c r="D211" s="1">
        <v>164512.75000000012</v>
      </c>
    </row>
    <row r="212" spans="1:4" x14ac:dyDescent="0.25">
      <c r="A212" s="30" t="s">
        <v>52</v>
      </c>
      <c r="B212" s="1">
        <v>181636.94999999984</v>
      </c>
      <c r="C212" s="1">
        <v>93887.770000000019</v>
      </c>
      <c r="D212" s="1">
        <v>275524.71999999974</v>
      </c>
    </row>
    <row r="213" spans="1:4" x14ac:dyDescent="0.25">
      <c r="A213" s="30" t="s">
        <v>214</v>
      </c>
      <c r="B213" s="1">
        <v>7114.7700000000041</v>
      </c>
      <c r="C213" s="1">
        <v>9534.9799999999959</v>
      </c>
      <c r="D213" s="1">
        <v>16649.75</v>
      </c>
    </row>
    <row r="214" spans="1:4" x14ac:dyDescent="0.25">
      <c r="A214" s="30" t="s">
        <v>172</v>
      </c>
      <c r="B214" s="1">
        <v>18437.159999999989</v>
      </c>
      <c r="C214" s="1">
        <v>0</v>
      </c>
      <c r="D214" s="1">
        <v>18437.159999999989</v>
      </c>
    </row>
    <row r="215" spans="1:4" x14ac:dyDescent="0.25">
      <c r="A215" s="30" t="s">
        <v>137</v>
      </c>
      <c r="B215" s="1">
        <v>0</v>
      </c>
      <c r="C215" s="1">
        <v>5352.1699999999983</v>
      </c>
      <c r="D215" s="1">
        <v>5352.1699999999983</v>
      </c>
    </row>
    <row r="216" spans="1:4" x14ac:dyDescent="0.25">
      <c r="A216" s="30" t="s">
        <v>105</v>
      </c>
      <c r="B216" s="1">
        <v>89331.520000000019</v>
      </c>
      <c r="C216" s="1">
        <v>0</v>
      </c>
      <c r="D216" s="1">
        <v>89331.520000000019</v>
      </c>
    </row>
    <row r="217" spans="1:4" x14ac:dyDescent="0.25">
      <c r="A217" s="30" t="s">
        <v>83</v>
      </c>
      <c r="B217" s="1">
        <v>34569.290000000008</v>
      </c>
      <c r="C217" s="1">
        <v>6797.6699999999983</v>
      </c>
      <c r="D217" s="1">
        <v>41366.960000000021</v>
      </c>
    </row>
    <row r="218" spans="1:4" x14ac:dyDescent="0.25">
      <c r="A218" s="30" t="s">
        <v>22</v>
      </c>
      <c r="B218" s="1">
        <v>158200.30000000016</v>
      </c>
      <c r="C218" s="1">
        <v>177212.74</v>
      </c>
      <c r="D218" s="1">
        <v>335413.0400000005</v>
      </c>
    </row>
    <row r="219" spans="1:4" x14ac:dyDescent="0.25">
      <c r="A219" s="30" t="s">
        <v>33</v>
      </c>
      <c r="B219" s="1">
        <v>32141.660000000003</v>
      </c>
      <c r="C219" s="1">
        <v>29980.160000000018</v>
      </c>
      <c r="D219" s="1">
        <v>62121.820000000007</v>
      </c>
    </row>
    <row r="220" spans="1:4" x14ac:dyDescent="0.25">
      <c r="A220" s="30" t="s">
        <v>9</v>
      </c>
      <c r="B220" s="1">
        <v>159494.5</v>
      </c>
      <c r="C220" s="1">
        <v>65298.289999999979</v>
      </c>
      <c r="D220" s="1">
        <v>224792.79000000027</v>
      </c>
    </row>
    <row r="221" spans="1:4" x14ac:dyDescent="0.25">
      <c r="A221" s="30" t="s">
        <v>44</v>
      </c>
      <c r="B221" s="1">
        <v>83335.649999999965</v>
      </c>
      <c r="C221" s="1">
        <v>27777.459999999992</v>
      </c>
      <c r="D221" s="1">
        <v>111113.10999999993</v>
      </c>
    </row>
    <row r="222" spans="1:4" x14ac:dyDescent="0.25">
      <c r="A222" s="9" t="s">
        <v>1182</v>
      </c>
      <c r="B222" s="1">
        <v>9487277.8900000528</v>
      </c>
      <c r="C222" s="1">
        <v>9505149.8299999535</v>
      </c>
      <c r="D222" s="1">
        <v>18992427.720000029</v>
      </c>
    </row>
    <row r="226" spans="1:4" x14ac:dyDescent="0.25">
      <c r="A226" s="8" t="s">
        <v>1186</v>
      </c>
      <c r="B226" s="8" t="s">
        <v>1185</v>
      </c>
    </row>
    <row r="227" spans="1:4" x14ac:dyDescent="0.25">
      <c r="A227" s="8" t="s">
        <v>1181</v>
      </c>
      <c r="B227">
        <v>2019</v>
      </c>
      <c r="C227">
        <v>2020</v>
      </c>
      <c r="D227" s="14" t="s">
        <v>1182</v>
      </c>
    </row>
    <row r="228" spans="1:4" x14ac:dyDescent="0.25">
      <c r="A228" s="9" t="s">
        <v>407</v>
      </c>
      <c r="B228" s="1"/>
      <c r="C228" s="1">
        <v>190166.35</v>
      </c>
      <c r="D228" s="1">
        <v>190166.35</v>
      </c>
    </row>
    <row r="229" spans="1:4" x14ac:dyDescent="0.25">
      <c r="A229" s="30" t="s">
        <v>408</v>
      </c>
      <c r="B229" s="1"/>
      <c r="C229" s="1">
        <v>190166.35</v>
      </c>
      <c r="D229" s="1">
        <v>190166.35</v>
      </c>
    </row>
    <row r="230" spans="1:4" x14ac:dyDescent="0.25">
      <c r="A230" s="31" t="s">
        <v>409</v>
      </c>
      <c r="B230" s="1"/>
      <c r="C230" s="1">
        <v>190166.35</v>
      </c>
      <c r="D230" s="1">
        <v>190166.35</v>
      </c>
    </row>
    <row r="231" spans="1:4" x14ac:dyDescent="0.25">
      <c r="A231" s="9" t="s">
        <v>95</v>
      </c>
      <c r="B231" s="1">
        <v>228554.31</v>
      </c>
      <c r="C231" s="1">
        <v>380415.64999999997</v>
      </c>
      <c r="D231" s="1">
        <v>608969.96</v>
      </c>
    </row>
    <row r="232" spans="1:4" x14ac:dyDescent="0.25">
      <c r="A232" s="30" t="s">
        <v>97</v>
      </c>
      <c r="B232" s="1">
        <v>228554.31</v>
      </c>
      <c r="C232" s="1">
        <v>380415.64999999997</v>
      </c>
      <c r="D232" s="1">
        <v>608969.96</v>
      </c>
    </row>
    <row r="233" spans="1:4" x14ac:dyDescent="0.25">
      <c r="A233" s="31" t="s">
        <v>98</v>
      </c>
      <c r="B233" s="1">
        <v>228554.31</v>
      </c>
      <c r="C233" s="1">
        <v>380415.64999999997</v>
      </c>
      <c r="D233" s="1">
        <v>608969.96</v>
      </c>
    </row>
    <row r="234" spans="1:4" x14ac:dyDescent="0.25">
      <c r="A234" s="9" t="s">
        <v>100</v>
      </c>
      <c r="B234" s="1">
        <v>1909415.2</v>
      </c>
      <c r="C234" s="1">
        <v>1572729.44</v>
      </c>
      <c r="D234" s="1">
        <v>3482144.64</v>
      </c>
    </row>
    <row r="235" spans="1:4" x14ac:dyDescent="0.25">
      <c r="A235" s="30" t="s">
        <v>102</v>
      </c>
      <c r="B235" s="1">
        <v>1909415.2</v>
      </c>
      <c r="C235" s="1">
        <v>1572729.44</v>
      </c>
      <c r="D235" s="1">
        <v>3482144.64</v>
      </c>
    </row>
    <row r="236" spans="1:4" x14ac:dyDescent="0.25">
      <c r="A236" s="31" t="s">
        <v>161</v>
      </c>
      <c r="B236" s="1">
        <v>1068606.99</v>
      </c>
      <c r="C236" s="1">
        <v>814589.38</v>
      </c>
      <c r="D236" s="1">
        <v>1883196.37</v>
      </c>
    </row>
    <row r="237" spans="1:4" x14ac:dyDescent="0.25">
      <c r="A237" s="31" t="s">
        <v>103</v>
      </c>
      <c r="B237" s="1">
        <v>840808.21</v>
      </c>
      <c r="C237" s="1">
        <v>758140.06</v>
      </c>
      <c r="D237" s="1">
        <v>1598948.27</v>
      </c>
    </row>
    <row r="238" spans="1:4" x14ac:dyDescent="0.25">
      <c r="A238" s="9" t="s">
        <v>345</v>
      </c>
      <c r="B238" s="1">
        <v>336460.05</v>
      </c>
      <c r="C238" s="1">
        <v>426743.45999999996</v>
      </c>
      <c r="D238" s="1">
        <v>763203.51</v>
      </c>
    </row>
    <row r="239" spans="1:4" x14ac:dyDescent="0.25">
      <c r="A239" s="30" t="s">
        <v>346</v>
      </c>
      <c r="B239" s="1">
        <v>336460.05</v>
      </c>
      <c r="C239" s="1">
        <v>426743.45999999996</v>
      </c>
      <c r="D239" s="1">
        <v>763203.51</v>
      </c>
    </row>
    <row r="240" spans="1:4" x14ac:dyDescent="0.25">
      <c r="A240" s="31" t="s">
        <v>347</v>
      </c>
      <c r="B240" s="1">
        <v>297172.76</v>
      </c>
      <c r="C240" s="1">
        <v>193787.99</v>
      </c>
      <c r="D240" s="1">
        <v>490960.75</v>
      </c>
    </row>
    <row r="241" spans="1:4" x14ac:dyDescent="0.25">
      <c r="A241" s="31" t="s">
        <v>700</v>
      </c>
      <c r="B241" s="1">
        <v>39287.29</v>
      </c>
      <c r="C241" s="1">
        <v>232955.47</v>
      </c>
      <c r="D241" s="1">
        <v>272242.76</v>
      </c>
    </row>
    <row r="242" spans="1:4" x14ac:dyDescent="0.25">
      <c r="A242" s="9" t="s">
        <v>16</v>
      </c>
      <c r="B242" s="1">
        <v>2538029.13</v>
      </c>
      <c r="C242" s="1">
        <v>3010005.9200000004</v>
      </c>
      <c r="D242" s="1">
        <v>5548035.0500000007</v>
      </c>
    </row>
    <row r="243" spans="1:4" x14ac:dyDescent="0.25">
      <c r="A243" s="30" t="s">
        <v>19</v>
      </c>
      <c r="B243" s="1">
        <v>2538029.13</v>
      </c>
      <c r="C243" s="1">
        <v>3010005.9200000004</v>
      </c>
      <c r="D243" s="1">
        <v>5548035.0500000007</v>
      </c>
    </row>
    <row r="244" spans="1:4" x14ac:dyDescent="0.25">
      <c r="A244" s="31" t="s">
        <v>352</v>
      </c>
      <c r="B244" s="1">
        <v>1320432.4300000002</v>
      </c>
      <c r="C244" s="1">
        <v>1389883.3000000003</v>
      </c>
      <c r="D244" s="1">
        <v>2710315.7300000004</v>
      </c>
    </row>
    <row r="245" spans="1:4" x14ac:dyDescent="0.25">
      <c r="A245" s="31" t="s">
        <v>20</v>
      </c>
      <c r="B245" s="1">
        <v>1217596.7</v>
      </c>
      <c r="C245" s="1">
        <v>1620122.62</v>
      </c>
      <c r="D245" s="1">
        <v>2837719.3200000003</v>
      </c>
    </row>
    <row r="246" spans="1:4" x14ac:dyDescent="0.25">
      <c r="A246" s="9" t="s">
        <v>52</v>
      </c>
      <c r="B246" s="1">
        <v>14723094.32</v>
      </c>
      <c r="C246" s="1">
        <v>11177584.1</v>
      </c>
      <c r="D246" s="1">
        <v>25900678.420000002</v>
      </c>
    </row>
    <row r="247" spans="1:4" x14ac:dyDescent="0.25">
      <c r="A247" s="30" t="s">
        <v>54</v>
      </c>
      <c r="B247" s="1">
        <v>14723094.32</v>
      </c>
      <c r="C247" s="1">
        <v>11177584.1</v>
      </c>
      <c r="D247" s="1">
        <v>25900678.420000002</v>
      </c>
    </row>
    <row r="248" spans="1:4" x14ac:dyDescent="0.25">
      <c r="A248" s="31" t="s">
        <v>71</v>
      </c>
      <c r="B248" s="1">
        <v>4062022.0300000003</v>
      </c>
      <c r="C248" s="1">
        <v>2593138.1299999994</v>
      </c>
      <c r="D248" s="1">
        <v>6655160.1600000001</v>
      </c>
    </row>
    <row r="249" spans="1:4" x14ac:dyDescent="0.25">
      <c r="A249" s="31" t="s">
        <v>143</v>
      </c>
      <c r="B249" s="1">
        <v>2039486.04</v>
      </c>
      <c r="C249" s="1">
        <v>2673265.35</v>
      </c>
      <c r="D249" s="1">
        <v>4712751.3900000006</v>
      </c>
    </row>
    <row r="250" spans="1:4" x14ac:dyDescent="0.25">
      <c r="A250" s="31" t="s">
        <v>127</v>
      </c>
      <c r="B250" s="1">
        <v>2878091.4800000009</v>
      </c>
      <c r="C250" s="1">
        <v>2276511.2199999997</v>
      </c>
      <c r="D250" s="1">
        <v>5154602.7000000011</v>
      </c>
    </row>
    <row r="251" spans="1:4" x14ac:dyDescent="0.25">
      <c r="A251" s="31" t="s">
        <v>55</v>
      </c>
      <c r="B251" s="1">
        <v>2874952.53</v>
      </c>
      <c r="C251" s="1">
        <v>1264939.9900000002</v>
      </c>
      <c r="D251" s="1">
        <v>4139892.52</v>
      </c>
    </row>
    <row r="252" spans="1:4" x14ac:dyDescent="0.25">
      <c r="A252" s="31" t="s">
        <v>132</v>
      </c>
      <c r="B252" s="1">
        <v>2868542.2400000007</v>
      </c>
      <c r="C252" s="1">
        <v>2369729.4099999997</v>
      </c>
      <c r="D252" s="1">
        <v>5238271.6500000004</v>
      </c>
    </row>
    <row r="253" spans="1:4" x14ac:dyDescent="0.25">
      <c r="A253" s="9" t="s">
        <v>214</v>
      </c>
      <c r="B253" s="1">
        <v>1409637.3399999999</v>
      </c>
      <c r="C253" s="1">
        <v>1384411.19</v>
      </c>
      <c r="D253" s="1">
        <v>2794048.53</v>
      </c>
    </row>
    <row r="254" spans="1:4" x14ac:dyDescent="0.25">
      <c r="A254" s="30" t="s">
        <v>215</v>
      </c>
      <c r="B254" s="1">
        <v>1409637.3399999999</v>
      </c>
      <c r="C254" s="1">
        <v>1384411.19</v>
      </c>
      <c r="D254" s="1">
        <v>2794048.53</v>
      </c>
    </row>
    <row r="255" spans="1:4" x14ac:dyDescent="0.25">
      <c r="A255" s="31" t="s">
        <v>216</v>
      </c>
      <c r="B255" s="1">
        <v>1409637.3399999999</v>
      </c>
      <c r="C255" s="1">
        <v>1384411.19</v>
      </c>
      <c r="D255" s="1">
        <v>2794048.53</v>
      </c>
    </row>
    <row r="256" spans="1:4" x14ac:dyDescent="0.25">
      <c r="A256" s="9" t="s">
        <v>172</v>
      </c>
      <c r="B256" s="1">
        <v>2308991.06</v>
      </c>
      <c r="C256" s="1">
        <v>2643293.6500000004</v>
      </c>
      <c r="D256" s="1">
        <v>4952284.71</v>
      </c>
    </row>
    <row r="257" spans="1:4" x14ac:dyDescent="0.25">
      <c r="A257" s="30" t="s">
        <v>174</v>
      </c>
      <c r="B257" s="1">
        <v>2308991.06</v>
      </c>
      <c r="C257" s="1">
        <v>2643293.6500000004</v>
      </c>
      <c r="D257" s="1">
        <v>4952284.71</v>
      </c>
    </row>
    <row r="258" spans="1:4" x14ac:dyDescent="0.25">
      <c r="A258" s="31" t="s">
        <v>175</v>
      </c>
      <c r="B258" s="1">
        <v>1272857.81</v>
      </c>
      <c r="C258" s="1">
        <v>1445013.85</v>
      </c>
      <c r="D258" s="1">
        <v>2717871.66</v>
      </c>
    </row>
    <row r="259" spans="1:4" x14ac:dyDescent="0.25">
      <c r="A259" s="31" t="s">
        <v>211</v>
      </c>
      <c r="B259" s="1">
        <v>1036133.25</v>
      </c>
      <c r="C259" s="1">
        <v>1198279.8</v>
      </c>
      <c r="D259" s="1">
        <v>2234413.0499999998</v>
      </c>
    </row>
    <row r="260" spans="1:4" x14ac:dyDescent="0.25">
      <c r="A260" s="9" t="s">
        <v>137</v>
      </c>
      <c r="B260" s="1">
        <v>459532.09000000008</v>
      </c>
      <c r="C260" s="1">
        <v>476037.20999999996</v>
      </c>
      <c r="D260" s="1">
        <v>935569.3</v>
      </c>
    </row>
    <row r="261" spans="1:4" x14ac:dyDescent="0.25">
      <c r="A261" s="30" t="s">
        <v>139</v>
      </c>
      <c r="B261" s="1">
        <v>459532.09000000008</v>
      </c>
      <c r="C261" s="1">
        <v>476037.20999999996</v>
      </c>
      <c r="D261" s="1">
        <v>935569.3</v>
      </c>
    </row>
    <row r="262" spans="1:4" x14ac:dyDescent="0.25">
      <c r="A262" s="31" t="s">
        <v>140</v>
      </c>
      <c r="B262" s="1">
        <v>459532.09000000008</v>
      </c>
      <c r="C262" s="1">
        <v>476037.20999999996</v>
      </c>
      <c r="D262" s="1">
        <v>935569.3</v>
      </c>
    </row>
    <row r="263" spans="1:4" x14ac:dyDescent="0.25">
      <c r="A263" s="9" t="s">
        <v>105</v>
      </c>
      <c r="B263" s="1">
        <v>1672315.06</v>
      </c>
      <c r="C263" s="1">
        <v>1241235.3400000001</v>
      </c>
      <c r="D263" s="1">
        <v>2913550.4000000004</v>
      </c>
    </row>
    <row r="264" spans="1:4" x14ac:dyDescent="0.25">
      <c r="A264" s="30" t="s">
        <v>106</v>
      </c>
      <c r="B264" s="1">
        <v>1672315.06</v>
      </c>
      <c r="C264" s="1">
        <v>1241235.3400000001</v>
      </c>
      <c r="D264" s="1">
        <v>2913550.4000000004</v>
      </c>
    </row>
    <row r="265" spans="1:4" x14ac:dyDescent="0.25">
      <c r="A265" s="31" t="s">
        <v>107</v>
      </c>
      <c r="B265" s="1">
        <v>1672315.06</v>
      </c>
      <c r="C265" s="1">
        <v>1241235.3400000001</v>
      </c>
      <c r="D265" s="1">
        <v>2913550.4000000004</v>
      </c>
    </row>
    <row r="266" spans="1:4" x14ac:dyDescent="0.25">
      <c r="A266" s="9" t="s">
        <v>83</v>
      </c>
      <c r="B266" s="1">
        <v>1015879.3000000002</v>
      </c>
      <c r="C266" s="1">
        <v>2208785.4899999998</v>
      </c>
      <c r="D266" s="1">
        <v>3224664.79</v>
      </c>
    </row>
    <row r="267" spans="1:4" x14ac:dyDescent="0.25">
      <c r="A267" s="30" t="s">
        <v>84</v>
      </c>
      <c r="B267" s="1">
        <v>1015879.3000000002</v>
      </c>
      <c r="C267" s="1">
        <v>2208785.4899999998</v>
      </c>
      <c r="D267" s="1">
        <v>3224664.79</v>
      </c>
    </row>
    <row r="268" spans="1:4" x14ac:dyDescent="0.25">
      <c r="A268" s="31" t="s">
        <v>85</v>
      </c>
      <c r="B268" s="1">
        <v>1015879.3000000002</v>
      </c>
      <c r="C268" s="1">
        <v>2208785.4899999998</v>
      </c>
      <c r="D268" s="1">
        <v>3224664.79</v>
      </c>
    </row>
    <row r="269" spans="1:4" x14ac:dyDescent="0.25">
      <c r="A269" s="9" t="s">
        <v>22</v>
      </c>
      <c r="B269" s="1">
        <v>11722952.780000001</v>
      </c>
      <c r="C269" s="1">
        <v>16073409.050000001</v>
      </c>
      <c r="D269" s="1">
        <v>27796361.830000002</v>
      </c>
    </row>
    <row r="270" spans="1:4" x14ac:dyDescent="0.25">
      <c r="A270" s="30" t="s">
        <v>25</v>
      </c>
      <c r="B270" s="1">
        <v>11722952.780000001</v>
      </c>
      <c r="C270" s="1">
        <v>16073409.050000001</v>
      </c>
      <c r="D270" s="1">
        <v>27796361.830000002</v>
      </c>
    </row>
    <row r="271" spans="1:4" x14ac:dyDescent="0.25">
      <c r="A271" s="31" t="s">
        <v>31</v>
      </c>
      <c r="B271" s="1">
        <v>2185327.8600000003</v>
      </c>
      <c r="C271" s="1">
        <v>3303225.27</v>
      </c>
      <c r="D271" s="1">
        <v>5488553.1300000008</v>
      </c>
    </row>
    <row r="272" spans="1:4" x14ac:dyDescent="0.25">
      <c r="A272" s="31" t="s">
        <v>218</v>
      </c>
      <c r="B272" s="1">
        <v>1305050.1000000001</v>
      </c>
      <c r="C272" s="1">
        <v>3453981.4600000004</v>
      </c>
      <c r="D272" s="1">
        <v>4759031.5600000005</v>
      </c>
    </row>
    <row r="273" spans="1:4" x14ac:dyDescent="0.25">
      <c r="A273" s="31" t="s">
        <v>75</v>
      </c>
      <c r="B273" s="1">
        <v>2987701.18</v>
      </c>
      <c r="C273" s="1">
        <v>3909351.8500000006</v>
      </c>
      <c r="D273" s="1">
        <v>6897053.0300000012</v>
      </c>
    </row>
    <row r="274" spans="1:4" x14ac:dyDescent="0.25">
      <c r="A274" s="31" t="s">
        <v>89</v>
      </c>
      <c r="B274" s="1">
        <v>3230921.0899999989</v>
      </c>
      <c r="C274" s="1">
        <v>2929295.88</v>
      </c>
      <c r="D274" s="1">
        <v>6160216.9699999988</v>
      </c>
    </row>
    <row r="275" spans="1:4" x14ac:dyDescent="0.25">
      <c r="A275" s="31" t="s">
        <v>26</v>
      </c>
      <c r="B275" s="1">
        <v>2013952.5499999998</v>
      </c>
      <c r="C275" s="1">
        <v>2477554.5900000003</v>
      </c>
      <c r="D275" s="1">
        <v>4491507.1400000006</v>
      </c>
    </row>
    <row r="276" spans="1:4" x14ac:dyDescent="0.25">
      <c r="A276" s="9" t="s">
        <v>33</v>
      </c>
      <c r="B276" s="1">
        <v>1489665.67</v>
      </c>
      <c r="C276" s="1">
        <v>1009573.8600000001</v>
      </c>
      <c r="D276" s="1">
        <v>2499239.5300000003</v>
      </c>
    </row>
    <row r="277" spans="1:4" x14ac:dyDescent="0.25">
      <c r="A277" s="30" t="s">
        <v>35</v>
      </c>
      <c r="B277" s="1">
        <v>1489665.67</v>
      </c>
      <c r="C277" s="1">
        <v>1009573.8600000001</v>
      </c>
      <c r="D277" s="1">
        <v>2499239.5300000003</v>
      </c>
    </row>
    <row r="278" spans="1:4" x14ac:dyDescent="0.25">
      <c r="A278" s="31" t="s">
        <v>36</v>
      </c>
      <c r="B278" s="1">
        <v>745852.74000000011</v>
      </c>
      <c r="C278" s="1">
        <v>319711.14</v>
      </c>
      <c r="D278" s="1">
        <v>1065563.8800000001</v>
      </c>
    </row>
    <row r="279" spans="1:4" x14ac:dyDescent="0.25">
      <c r="A279" s="31" t="s">
        <v>424</v>
      </c>
      <c r="B279" s="1">
        <v>68745.86</v>
      </c>
      <c r="C279" s="1">
        <v>337098.92</v>
      </c>
      <c r="D279" s="1">
        <v>405844.77999999997</v>
      </c>
    </row>
    <row r="280" spans="1:4" x14ac:dyDescent="0.25">
      <c r="A280" s="31" t="s">
        <v>40</v>
      </c>
      <c r="B280" s="1">
        <v>675067.07</v>
      </c>
      <c r="C280" s="1">
        <v>352763.8</v>
      </c>
      <c r="D280" s="1">
        <v>1027830.8699999999</v>
      </c>
    </row>
    <row r="281" spans="1:4" x14ac:dyDescent="0.25">
      <c r="A281" s="9" t="s">
        <v>9</v>
      </c>
      <c r="B281" s="1">
        <v>10403214.530000001</v>
      </c>
      <c r="C281" s="1">
        <v>9233989.9199999999</v>
      </c>
      <c r="D281" s="1">
        <v>19637204.450000003</v>
      </c>
    </row>
    <row r="282" spans="1:4" x14ac:dyDescent="0.25">
      <c r="A282" s="30" t="s">
        <v>12</v>
      </c>
      <c r="B282" s="1">
        <v>10403214.530000001</v>
      </c>
      <c r="C282" s="1">
        <v>9233989.9199999999</v>
      </c>
      <c r="D282" s="1">
        <v>19637204.450000003</v>
      </c>
    </row>
    <row r="283" spans="1:4" x14ac:dyDescent="0.25">
      <c r="A283" s="31" t="s">
        <v>81</v>
      </c>
      <c r="B283" s="1">
        <v>3030651.97</v>
      </c>
      <c r="C283" s="1">
        <v>1513936.89</v>
      </c>
      <c r="D283" s="1">
        <v>4544588.8600000003</v>
      </c>
    </row>
    <row r="284" spans="1:4" x14ac:dyDescent="0.25">
      <c r="A284" s="31" t="s">
        <v>68</v>
      </c>
      <c r="B284" s="1">
        <v>1793567.46</v>
      </c>
      <c r="C284" s="1">
        <v>1823275.9299999997</v>
      </c>
      <c r="D284" s="1">
        <v>3616843.3899999997</v>
      </c>
    </row>
    <row r="285" spans="1:4" x14ac:dyDescent="0.25">
      <c r="A285" s="31" t="s">
        <v>117</v>
      </c>
      <c r="B285" s="1">
        <v>1328012.74</v>
      </c>
      <c r="C285" s="1">
        <v>1630841.52</v>
      </c>
      <c r="D285" s="1">
        <v>2958854.26</v>
      </c>
    </row>
    <row r="286" spans="1:4" x14ac:dyDescent="0.25">
      <c r="A286" s="31" t="s">
        <v>13</v>
      </c>
      <c r="B286" s="1">
        <v>1663081.5000000002</v>
      </c>
      <c r="C286" s="1">
        <v>2286660.9300000002</v>
      </c>
      <c r="D286" s="1">
        <v>3949742.4300000006</v>
      </c>
    </row>
    <row r="287" spans="1:4" x14ac:dyDescent="0.25">
      <c r="A287" s="31" t="s">
        <v>169</v>
      </c>
      <c r="B287" s="1">
        <v>2587900.8600000003</v>
      </c>
      <c r="C287" s="1">
        <v>1979274.6500000001</v>
      </c>
      <c r="D287" s="1">
        <v>4567175.5100000007</v>
      </c>
    </row>
    <row r="288" spans="1:4" x14ac:dyDescent="0.25">
      <c r="A288" s="9" t="s">
        <v>44</v>
      </c>
      <c r="B288" s="1">
        <v>6399783.5599999996</v>
      </c>
      <c r="C288" s="1">
        <v>5715833.6799999997</v>
      </c>
      <c r="D288" s="1">
        <v>12115617.239999998</v>
      </c>
    </row>
    <row r="289" spans="1:4" x14ac:dyDescent="0.25">
      <c r="A289" s="30" t="s">
        <v>47</v>
      </c>
      <c r="B289" s="1">
        <v>6399783.5599999996</v>
      </c>
      <c r="C289" s="1">
        <v>5715833.6799999997</v>
      </c>
      <c r="D289" s="1">
        <v>12115617.239999998</v>
      </c>
    </row>
    <row r="290" spans="1:4" x14ac:dyDescent="0.25">
      <c r="A290" s="31" t="s">
        <v>65</v>
      </c>
      <c r="B290" s="1">
        <v>2436958.65</v>
      </c>
      <c r="C290" s="1">
        <v>1896682.8699999999</v>
      </c>
      <c r="D290" s="1">
        <v>4333641.5199999996</v>
      </c>
    </row>
    <row r="291" spans="1:4" x14ac:dyDescent="0.25">
      <c r="A291" s="31" t="s">
        <v>73</v>
      </c>
      <c r="B291" s="1">
        <v>1937516.74</v>
      </c>
      <c r="C291" s="1">
        <v>1168921.17</v>
      </c>
      <c r="D291" s="1">
        <v>3106437.91</v>
      </c>
    </row>
    <row r="292" spans="1:4" x14ac:dyDescent="0.25">
      <c r="A292" s="31" t="s">
        <v>48</v>
      </c>
      <c r="B292" s="1">
        <v>2025308.1699999997</v>
      </c>
      <c r="C292" s="1">
        <v>2650229.64</v>
      </c>
      <c r="D292" s="1">
        <v>4675537.8099999996</v>
      </c>
    </row>
    <row r="293" spans="1:4" x14ac:dyDescent="0.25">
      <c r="A293" s="9" t="s">
        <v>1182</v>
      </c>
      <c r="B293" s="1">
        <v>56617524.399999999</v>
      </c>
      <c r="C293" s="1">
        <v>56744214.31000001</v>
      </c>
      <c r="D293" s="1">
        <v>113361738.71000001</v>
      </c>
    </row>
    <row r="297" spans="1:4" x14ac:dyDescent="0.25">
      <c r="A297" s="8" t="s">
        <v>1207</v>
      </c>
      <c r="B297" s="8" t="s">
        <v>1185</v>
      </c>
    </row>
    <row r="298" spans="1:4" x14ac:dyDescent="0.25">
      <c r="A298" s="8" t="s">
        <v>1181</v>
      </c>
      <c r="B298">
        <v>2019</v>
      </c>
      <c r="C298">
        <v>2020</v>
      </c>
      <c r="D298" t="s">
        <v>1182</v>
      </c>
    </row>
    <row r="299" spans="1:4" x14ac:dyDescent="0.25">
      <c r="A299" s="9" t="s">
        <v>45</v>
      </c>
      <c r="B299" s="1">
        <v>379929.75</v>
      </c>
      <c r="C299" s="1">
        <v>403966.58000000054</v>
      </c>
      <c r="D299" s="1">
        <v>783896.33000000007</v>
      </c>
    </row>
    <row r="300" spans="1:4" x14ac:dyDescent="0.25">
      <c r="A300" s="9" t="s">
        <v>50</v>
      </c>
      <c r="B300" s="1">
        <v>1198051.6000000015</v>
      </c>
      <c r="C300" s="1">
        <v>1336827.7400000012</v>
      </c>
      <c r="D300" s="1">
        <v>2534879.3400000054</v>
      </c>
    </row>
    <row r="301" spans="1:4" x14ac:dyDescent="0.25">
      <c r="A301" s="9" t="s">
        <v>29</v>
      </c>
      <c r="B301" s="1">
        <v>1165694.7699999996</v>
      </c>
      <c r="C301" s="1">
        <v>952732.65999999922</v>
      </c>
      <c r="D301" s="1">
        <v>2118427.4300000016</v>
      </c>
    </row>
    <row r="302" spans="1:4" x14ac:dyDescent="0.25">
      <c r="A302" s="9" t="s">
        <v>10</v>
      </c>
      <c r="B302" s="1">
        <v>954590.60000000149</v>
      </c>
      <c r="C302" s="1">
        <v>1271323.2799999993</v>
      </c>
      <c r="D302" s="1">
        <v>2225913.8800000027</v>
      </c>
    </row>
    <row r="303" spans="1:4" x14ac:dyDescent="0.25">
      <c r="A303" s="9" t="s">
        <v>23</v>
      </c>
      <c r="B303" s="1">
        <v>1690365.839999998</v>
      </c>
      <c r="C303" s="1">
        <v>1251572.2500000009</v>
      </c>
      <c r="D303" s="1">
        <v>2941938.0899999961</v>
      </c>
    </row>
    <row r="304" spans="1:4" x14ac:dyDescent="0.25">
      <c r="A304" s="9" t="s">
        <v>79</v>
      </c>
      <c r="B304" s="1">
        <v>1173112.5900000008</v>
      </c>
      <c r="C304" s="1">
        <v>1228020.4099999983</v>
      </c>
      <c r="D304" s="1">
        <v>2401133.0000000075</v>
      </c>
    </row>
    <row r="305" spans="1:5" x14ac:dyDescent="0.25">
      <c r="A305" s="9" t="s">
        <v>17</v>
      </c>
      <c r="B305" s="1">
        <v>1331338.3200000031</v>
      </c>
      <c r="C305" s="1">
        <v>1228457.4499999983</v>
      </c>
      <c r="D305" s="1">
        <v>2559795.7699999996</v>
      </c>
    </row>
    <row r="306" spans="1:5" x14ac:dyDescent="0.25">
      <c r="A306" s="9" t="s">
        <v>138</v>
      </c>
      <c r="B306" s="1">
        <v>212767.63000000012</v>
      </c>
      <c r="C306" s="1">
        <v>336266.08000000007</v>
      </c>
      <c r="D306" s="1">
        <v>549033.71000000136</v>
      </c>
    </row>
    <row r="307" spans="1:5" x14ac:dyDescent="0.25">
      <c r="A307" s="9" t="s">
        <v>61</v>
      </c>
      <c r="B307" s="1">
        <v>406604.68000000063</v>
      </c>
      <c r="C307" s="1">
        <v>650157.82999999961</v>
      </c>
      <c r="D307" s="1">
        <v>1056762.5100000007</v>
      </c>
    </row>
    <row r="308" spans="1:5" x14ac:dyDescent="0.25">
      <c r="A308" s="9" t="s">
        <v>59</v>
      </c>
      <c r="B308" s="1">
        <v>974822.1100000022</v>
      </c>
      <c r="C308" s="1">
        <v>845825.55000000075</v>
      </c>
      <c r="D308" s="1">
        <v>1820647.660000002</v>
      </c>
    </row>
    <row r="309" spans="1:5" x14ac:dyDescent="0.25">
      <c r="A309" s="9" t="s">
        <v>1182</v>
      </c>
      <c r="B309" s="1">
        <v>9487277.8900000304</v>
      </c>
      <c r="C309" s="1">
        <v>9505149.8300000578</v>
      </c>
      <c r="D309" s="1">
        <v>18992427.720000044</v>
      </c>
    </row>
    <row r="313" spans="1:5" x14ac:dyDescent="0.25">
      <c r="A313" s="8" t="s">
        <v>1207</v>
      </c>
      <c r="B313" s="8" t="s">
        <v>1185</v>
      </c>
    </row>
    <row r="314" spans="1:5" x14ac:dyDescent="0.25">
      <c r="A314" s="8" t="s">
        <v>1181</v>
      </c>
      <c r="B314" t="s">
        <v>14</v>
      </c>
      <c r="C314" t="s">
        <v>27</v>
      </c>
      <c r="D314" t="s">
        <v>37</v>
      </c>
      <c r="E314" t="s">
        <v>1182</v>
      </c>
    </row>
    <row r="315" spans="1:5" x14ac:dyDescent="0.25">
      <c r="A315" s="9" t="s">
        <v>45</v>
      </c>
      <c r="B315" s="1">
        <v>131316.45999999996</v>
      </c>
      <c r="C315" s="1">
        <v>652579.86999999918</v>
      </c>
      <c r="D315" s="1">
        <v>0</v>
      </c>
      <c r="E315" s="1">
        <v>783896.33000000101</v>
      </c>
    </row>
    <row r="316" spans="1:5" x14ac:dyDescent="0.25">
      <c r="A316" s="9" t="s">
        <v>50</v>
      </c>
      <c r="B316" s="1">
        <v>422319.2799999998</v>
      </c>
      <c r="C316" s="1">
        <v>1910236.9500000086</v>
      </c>
      <c r="D316" s="1">
        <v>202323.1100000001</v>
      </c>
      <c r="E316" s="1">
        <v>2534879.3400000054</v>
      </c>
    </row>
    <row r="317" spans="1:5" x14ac:dyDescent="0.25">
      <c r="A317" s="9" t="s">
        <v>29</v>
      </c>
      <c r="B317" s="1">
        <v>230999.42000000016</v>
      </c>
      <c r="C317" s="1">
        <v>1646038</v>
      </c>
      <c r="D317" s="1">
        <v>241390.00999999978</v>
      </c>
      <c r="E317" s="1">
        <v>2118427.4300000034</v>
      </c>
    </row>
    <row r="318" spans="1:5" x14ac:dyDescent="0.25">
      <c r="A318" s="9" t="s">
        <v>10</v>
      </c>
      <c r="B318" s="1">
        <v>282340.01999999932</v>
      </c>
      <c r="C318" s="1">
        <v>1911918.4399999976</v>
      </c>
      <c r="D318" s="1">
        <v>31655.420000000013</v>
      </c>
      <c r="E318" s="1">
        <v>2225913.8799999952</v>
      </c>
    </row>
    <row r="319" spans="1:5" x14ac:dyDescent="0.25">
      <c r="A319" s="9" t="s">
        <v>23</v>
      </c>
      <c r="B319" s="1">
        <v>351994.15999999992</v>
      </c>
      <c r="C319" s="1">
        <v>2330149.8199999854</v>
      </c>
      <c r="D319" s="1">
        <v>259794.1100000001</v>
      </c>
      <c r="E319" s="1">
        <v>2941938.0899999794</v>
      </c>
    </row>
    <row r="320" spans="1:5" x14ac:dyDescent="0.25">
      <c r="A320" s="9" t="s">
        <v>79</v>
      </c>
      <c r="B320" s="1">
        <v>411515.54999999888</v>
      </c>
      <c r="C320" s="1">
        <v>1844094.3900000025</v>
      </c>
      <c r="D320" s="1">
        <v>145523.06000000006</v>
      </c>
      <c r="E320" s="1">
        <v>2401133.0000000037</v>
      </c>
    </row>
    <row r="321" spans="1:5" x14ac:dyDescent="0.25">
      <c r="A321" s="9" t="s">
        <v>17</v>
      </c>
      <c r="B321" s="1">
        <v>344337.74999999977</v>
      </c>
      <c r="C321" s="1">
        <v>2037713.9000000004</v>
      </c>
      <c r="D321" s="1">
        <v>177744.12</v>
      </c>
      <c r="E321" s="1">
        <v>2559795.769999994</v>
      </c>
    </row>
    <row r="322" spans="1:5" x14ac:dyDescent="0.25">
      <c r="A322" s="9" t="s">
        <v>138</v>
      </c>
      <c r="B322" s="1">
        <v>40290.010000000038</v>
      </c>
      <c r="C322" s="1">
        <v>491448.10999999987</v>
      </c>
      <c r="D322" s="1">
        <v>17295.589999999997</v>
      </c>
      <c r="E322" s="1">
        <v>549033.71000000183</v>
      </c>
    </row>
    <row r="323" spans="1:5" x14ac:dyDescent="0.25">
      <c r="A323" s="9" t="s">
        <v>61</v>
      </c>
      <c r="B323" s="1">
        <v>175087.30000000016</v>
      </c>
      <c r="C323" s="1">
        <v>799717.72000000067</v>
      </c>
      <c r="D323" s="1">
        <v>81957.489999999932</v>
      </c>
      <c r="E323" s="1">
        <v>1056762.5099999988</v>
      </c>
    </row>
    <row r="324" spans="1:5" x14ac:dyDescent="0.25">
      <c r="A324" s="9" t="s">
        <v>59</v>
      </c>
      <c r="B324" s="1">
        <v>162514.38</v>
      </c>
      <c r="C324" s="1">
        <v>1464401.0399999972</v>
      </c>
      <c r="D324" s="1">
        <v>193732.24</v>
      </c>
      <c r="E324" s="1">
        <v>1820647.6599999946</v>
      </c>
    </row>
    <row r="325" spans="1:5" x14ac:dyDescent="0.25">
      <c r="A325" s="9" t="s">
        <v>1182</v>
      </c>
      <c r="B325" s="1">
        <v>2552714.3300000019</v>
      </c>
      <c r="C325" s="1">
        <v>15088298.239999875</v>
      </c>
      <c r="D325" s="1">
        <v>1351415.1500000013</v>
      </c>
      <c r="E325" s="1">
        <v>18992427.719999984</v>
      </c>
    </row>
    <row r="329" spans="1:5" x14ac:dyDescent="0.25">
      <c r="A329" s="8" t="s">
        <v>1208</v>
      </c>
      <c r="B329" s="8" t="s">
        <v>1185</v>
      </c>
    </row>
    <row r="330" spans="1:5" x14ac:dyDescent="0.25">
      <c r="A330" s="8" t="s">
        <v>1181</v>
      </c>
      <c r="B330">
        <v>2019</v>
      </c>
      <c r="C330">
        <v>2020</v>
      </c>
      <c r="D330" t="s">
        <v>1182</v>
      </c>
    </row>
    <row r="331" spans="1:5" x14ac:dyDescent="0.25">
      <c r="A331" s="9" t="s">
        <v>14</v>
      </c>
      <c r="B331">
        <v>67</v>
      </c>
      <c r="C331">
        <v>75</v>
      </c>
      <c r="D331">
        <v>142</v>
      </c>
    </row>
    <row r="332" spans="1:5" x14ac:dyDescent="0.25">
      <c r="A332" s="9" t="s">
        <v>27</v>
      </c>
      <c r="B332">
        <v>385</v>
      </c>
      <c r="C332">
        <v>400</v>
      </c>
      <c r="D332">
        <v>785</v>
      </c>
    </row>
    <row r="333" spans="1:5" x14ac:dyDescent="0.25">
      <c r="A333" s="9" t="s">
        <v>37</v>
      </c>
      <c r="B333">
        <v>38</v>
      </c>
      <c r="C333">
        <v>35</v>
      </c>
      <c r="D333">
        <v>73</v>
      </c>
    </row>
    <row r="334" spans="1:5" x14ac:dyDescent="0.25">
      <c r="A334" s="9" t="s">
        <v>1182</v>
      </c>
      <c r="B334">
        <v>490</v>
      </c>
      <c r="C334">
        <v>510</v>
      </c>
      <c r="D334">
        <v>1000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D8E7-2D54-4AAA-9DB1-DD8BA84EFDA4}">
  <dimension ref="A1:P101"/>
  <sheetViews>
    <sheetView topLeftCell="A10" workbookViewId="0">
      <selection activeCell="C6" sqref="C6"/>
    </sheetView>
  </sheetViews>
  <sheetFormatPr defaultRowHeight="15" x14ac:dyDescent="0.25"/>
  <cols>
    <col min="1" max="1" width="17.42578125" customWidth="1"/>
    <col min="2" max="2" width="27.140625" customWidth="1"/>
    <col min="3" max="5" width="24.140625" bestFit="1" customWidth="1"/>
    <col min="6" max="7" width="12.7109375" bestFit="1" customWidth="1"/>
    <col min="8" max="8" width="12.42578125" bestFit="1" customWidth="1"/>
    <col min="11" max="11" width="16.140625" bestFit="1" customWidth="1"/>
    <col min="12" max="12" width="23.28515625" bestFit="1" customWidth="1"/>
    <col min="13" max="13" width="16.140625" bestFit="1" customWidth="1"/>
    <col min="14" max="14" width="23.28515625" bestFit="1" customWidth="1"/>
    <col min="15" max="16" width="11.5703125" bestFit="1" customWidth="1"/>
  </cols>
  <sheetData>
    <row r="1" spans="1:16" x14ac:dyDescent="0.25">
      <c r="A1" s="8" t="s">
        <v>1201</v>
      </c>
      <c r="B1" t="s">
        <v>1174</v>
      </c>
    </row>
    <row r="3" spans="1:16" x14ac:dyDescent="0.25">
      <c r="B3" s="8" t="s">
        <v>1192</v>
      </c>
      <c r="C3" s="8" t="s">
        <v>1226</v>
      </c>
      <c r="J3" t="s">
        <v>3</v>
      </c>
      <c r="K3" t="s">
        <v>1227</v>
      </c>
      <c r="L3" t="s">
        <v>1186</v>
      </c>
      <c r="M3" t="s">
        <v>1227</v>
      </c>
      <c r="N3" t="s">
        <v>1186</v>
      </c>
    </row>
    <row r="4" spans="1:16" x14ac:dyDescent="0.25">
      <c r="B4">
        <v>2019</v>
      </c>
      <c r="D4">
        <v>2020</v>
      </c>
      <c r="J4" t="s">
        <v>45</v>
      </c>
      <c r="K4">
        <v>16</v>
      </c>
      <c r="L4" s="1">
        <v>2232817.02</v>
      </c>
      <c r="M4">
        <v>19</v>
      </c>
      <c r="N4" s="1">
        <v>2471113.6800000006</v>
      </c>
      <c r="O4" s="44">
        <f>L4/K4</f>
        <v>139551.06375</v>
      </c>
      <c r="P4" s="44">
        <f>N4/M4</f>
        <v>130058.61473684214</v>
      </c>
    </row>
    <row r="5" spans="1:16" x14ac:dyDescent="0.25">
      <c r="A5" s="8" t="s">
        <v>3</v>
      </c>
      <c r="B5" t="s">
        <v>1186</v>
      </c>
      <c r="C5" t="s">
        <v>1232</v>
      </c>
      <c r="D5" t="s">
        <v>1186</v>
      </c>
      <c r="E5" t="s">
        <v>1232</v>
      </c>
      <c r="J5" t="s">
        <v>50</v>
      </c>
      <c r="K5">
        <v>62</v>
      </c>
      <c r="L5" s="1">
        <v>7112585.9900000012</v>
      </c>
      <c r="M5">
        <v>69</v>
      </c>
      <c r="N5" s="1">
        <v>8027082.7400000021</v>
      </c>
      <c r="O5" s="44">
        <f t="shared" ref="O5:O14" si="0">L5/K5</f>
        <v>114719.12887096776</v>
      </c>
      <c r="P5" s="44">
        <f t="shared" ref="P5:P14" si="1">N5/M5</f>
        <v>116334.53246376815</v>
      </c>
    </row>
    <row r="6" spans="1:16" x14ac:dyDescent="0.25">
      <c r="A6" t="s">
        <v>45</v>
      </c>
      <c r="B6" s="1">
        <v>448320.25</v>
      </c>
      <c r="C6">
        <v>361580.69999999995</v>
      </c>
      <c r="D6" s="1"/>
      <c r="J6" t="s">
        <v>29</v>
      </c>
      <c r="K6">
        <v>61</v>
      </c>
      <c r="L6" s="1">
        <v>7214529.8899999997</v>
      </c>
      <c r="M6">
        <v>54</v>
      </c>
      <c r="N6" s="1">
        <v>5354533.99</v>
      </c>
      <c r="O6" s="44">
        <f t="shared" si="0"/>
        <v>118270.98180327869</v>
      </c>
      <c r="P6" s="44">
        <f t="shared" si="1"/>
        <v>99158.036851851852</v>
      </c>
    </row>
    <row r="7" spans="1:16" x14ac:dyDescent="0.25">
      <c r="A7" t="s">
        <v>50</v>
      </c>
      <c r="B7" s="1">
        <v>1336283.7400000002</v>
      </c>
      <c r="C7">
        <v>1099808.46</v>
      </c>
      <c r="D7" s="1">
        <v>959641.12</v>
      </c>
      <c r="E7">
        <v>824432.42000000016</v>
      </c>
      <c r="J7" t="s">
        <v>10</v>
      </c>
      <c r="K7">
        <v>46</v>
      </c>
      <c r="L7" s="1">
        <v>5415804.5200000014</v>
      </c>
      <c r="M7">
        <v>71</v>
      </c>
      <c r="N7" s="1">
        <v>7764174.379999998</v>
      </c>
      <c r="O7" s="44">
        <f t="shared" si="0"/>
        <v>117734.88086956526</v>
      </c>
      <c r="P7" s="44">
        <f t="shared" si="1"/>
        <v>109354.56873239434</v>
      </c>
    </row>
    <row r="8" spans="1:16" x14ac:dyDescent="0.25">
      <c r="A8" t="s">
        <v>29</v>
      </c>
      <c r="B8" s="1">
        <v>661876.53</v>
      </c>
      <c r="C8">
        <v>562808.22</v>
      </c>
      <c r="D8" s="1">
        <v>527281.69999999995</v>
      </c>
      <c r="E8">
        <v>427730.49</v>
      </c>
      <c r="J8" t="s">
        <v>23</v>
      </c>
      <c r="K8">
        <v>85</v>
      </c>
      <c r="L8" s="1">
        <v>10194638.629999999</v>
      </c>
      <c r="M8">
        <v>70</v>
      </c>
      <c r="N8" s="1">
        <v>7467043.4999999991</v>
      </c>
      <c r="O8" s="44">
        <f t="shared" si="0"/>
        <v>119936.92505882352</v>
      </c>
      <c r="P8" s="44">
        <f t="shared" si="1"/>
        <v>106672.04999999999</v>
      </c>
    </row>
    <row r="9" spans="1:16" x14ac:dyDescent="0.25">
      <c r="A9" t="s">
        <v>10</v>
      </c>
      <c r="B9" s="1">
        <v>1222263</v>
      </c>
      <c r="C9">
        <v>988537.12</v>
      </c>
      <c r="D9" s="1">
        <v>752695.66999999993</v>
      </c>
      <c r="E9">
        <v>643012.71</v>
      </c>
      <c r="J9" t="s">
        <v>79</v>
      </c>
      <c r="K9">
        <v>68</v>
      </c>
      <c r="L9" s="1">
        <v>6858779.7400000012</v>
      </c>
      <c r="M9">
        <v>66</v>
      </c>
      <c r="N9" s="1">
        <v>7623297.879999999</v>
      </c>
      <c r="O9" s="44">
        <f t="shared" si="0"/>
        <v>100864.40794117648</v>
      </c>
      <c r="P9" s="44">
        <f t="shared" si="1"/>
        <v>115504.51333333332</v>
      </c>
    </row>
    <row r="10" spans="1:16" x14ac:dyDescent="0.25">
      <c r="A10" t="s">
        <v>23</v>
      </c>
      <c r="B10" s="1">
        <v>1527668.1300000001</v>
      </c>
      <c r="C10">
        <v>1288192.3799999999</v>
      </c>
      <c r="D10" s="1">
        <v>1050478.56</v>
      </c>
      <c r="E10">
        <v>878546.06</v>
      </c>
      <c r="J10" t="s">
        <v>17</v>
      </c>
      <c r="K10">
        <v>74</v>
      </c>
      <c r="L10" s="1">
        <v>8124122.4700000025</v>
      </c>
      <c r="M10">
        <v>65</v>
      </c>
      <c r="N10" s="1">
        <v>7197500.9799999995</v>
      </c>
      <c r="O10" s="44">
        <f t="shared" si="0"/>
        <v>109785.43878378381</v>
      </c>
      <c r="P10" s="44">
        <f t="shared" si="1"/>
        <v>110730.7843076923</v>
      </c>
    </row>
    <row r="11" spans="1:16" x14ac:dyDescent="0.25">
      <c r="A11" t="s">
        <v>79</v>
      </c>
      <c r="B11" s="1">
        <v>957346.47000000009</v>
      </c>
      <c r="C11">
        <v>794608.63</v>
      </c>
      <c r="D11" s="1">
        <v>700183.93</v>
      </c>
      <c r="E11">
        <v>583150.67000000004</v>
      </c>
      <c r="J11" t="s">
        <v>138</v>
      </c>
      <c r="K11">
        <v>10</v>
      </c>
      <c r="L11" s="1">
        <v>1201110.54</v>
      </c>
      <c r="M11">
        <v>19</v>
      </c>
      <c r="N11" s="1">
        <v>2061872.6600000001</v>
      </c>
      <c r="O11" s="44">
        <f t="shared" si="0"/>
        <v>120111.054</v>
      </c>
      <c r="P11" s="44">
        <f t="shared" si="1"/>
        <v>108519.61368421053</v>
      </c>
    </row>
    <row r="12" spans="1:16" x14ac:dyDescent="0.25">
      <c r="A12" t="s">
        <v>17</v>
      </c>
      <c r="B12" s="1">
        <v>705668.64</v>
      </c>
      <c r="C12">
        <v>577330.77</v>
      </c>
      <c r="D12" s="1">
        <v>197996.9</v>
      </c>
      <c r="E12">
        <v>165423.43</v>
      </c>
      <c r="J12" t="s">
        <v>61</v>
      </c>
      <c r="K12">
        <v>21</v>
      </c>
      <c r="L12" s="1">
        <v>2302350.8500000006</v>
      </c>
      <c r="M12">
        <v>29</v>
      </c>
      <c r="N12" s="1">
        <v>3636724.59</v>
      </c>
      <c r="O12" s="44">
        <f t="shared" si="0"/>
        <v>109635.75476190478</v>
      </c>
      <c r="P12" s="44">
        <f t="shared" si="1"/>
        <v>125404.29620689654</v>
      </c>
    </row>
    <row r="13" spans="1:16" x14ac:dyDescent="0.25">
      <c r="A13" t="s">
        <v>138</v>
      </c>
      <c r="B13" s="1">
        <v>383996.76</v>
      </c>
      <c r="C13">
        <v>304701.43</v>
      </c>
      <c r="D13" s="1">
        <v>290551.74</v>
      </c>
      <c r="E13">
        <v>239530.86</v>
      </c>
      <c r="J13" t="s">
        <v>59</v>
      </c>
      <c r="K13">
        <v>47</v>
      </c>
      <c r="L13" s="1">
        <v>5960784.7500000019</v>
      </c>
      <c r="M13">
        <v>48</v>
      </c>
      <c r="N13" s="1">
        <v>5140869.9100000011</v>
      </c>
      <c r="O13" s="44">
        <f t="shared" si="0"/>
        <v>126825.20744680855</v>
      </c>
      <c r="P13" s="44">
        <f t="shared" si="1"/>
        <v>107101.45645833336</v>
      </c>
    </row>
    <row r="14" spans="1:16" x14ac:dyDescent="0.25">
      <c r="A14" t="s">
        <v>61</v>
      </c>
      <c r="B14" s="1">
        <v>360846.08999999997</v>
      </c>
      <c r="C14">
        <v>290470.06</v>
      </c>
      <c r="D14" s="1">
        <v>583005.87</v>
      </c>
      <c r="E14">
        <v>473664.25</v>
      </c>
      <c r="J14" t="s">
        <v>1182</v>
      </c>
      <c r="K14">
        <v>490</v>
      </c>
      <c r="L14" s="1">
        <v>56617524.400000058</v>
      </c>
      <c r="M14">
        <v>510</v>
      </c>
      <c r="N14" s="1">
        <v>56744214.31000001</v>
      </c>
      <c r="O14" s="44">
        <f t="shared" si="0"/>
        <v>115545.96816326542</v>
      </c>
      <c r="P14" s="44">
        <f t="shared" si="1"/>
        <v>111263.16531372551</v>
      </c>
    </row>
    <row r="15" spans="1:16" x14ac:dyDescent="0.25">
      <c r="A15" t="s">
        <v>59</v>
      </c>
      <c r="B15" s="1">
        <v>1109506.42</v>
      </c>
      <c r="C15">
        <v>931064.70000000007</v>
      </c>
      <c r="D15" s="1">
        <v>822462.7699999999</v>
      </c>
      <c r="E15">
        <v>678011.15</v>
      </c>
    </row>
    <row r="16" spans="1:16" x14ac:dyDescent="0.25">
      <c r="A16" t="s">
        <v>1182</v>
      </c>
      <c r="B16" s="1">
        <v>8713776.0299999993</v>
      </c>
      <c r="C16">
        <v>7199102.4699999988</v>
      </c>
      <c r="D16" s="1">
        <v>5884298.2599999998</v>
      </c>
      <c r="E16">
        <v>4913502.040000001</v>
      </c>
    </row>
    <row r="18" spans="1:9" x14ac:dyDescent="0.25">
      <c r="A18" t="s">
        <v>3</v>
      </c>
      <c r="B18" t="s">
        <v>1186</v>
      </c>
      <c r="C18" t="s">
        <v>1186</v>
      </c>
      <c r="D18" t="s">
        <v>1227</v>
      </c>
    </row>
    <row r="19" spans="1:9" x14ac:dyDescent="0.25">
      <c r="A19" t="s">
        <v>45</v>
      </c>
      <c r="B19" s="1">
        <v>2232817.02</v>
      </c>
      <c r="C19" s="1">
        <v>2471113.6800000006</v>
      </c>
      <c r="D19" s="1">
        <f>C19-B19</f>
        <v>238296.66000000061</v>
      </c>
    </row>
    <row r="20" spans="1:9" x14ac:dyDescent="0.25">
      <c r="A20" t="s">
        <v>50</v>
      </c>
      <c r="B20" s="1">
        <v>7112585.9900000012</v>
      </c>
      <c r="C20" s="1">
        <v>8027082.7400000021</v>
      </c>
      <c r="D20" s="1">
        <f t="shared" ref="D20:D28" si="2">C20-B20</f>
        <v>914496.75000000093</v>
      </c>
    </row>
    <row r="21" spans="1:9" x14ac:dyDescent="0.25">
      <c r="A21" t="s">
        <v>29</v>
      </c>
      <c r="B21" s="1">
        <v>7214529.8899999997</v>
      </c>
      <c r="C21" s="1">
        <v>5354533.99</v>
      </c>
      <c r="D21" s="1">
        <f t="shared" si="2"/>
        <v>-1859995.8999999994</v>
      </c>
    </row>
    <row r="22" spans="1:9" x14ac:dyDescent="0.25">
      <c r="A22" t="s">
        <v>10</v>
      </c>
      <c r="B22" s="1">
        <v>5415804.5200000014</v>
      </c>
      <c r="C22" s="1">
        <v>7764174.379999998</v>
      </c>
      <c r="D22" s="1">
        <f t="shared" si="2"/>
        <v>2348369.8599999966</v>
      </c>
    </row>
    <row r="23" spans="1:9" x14ac:dyDescent="0.25">
      <c r="A23" t="s">
        <v>23</v>
      </c>
      <c r="B23" s="1">
        <v>10194638.629999999</v>
      </c>
      <c r="C23" s="1">
        <v>7467043.4999999991</v>
      </c>
      <c r="D23" s="1">
        <f t="shared" si="2"/>
        <v>-2727595.13</v>
      </c>
    </row>
    <row r="24" spans="1:9" x14ac:dyDescent="0.25">
      <c r="A24" t="s">
        <v>79</v>
      </c>
      <c r="B24" s="1">
        <v>6858779.7400000012</v>
      </c>
      <c r="C24" s="1">
        <v>7623297.879999999</v>
      </c>
      <c r="D24" s="1">
        <f t="shared" si="2"/>
        <v>764518.1399999978</v>
      </c>
    </row>
    <row r="25" spans="1:9" x14ac:dyDescent="0.25">
      <c r="A25" t="s">
        <v>17</v>
      </c>
      <c r="B25" s="1">
        <v>8124122.4700000025</v>
      </c>
      <c r="C25" s="1">
        <v>7197500.9799999995</v>
      </c>
      <c r="D25" s="1">
        <f t="shared" si="2"/>
        <v>-926621.49000000302</v>
      </c>
    </row>
    <row r="26" spans="1:9" x14ac:dyDescent="0.25">
      <c r="A26" t="s">
        <v>138</v>
      </c>
      <c r="B26" s="1">
        <v>1201110.54</v>
      </c>
      <c r="C26" s="1">
        <v>2061872.6600000001</v>
      </c>
      <c r="D26" s="1">
        <f t="shared" si="2"/>
        <v>860762.12000000011</v>
      </c>
      <c r="H26" s="46" t="s">
        <v>1183</v>
      </c>
      <c r="I26" s="46" t="s">
        <v>1184</v>
      </c>
    </row>
    <row r="27" spans="1:9" x14ac:dyDescent="0.25">
      <c r="A27" t="s">
        <v>61</v>
      </c>
      <c r="B27" s="1">
        <v>2302350.8500000006</v>
      </c>
      <c r="C27" s="1">
        <v>3636724.59</v>
      </c>
      <c r="D27" s="1">
        <f t="shared" si="2"/>
        <v>1334373.7399999993</v>
      </c>
      <c r="G27" t="s">
        <v>1228</v>
      </c>
      <c r="H27" s="45">
        <v>0.2</v>
      </c>
      <c r="I27" s="45">
        <v>0.28999999999999998</v>
      </c>
    </row>
    <row r="28" spans="1:9" x14ac:dyDescent="0.25">
      <c r="A28" t="s">
        <v>59</v>
      </c>
      <c r="B28" s="1">
        <v>5960784.7500000019</v>
      </c>
      <c r="C28" s="1">
        <v>5140869.9100000011</v>
      </c>
      <c r="D28" s="1">
        <f t="shared" si="2"/>
        <v>-819914.84000000078</v>
      </c>
      <c r="G28" t="s">
        <v>1229</v>
      </c>
      <c r="H28" s="45">
        <v>0.26</v>
      </c>
      <c r="I28" s="45">
        <v>0.2</v>
      </c>
    </row>
    <row r="29" spans="1:9" x14ac:dyDescent="0.25">
      <c r="A29" t="s">
        <v>1182</v>
      </c>
      <c r="B29" s="1">
        <v>56617524.400000058</v>
      </c>
      <c r="C29" s="1">
        <v>56744214.31000001</v>
      </c>
      <c r="D29" s="1"/>
      <c r="G29" t="s">
        <v>1230</v>
      </c>
      <c r="H29" s="25">
        <f>1-SUM(H27:H28)</f>
        <v>0.54</v>
      </c>
      <c r="I29" s="25">
        <f>1-SUM(I27:I28)</f>
        <v>0.51</v>
      </c>
    </row>
    <row r="33" spans="2:3" x14ac:dyDescent="0.25">
      <c r="B33" s="46" t="s">
        <v>1183</v>
      </c>
      <c r="C33" s="1">
        <v>56617524.400000058</v>
      </c>
    </row>
    <row r="34" spans="2:3" x14ac:dyDescent="0.25">
      <c r="B34" t="s">
        <v>45</v>
      </c>
      <c r="C34" s="1">
        <v>238296.66000000061</v>
      </c>
    </row>
    <row r="35" spans="2:3" x14ac:dyDescent="0.25">
      <c r="B35" t="s">
        <v>50</v>
      </c>
      <c r="C35" s="1">
        <v>914496.75000000093</v>
      </c>
    </row>
    <row r="36" spans="2:3" x14ac:dyDescent="0.25">
      <c r="B36" t="s">
        <v>29</v>
      </c>
      <c r="C36" s="1">
        <v>-1859995.8999999994</v>
      </c>
    </row>
    <row r="37" spans="2:3" x14ac:dyDescent="0.25">
      <c r="B37" t="s">
        <v>10</v>
      </c>
      <c r="C37" s="1">
        <v>2348369.8599999966</v>
      </c>
    </row>
    <row r="38" spans="2:3" x14ac:dyDescent="0.25">
      <c r="B38" t="s">
        <v>23</v>
      </c>
      <c r="C38" s="1">
        <v>-2727595.13</v>
      </c>
    </row>
    <row r="39" spans="2:3" x14ac:dyDescent="0.25">
      <c r="B39" t="s">
        <v>79</v>
      </c>
      <c r="C39" s="1">
        <v>764518.1399999978</v>
      </c>
    </row>
    <row r="40" spans="2:3" x14ac:dyDescent="0.25">
      <c r="B40" t="s">
        <v>17</v>
      </c>
      <c r="C40" s="1">
        <v>-926621.49000000302</v>
      </c>
    </row>
    <row r="41" spans="2:3" x14ac:dyDescent="0.25">
      <c r="B41" t="s">
        <v>138</v>
      </c>
      <c r="C41" s="1">
        <v>860762.12000000011</v>
      </c>
    </row>
    <row r="42" spans="2:3" x14ac:dyDescent="0.25">
      <c r="B42" t="s">
        <v>61</v>
      </c>
      <c r="C42" s="1">
        <v>1334373.7399999993</v>
      </c>
    </row>
    <row r="43" spans="2:3" x14ac:dyDescent="0.25">
      <c r="B43" t="s">
        <v>59</v>
      </c>
      <c r="C43" s="1">
        <v>-819914.84000000078</v>
      </c>
    </row>
    <row r="44" spans="2:3" x14ac:dyDescent="0.25">
      <c r="B44" s="46" t="s">
        <v>1184</v>
      </c>
      <c r="C44" s="1">
        <f>SUM(C33:C43)</f>
        <v>56744214.310000055</v>
      </c>
    </row>
    <row r="53" spans="1:8" x14ac:dyDescent="0.25">
      <c r="A53" s="8" t="s">
        <v>3</v>
      </c>
      <c r="B53" t="s">
        <v>29</v>
      </c>
    </row>
    <row r="55" spans="1:8" x14ac:dyDescent="0.25">
      <c r="A55" s="8" t="s">
        <v>1201</v>
      </c>
      <c r="B55" t="s">
        <v>1231</v>
      </c>
    </row>
    <row r="56" spans="1:8" x14ac:dyDescent="0.25">
      <c r="A56" t="s">
        <v>1163</v>
      </c>
      <c r="B56" s="47">
        <v>201990.39999999997</v>
      </c>
      <c r="E56" t="s">
        <v>1201</v>
      </c>
      <c r="F56">
        <v>2019</v>
      </c>
      <c r="G56">
        <v>2020</v>
      </c>
    </row>
    <row r="57" spans="1:8" x14ac:dyDescent="0.25">
      <c r="A57" t="s">
        <v>1164</v>
      </c>
      <c r="B57" s="47">
        <v>-114478.5</v>
      </c>
      <c r="E57" t="s">
        <v>1163</v>
      </c>
      <c r="F57" s="1">
        <v>1290915.98</v>
      </c>
      <c r="G57" s="1">
        <v>1352577.3699999999</v>
      </c>
      <c r="H57" s="1"/>
    </row>
    <row r="58" spans="1:8" x14ac:dyDescent="0.25">
      <c r="A58" t="s">
        <v>1165</v>
      </c>
      <c r="B58" s="47">
        <v>-45515.87999999999</v>
      </c>
      <c r="E58" t="s">
        <v>1164</v>
      </c>
      <c r="F58" s="1">
        <v>697527.63000000012</v>
      </c>
      <c r="G58" s="1">
        <v>451971.19</v>
      </c>
      <c r="H58" s="1"/>
    </row>
    <row r="59" spans="1:8" x14ac:dyDescent="0.25">
      <c r="A59" t="s">
        <v>1166</v>
      </c>
      <c r="B59" s="47">
        <v>348320.41</v>
      </c>
      <c r="E59" t="s">
        <v>1165</v>
      </c>
      <c r="F59" s="1">
        <v>849861.75</v>
      </c>
      <c r="G59" s="1">
        <v>727263.03</v>
      </c>
      <c r="H59" s="1"/>
    </row>
    <row r="60" spans="1:8" x14ac:dyDescent="0.25">
      <c r="A60" t="s">
        <v>1167</v>
      </c>
      <c r="B60" s="47">
        <v>17065.219999999987</v>
      </c>
      <c r="E60" t="s">
        <v>1166</v>
      </c>
      <c r="F60" s="1">
        <v>909778.79</v>
      </c>
      <c r="G60" s="1">
        <v>1703327.4200000002</v>
      </c>
      <c r="H60" s="1"/>
    </row>
    <row r="61" spans="1:8" x14ac:dyDescent="0.25">
      <c r="A61" t="s">
        <v>1168</v>
      </c>
      <c r="B61" s="48">
        <v>316123.28000000003</v>
      </c>
      <c r="E61" t="s">
        <v>1167</v>
      </c>
      <c r="F61" s="1">
        <v>1619787.4600000002</v>
      </c>
      <c r="G61" s="1">
        <v>1289713.8100000003</v>
      </c>
      <c r="H61" s="1"/>
    </row>
    <row r="62" spans="1:8" x14ac:dyDescent="0.25">
      <c r="A62" t="s">
        <v>1169</v>
      </c>
      <c r="B62" s="48">
        <v>-1267939.3599999999</v>
      </c>
      <c r="E62" t="s">
        <v>1168</v>
      </c>
      <c r="F62" s="1">
        <v>1503184.81</v>
      </c>
      <c r="G62" s="1">
        <v>1044896.08</v>
      </c>
      <c r="H62" s="1"/>
    </row>
    <row r="63" spans="1:8" x14ac:dyDescent="0.25">
      <c r="A63" t="s">
        <v>1170</v>
      </c>
      <c r="B63" s="47">
        <v>-491097.56000000006</v>
      </c>
      <c r="E63" t="s">
        <v>1169</v>
      </c>
      <c r="F63" s="1">
        <v>3413142.05</v>
      </c>
      <c r="G63" s="1">
        <v>1180975.75</v>
      </c>
      <c r="H63" s="1"/>
    </row>
    <row r="64" spans="1:8" x14ac:dyDescent="0.25">
      <c r="A64" t="s">
        <v>1171</v>
      </c>
      <c r="B64" s="47">
        <v>-281322.34999999998</v>
      </c>
      <c r="E64" t="s">
        <v>1170</v>
      </c>
      <c r="F64" s="1">
        <v>893352.09000000008</v>
      </c>
      <c r="G64" s="1">
        <v>799749.92999999993</v>
      </c>
      <c r="H64" s="1"/>
    </row>
    <row r="65" spans="1:8" x14ac:dyDescent="0.25">
      <c r="A65" t="s">
        <v>1172</v>
      </c>
      <c r="B65" s="47">
        <v>-371436.35999999993</v>
      </c>
      <c r="E65" t="s">
        <v>1171</v>
      </c>
      <c r="F65" s="1">
        <v>2007094.0999999999</v>
      </c>
      <c r="G65" s="1">
        <v>835973.11</v>
      </c>
      <c r="H65" s="1"/>
    </row>
    <row r="66" spans="1:8" x14ac:dyDescent="0.25">
      <c r="A66" t="s">
        <v>1173</v>
      </c>
      <c r="B66" s="47">
        <v>-37110.369999999981</v>
      </c>
      <c r="E66" t="s">
        <v>1172</v>
      </c>
      <c r="F66" s="1">
        <v>1128472.78</v>
      </c>
      <c r="G66" s="1">
        <v>649948.79999999993</v>
      </c>
      <c r="H66" s="1"/>
    </row>
    <row r="67" spans="1:8" x14ac:dyDescent="0.25">
      <c r="A67" t="s">
        <v>1174</v>
      </c>
      <c r="B67" s="47">
        <v>-134594.83000000002</v>
      </c>
      <c r="E67" t="s">
        <v>1173</v>
      </c>
      <c r="F67" s="1">
        <v>906506.41999999993</v>
      </c>
      <c r="G67" s="1">
        <v>1207420.74</v>
      </c>
      <c r="H67" s="1"/>
    </row>
    <row r="68" spans="1:8" x14ac:dyDescent="0.25">
      <c r="A68" t="s">
        <v>1182</v>
      </c>
      <c r="B68" s="47">
        <v>-1859995.8999999997</v>
      </c>
      <c r="E68" t="s">
        <v>1174</v>
      </c>
      <c r="F68" s="1">
        <v>2189544.66</v>
      </c>
      <c r="G68" s="1">
        <v>1577760.26</v>
      </c>
      <c r="H68" s="1"/>
    </row>
    <row r="69" spans="1:8" x14ac:dyDescent="0.25">
      <c r="E69" t="s">
        <v>1182</v>
      </c>
      <c r="F69" s="1">
        <v>17409168.519999996</v>
      </c>
      <c r="G69" s="1">
        <v>12821577.49</v>
      </c>
      <c r="H69" s="1"/>
    </row>
    <row r="88" spans="1:8" x14ac:dyDescent="0.25">
      <c r="B88" t="s">
        <v>1192</v>
      </c>
      <c r="C88" t="s">
        <v>1226</v>
      </c>
    </row>
    <row r="89" spans="1:8" x14ac:dyDescent="0.25">
      <c r="B89">
        <v>2019</v>
      </c>
      <c r="D89">
        <v>2020</v>
      </c>
    </row>
    <row r="90" spans="1:8" x14ac:dyDescent="0.25">
      <c r="A90" t="s">
        <v>3</v>
      </c>
      <c r="B90" t="s">
        <v>1186</v>
      </c>
      <c r="C90" t="s">
        <v>1232</v>
      </c>
      <c r="D90" t="s">
        <v>1186</v>
      </c>
      <c r="E90" t="s">
        <v>1232</v>
      </c>
    </row>
    <row r="91" spans="1:8" x14ac:dyDescent="0.25">
      <c r="A91" t="s">
        <v>45</v>
      </c>
      <c r="B91" s="1">
        <v>448320.25</v>
      </c>
      <c r="C91">
        <v>361580.69999999995</v>
      </c>
      <c r="D91" s="1"/>
      <c r="G91" s="49">
        <f>1-C91/B91</f>
        <v>0.19347676131069258</v>
      </c>
      <c r="H91" s="49" t="e">
        <f>1-E91/D91</f>
        <v>#DIV/0!</v>
      </c>
    </row>
    <row r="92" spans="1:8" x14ac:dyDescent="0.25">
      <c r="A92" t="s">
        <v>50</v>
      </c>
      <c r="B92" s="1">
        <v>1336283.7400000002</v>
      </c>
      <c r="C92">
        <v>1099808.46</v>
      </c>
      <c r="D92" s="1">
        <v>959641.12</v>
      </c>
      <c r="E92">
        <v>824432.42000000016</v>
      </c>
      <c r="G92" s="49">
        <f t="shared" ref="G92:G101" si="3">1-C92/B92</f>
        <v>0.17696487124807803</v>
      </c>
      <c r="H92" s="49">
        <f t="shared" ref="H92:H101" si="4">1-E92/D92</f>
        <v>0.14089506710591959</v>
      </c>
    </row>
    <row r="93" spans="1:8" x14ac:dyDescent="0.25">
      <c r="A93" t="s">
        <v>29</v>
      </c>
      <c r="B93" s="1">
        <v>661876.53</v>
      </c>
      <c r="C93">
        <v>562808.22</v>
      </c>
      <c r="D93" s="1">
        <v>527281.69999999995</v>
      </c>
      <c r="E93">
        <v>427730.49</v>
      </c>
      <c r="G93" s="49">
        <f t="shared" si="3"/>
        <v>0.14967793162268506</v>
      </c>
      <c r="H93" s="49">
        <f t="shared" si="4"/>
        <v>0.18880080609662719</v>
      </c>
    </row>
    <row r="94" spans="1:8" x14ac:dyDescent="0.25">
      <c r="A94" t="s">
        <v>10</v>
      </c>
      <c r="B94" s="1">
        <v>1222263</v>
      </c>
      <c r="C94">
        <v>988537.12</v>
      </c>
      <c r="D94" s="1">
        <v>752695.66999999993</v>
      </c>
      <c r="E94">
        <v>643012.71</v>
      </c>
      <c r="G94" s="49">
        <f t="shared" si="3"/>
        <v>0.19122388553036462</v>
      </c>
      <c r="H94" s="49">
        <f t="shared" si="4"/>
        <v>0.14572019525500923</v>
      </c>
    </row>
    <row r="95" spans="1:8" x14ac:dyDescent="0.25">
      <c r="A95" t="s">
        <v>23</v>
      </c>
      <c r="B95" s="1">
        <v>1527668.1300000001</v>
      </c>
      <c r="C95">
        <v>1288192.3799999999</v>
      </c>
      <c r="D95" s="1">
        <v>1050478.56</v>
      </c>
      <c r="E95">
        <v>878546.06</v>
      </c>
      <c r="G95" s="49">
        <f t="shared" si="3"/>
        <v>0.15675901414530402</v>
      </c>
      <c r="H95" s="49">
        <f t="shared" si="4"/>
        <v>0.16367064169305845</v>
      </c>
    </row>
    <row r="96" spans="1:8" x14ac:dyDescent="0.25">
      <c r="A96" t="s">
        <v>79</v>
      </c>
      <c r="B96" s="1">
        <v>957346.47000000009</v>
      </c>
      <c r="C96">
        <v>794608.63</v>
      </c>
      <c r="D96" s="1">
        <v>700183.93</v>
      </c>
      <c r="E96">
        <v>583150.67000000004</v>
      </c>
      <c r="G96" s="49">
        <f t="shared" si="3"/>
        <v>0.16998844733819307</v>
      </c>
      <c r="H96" s="49">
        <f t="shared" si="4"/>
        <v>0.16714645250427274</v>
      </c>
    </row>
    <row r="97" spans="1:8" x14ac:dyDescent="0.25">
      <c r="A97" t="s">
        <v>17</v>
      </c>
      <c r="B97" s="1">
        <v>705668.64</v>
      </c>
      <c r="C97">
        <v>577330.77</v>
      </c>
      <c r="D97" s="1">
        <v>197996.9</v>
      </c>
      <c r="E97">
        <v>165423.43</v>
      </c>
      <c r="G97" s="49">
        <f t="shared" si="3"/>
        <v>0.18186704456641289</v>
      </c>
      <c r="H97" s="49">
        <f t="shared" si="4"/>
        <v>0.16451505048816417</v>
      </c>
    </row>
    <row r="98" spans="1:8" x14ac:dyDescent="0.25">
      <c r="A98" t="s">
        <v>138</v>
      </c>
      <c r="B98" s="1">
        <v>383996.76</v>
      </c>
      <c r="C98">
        <v>304701.43</v>
      </c>
      <c r="D98" s="1">
        <v>290551.74</v>
      </c>
      <c r="E98">
        <v>239530.86</v>
      </c>
      <c r="G98" s="49">
        <f t="shared" si="3"/>
        <v>0.20649999755206272</v>
      </c>
      <c r="H98" s="49">
        <f t="shared" si="4"/>
        <v>0.17559998091906115</v>
      </c>
    </row>
    <row r="99" spans="1:8" x14ac:dyDescent="0.25">
      <c r="A99" t="s">
        <v>61</v>
      </c>
      <c r="B99" s="1">
        <v>360846.08999999997</v>
      </c>
      <c r="C99">
        <v>290470.06</v>
      </c>
      <c r="D99" s="1">
        <v>583005.87</v>
      </c>
      <c r="E99">
        <v>473664.25</v>
      </c>
      <c r="G99" s="49">
        <f t="shared" si="3"/>
        <v>0.19503060155092711</v>
      </c>
      <c r="H99" s="49">
        <f t="shared" si="4"/>
        <v>0.18754806019363068</v>
      </c>
    </row>
    <row r="100" spans="1:8" x14ac:dyDescent="0.25">
      <c r="A100" t="s">
        <v>59</v>
      </c>
      <c r="B100" s="1">
        <v>1109506.42</v>
      </c>
      <c r="C100">
        <v>931064.70000000007</v>
      </c>
      <c r="D100" s="1">
        <v>822462.7699999999</v>
      </c>
      <c r="E100">
        <v>678011.15</v>
      </c>
      <c r="G100" s="49">
        <f t="shared" si="3"/>
        <v>0.16082982196714091</v>
      </c>
      <c r="H100" s="49">
        <f t="shared" si="4"/>
        <v>0.17563301983869728</v>
      </c>
    </row>
    <row r="101" spans="1:8" x14ac:dyDescent="0.25">
      <c r="A101" t="s">
        <v>1182</v>
      </c>
      <c r="B101" s="1">
        <v>8713776.0299999993</v>
      </c>
      <c r="C101">
        <v>7199102.4699999988</v>
      </c>
      <c r="D101" s="1">
        <v>5884298.2599999998</v>
      </c>
      <c r="E101">
        <v>4913502.040000001</v>
      </c>
      <c r="G101" s="49">
        <f t="shared" si="3"/>
        <v>0.17382516543749182</v>
      </c>
      <c r="H101" s="49">
        <f t="shared" si="4"/>
        <v>0.1649807975573282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CD10-D6CF-4594-A1B4-9F64E0D2836E}">
  <dimension ref="A3:H79"/>
  <sheetViews>
    <sheetView workbookViewId="0">
      <selection activeCell="E38" sqref="E38"/>
    </sheetView>
  </sheetViews>
  <sheetFormatPr defaultRowHeight="15" x14ac:dyDescent="0.25"/>
  <cols>
    <col min="1" max="1" width="34.28515625" bestFit="1" customWidth="1"/>
    <col min="2" max="3" width="10.5703125" bestFit="1" customWidth="1"/>
    <col min="4" max="7" width="26.42578125" bestFit="1" customWidth="1"/>
    <col min="8" max="8" width="15" bestFit="1" customWidth="1"/>
    <col min="9" max="12" width="13.140625" bestFit="1" customWidth="1"/>
    <col min="13" max="14" width="11.28515625" bestFit="1" customWidth="1"/>
  </cols>
  <sheetData>
    <row r="3" spans="1:8" x14ac:dyDescent="0.25">
      <c r="A3" s="8" t="s">
        <v>1233</v>
      </c>
      <c r="B3" s="8" t="s">
        <v>1192</v>
      </c>
    </row>
    <row r="4" spans="1:8" x14ac:dyDescent="0.25">
      <c r="A4" s="8" t="s">
        <v>4</v>
      </c>
      <c r="B4">
        <v>2019</v>
      </c>
      <c r="C4">
        <v>2020</v>
      </c>
      <c r="D4" t="s">
        <v>1202</v>
      </c>
    </row>
    <row r="5" spans="1:8" x14ac:dyDescent="0.25">
      <c r="A5" t="s">
        <v>998</v>
      </c>
      <c r="B5" s="47">
        <v>41805.53</v>
      </c>
      <c r="C5" s="47">
        <v>149372.32</v>
      </c>
      <c r="D5" s="47">
        <f>C5-B5</f>
        <v>107566.79000000001</v>
      </c>
      <c r="E5" t="s">
        <v>1236</v>
      </c>
      <c r="G5" t="s">
        <v>1236</v>
      </c>
      <c r="H5" s="44">
        <f>SUMIFS(D:D,E:E,G5)</f>
        <v>11987392.359999999</v>
      </c>
    </row>
    <row r="6" spans="1:8" x14ac:dyDescent="0.25">
      <c r="A6" t="s">
        <v>159</v>
      </c>
      <c r="B6" s="47">
        <v>1247594.3599999999</v>
      </c>
      <c r="C6" s="47">
        <v>1276613.9800000002</v>
      </c>
      <c r="D6" s="47">
        <f t="shared" ref="D6:D69" si="0">C6-B6</f>
        <v>29019.620000000345</v>
      </c>
      <c r="E6" t="s">
        <v>1236</v>
      </c>
      <c r="G6" t="s">
        <v>1235</v>
      </c>
      <c r="H6" s="44">
        <f t="shared" ref="H6:H8" si="1">SUMIFS(D:D,E:E,G6)</f>
        <v>-12211712.290000005</v>
      </c>
    </row>
    <row r="7" spans="1:8" x14ac:dyDescent="0.25">
      <c r="A7" t="s">
        <v>96</v>
      </c>
      <c r="B7" s="47">
        <v>412995.68</v>
      </c>
      <c r="C7" s="47">
        <v>1645291.7899999998</v>
      </c>
      <c r="D7" s="47">
        <f t="shared" si="0"/>
        <v>1232296.1099999999</v>
      </c>
      <c r="E7" t="s">
        <v>1236</v>
      </c>
      <c r="G7" t="s">
        <v>1237</v>
      </c>
      <c r="H7" s="44">
        <f t="shared" si="1"/>
        <v>504092</v>
      </c>
    </row>
    <row r="8" spans="1:8" x14ac:dyDescent="0.25">
      <c r="A8" t="s">
        <v>179</v>
      </c>
      <c r="B8" s="47">
        <v>769774.07000000007</v>
      </c>
      <c r="C8" s="47">
        <v>584176.6</v>
      </c>
      <c r="D8" s="47">
        <f t="shared" si="0"/>
        <v>-185597.47000000009</v>
      </c>
      <c r="E8" t="s">
        <v>1235</v>
      </c>
      <c r="G8" t="s">
        <v>1234</v>
      </c>
      <c r="H8" s="44">
        <f t="shared" si="1"/>
        <v>-153082.16</v>
      </c>
    </row>
    <row r="9" spans="1:8" x14ac:dyDescent="0.25">
      <c r="A9" t="s">
        <v>466</v>
      </c>
      <c r="B9" s="47">
        <v>106142.65</v>
      </c>
      <c r="C9" s="47">
        <v>65397.279999999999</v>
      </c>
      <c r="D9" s="47">
        <f t="shared" si="0"/>
        <v>-40745.369999999995</v>
      </c>
      <c r="E9" t="s">
        <v>1235</v>
      </c>
    </row>
    <row r="10" spans="1:8" x14ac:dyDescent="0.25">
      <c r="A10" t="s">
        <v>157</v>
      </c>
      <c r="B10" s="47">
        <v>1409447.06</v>
      </c>
      <c r="C10" s="47">
        <v>538832.19000000006</v>
      </c>
      <c r="D10" s="47">
        <f t="shared" si="0"/>
        <v>-870614.87</v>
      </c>
      <c r="E10" t="s">
        <v>1235</v>
      </c>
    </row>
    <row r="11" spans="1:8" x14ac:dyDescent="0.25">
      <c r="A11" t="s">
        <v>394</v>
      </c>
      <c r="B11" s="47">
        <v>429417.27999999997</v>
      </c>
      <c r="C11" s="47">
        <v>201537.12</v>
      </c>
      <c r="D11" s="47">
        <f t="shared" si="0"/>
        <v>-227880.15999999997</v>
      </c>
      <c r="E11" t="s">
        <v>1235</v>
      </c>
    </row>
    <row r="12" spans="1:8" x14ac:dyDescent="0.25">
      <c r="A12" t="s">
        <v>109</v>
      </c>
      <c r="B12" s="47">
        <v>605245.71000000008</v>
      </c>
      <c r="C12" s="47">
        <v>721475.52</v>
      </c>
      <c r="D12" s="47">
        <f t="shared" si="0"/>
        <v>116229.80999999994</v>
      </c>
      <c r="E12" t="s">
        <v>1236</v>
      </c>
    </row>
    <row r="13" spans="1:8" x14ac:dyDescent="0.25">
      <c r="A13" t="s">
        <v>253</v>
      </c>
      <c r="B13" s="47">
        <v>1120009.6299999999</v>
      </c>
      <c r="C13" s="47">
        <v>736058.72</v>
      </c>
      <c r="D13" s="47">
        <f t="shared" si="0"/>
        <v>-383950.90999999992</v>
      </c>
      <c r="E13" t="s">
        <v>1235</v>
      </c>
    </row>
    <row r="14" spans="1:8" x14ac:dyDescent="0.25">
      <c r="A14" t="s">
        <v>120</v>
      </c>
      <c r="B14" s="47">
        <v>801090.8600000001</v>
      </c>
      <c r="C14" s="47">
        <v>1074305.4000000001</v>
      </c>
      <c r="D14" s="47">
        <f t="shared" si="0"/>
        <v>273214.54000000004</v>
      </c>
      <c r="E14" t="s">
        <v>1236</v>
      </c>
    </row>
    <row r="15" spans="1:8" x14ac:dyDescent="0.25">
      <c r="A15" t="s">
        <v>209</v>
      </c>
      <c r="B15" s="47">
        <v>1288115.3400000001</v>
      </c>
      <c r="C15" s="47">
        <v>1418614.9799999997</v>
      </c>
      <c r="D15" s="47">
        <f t="shared" si="0"/>
        <v>130499.63999999966</v>
      </c>
      <c r="E15" t="s">
        <v>1236</v>
      </c>
    </row>
    <row r="16" spans="1:8" x14ac:dyDescent="0.25">
      <c r="A16" t="s">
        <v>39</v>
      </c>
      <c r="B16" s="47">
        <v>618952.74000000011</v>
      </c>
      <c r="C16" s="47">
        <v>982696.22</v>
      </c>
      <c r="D16" s="47">
        <f t="shared" si="0"/>
        <v>363743.47999999986</v>
      </c>
      <c r="E16" t="s">
        <v>1236</v>
      </c>
    </row>
    <row r="17" spans="1:5" x14ac:dyDescent="0.25">
      <c r="A17" t="s">
        <v>145</v>
      </c>
      <c r="B17" s="47">
        <v>280939.26</v>
      </c>
      <c r="C17" s="47">
        <v>585351.25</v>
      </c>
      <c r="D17" s="47">
        <f t="shared" si="0"/>
        <v>304411.99</v>
      </c>
      <c r="E17" t="s">
        <v>1236</v>
      </c>
    </row>
    <row r="18" spans="1:5" x14ac:dyDescent="0.25">
      <c r="A18" t="s">
        <v>91</v>
      </c>
      <c r="B18" s="47">
        <v>471792.25</v>
      </c>
      <c r="C18" s="47">
        <v>404854.26</v>
      </c>
      <c r="D18" s="47">
        <f t="shared" si="0"/>
        <v>-66937.989999999991</v>
      </c>
      <c r="E18" t="s">
        <v>1235</v>
      </c>
    </row>
    <row r="19" spans="1:5" x14ac:dyDescent="0.25">
      <c r="A19" t="s">
        <v>367</v>
      </c>
      <c r="B19" s="47">
        <v>300951.26</v>
      </c>
      <c r="C19" s="47">
        <v>331837.25</v>
      </c>
      <c r="D19" s="47">
        <f t="shared" si="0"/>
        <v>30885.989999999991</v>
      </c>
      <c r="E19" t="s">
        <v>1236</v>
      </c>
    </row>
    <row r="20" spans="1:5" x14ac:dyDescent="0.25">
      <c r="A20" t="s">
        <v>113</v>
      </c>
      <c r="B20" s="47">
        <v>1103549.76</v>
      </c>
      <c r="C20" s="47">
        <v>992278.48</v>
      </c>
      <c r="D20" s="47">
        <f t="shared" si="0"/>
        <v>-111271.28000000003</v>
      </c>
      <c r="E20" t="s">
        <v>1235</v>
      </c>
    </row>
    <row r="21" spans="1:5" x14ac:dyDescent="0.25">
      <c r="A21" t="s">
        <v>53</v>
      </c>
      <c r="B21" s="47">
        <v>931967.9800000001</v>
      </c>
      <c r="C21" s="47">
        <v>1078356.77</v>
      </c>
      <c r="D21" s="47">
        <f t="shared" si="0"/>
        <v>146388.78999999992</v>
      </c>
      <c r="E21" t="s">
        <v>1236</v>
      </c>
    </row>
    <row r="22" spans="1:5" x14ac:dyDescent="0.25">
      <c r="A22" t="s">
        <v>445</v>
      </c>
      <c r="B22" s="47">
        <v>248261.86</v>
      </c>
      <c r="C22" s="47">
        <v>216025.89</v>
      </c>
      <c r="D22" s="47">
        <f t="shared" si="0"/>
        <v>-32235.969999999972</v>
      </c>
      <c r="E22" t="s">
        <v>1235</v>
      </c>
    </row>
    <row r="23" spans="1:5" x14ac:dyDescent="0.25">
      <c r="A23" t="s">
        <v>11</v>
      </c>
      <c r="B23" s="47">
        <v>384927.23</v>
      </c>
      <c r="C23" s="47">
        <v>523544.06000000006</v>
      </c>
      <c r="D23" s="47">
        <f t="shared" si="0"/>
        <v>138616.83000000007</v>
      </c>
      <c r="E23" t="s">
        <v>1236</v>
      </c>
    </row>
    <row r="24" spans="1:5" x14ac:dyDescent="0.25">
      <c r="A24" t="s">
        <v>671</v>
      </c>
      <c r="B24" s="47"/>
      <c r="C24" s="47">
        <v>33724.53</v>
      </c>
      <c r="D24" s="47">
        <f t="shared" si="0"/>
        <v>33724.53</v>
      </c>
      <c r="E24" t="s">
        <v>1237</v>
      </c>
    </row>
    <row r="25" spans="1:5" x14ac:dyDescent="0.25">
      <c r="A25" t="s">
        <v>134</v>
      </c>
      <c r="B25" s="47">
        <v>743651.32</v>
      </c>
      <c r="C25" s="47">
        <v>696628.95</v>
      </c>
      <c r="D25" s="47">
        <f t="shared" si="0"/>
        <v>-47022.369999999995</v>
      </c>
      <c r="E25" t="s">
        <v>1235</v>
      </c>
    </row>
    <row r="26" spans="1:5" x14ac:dyDescent="0.25">
      <c r="A26" t="s">
        <v>230</v>
      </c>
      <c r="B26" s="47">
        <v>40148.49</v>
      </c>
      <c r="C26" s="47">
        <v>420960.88999999996</v>
      </c>
      <c r="D26" s="47">
        <f t="shared" si="0"/>
        <v>380812.39999999997</v>
      </c>
      <c r="E26" t="s">
        <v>1236</v>
      </c>
    </row>
    <row r="27" spans="1:5" x14ac:dyDescent="0.25">
      <c r="A27" t="s">
        <v>433</v>
      </c>
      <c r="B27" s="47">
        <v>890011.39</v>
      </c>
      <c r="C27" s="47">
        <v>115840.76000000001</v>
      </c>
      <c r="D27" s="47">
        <f t="shared" si="0"/>
        <v>-774170.63</v>
      </c>
      <c r="E27" t="s">
        <v>1235</v>
      </c>
    </row>
    <row r="28" spans="1:5" x14ac:dyDescent="0.25">
      <c r="A28" t="s">
        <v>733</v>
      </c>
      <c r="B28" s="47">
        <v>234961.46</v>
      </c>
      <c r="C28" s="47">
        <v>207248.75999999998</v>
      </c>
      <c r="D28" s="47">
        <f t="shared" si="0"/>
        <v>-27712.700000000012</v>
      </c>
      <c r="E28" t="s">
        <v>1235</v>
      </c>
    </row>
    <row r="29" spans="1:5" x14ac:dyDescent="0.25">
      <c r="A29" t="s">
        <v>165</v>
      </c>
      <c r="B29" s="47">
        <v>913880.24000000011</v>
      </c>
      <c r="C29" s="47">
        <v>955056.87</v>
      </c>
      <c r="D29" s="47">
        <f t="shared" si="0"/>
        <v>41176.629999999888</v>
      </c>
      <c r="E29" t="s">
        <v>1236</v>
      </c>
    </row>
    <row r="30" spans="1:5" x14ac:dyDescent="0.25">
      <c r="A30" t="s">
        <v>46</v>
      </c>
      <c r="B30" s="47">
        <v>357211.70999999996</v>
      </c>
      <c r="C30" s="47">
        <v>714702.47</v>
      </c>
      <c r="D30" s="47">
        <f t="shared" si="0"/>
        <v>357490.76</v>
      </c>
      <c r="E30" t="s">
        <v>1236</v>
      </c>
    </row>
    <row r="31" spans="1:5" x14ac:dyDescent="0.25">
      <c r="A31" t="s">
        <v>30</v>
      </c>
      <c r="B31" s="47">
        <v>2207495.92</v>
      </c>
      <c r="C31" s="47">
        <v>4304567.96</v>
      </c>
      <c r="D31" s="47">
        <f t="shared" si="0"/>
        <v>2097072.04</v>
      </c>
      <c r="E31" t="s">
        <v>1236</v>
      </c>
    </row>
    <row r="32" spans="1:5" x14ac:dyDescent="0.25">
      <c r="A32" t="s">
        <v>18</v>
      </c>
      <c r="B32" s="47">
        <v>1033860.27</v>
      </c>
      <c r="C32" s="47">
        <v>796798.65999999992</v>
      </c>
      <c r="D32" s="47">
        <f t="shared" si="0"/>
        <v>-237061.6100000001</v>
      </c>
      <c r="E32" t="s">
        <v>1235</v>
      </c>
    </row>
    <row r="33" spans="1:5" x14ac:dyDescent="0.25">
      <c r="A33" t="s">
        <v>340</v>
      </c>
      <c r="B33" s="47">
        <v>188689.18</v>
      </c>
      <c r="C33" s="47">
        <v>322431.69999999995</v>
      </c>
      <c r="D33" s="47">
        <f t="shared" si="0"/>
        <v>133742.51999999996</v>
      </c>
      <c r="E33" t="s">
        <v>1236</v>
      </c>
    </row>
    <row r="34" spans="1:5" x14ac:dyDescent="0.25">
      <c r="A34" t="s">
        <v>93</v>
      </c>
      <c r="B34" s="47">
        <v>593747.15999999992</v>
      </c>
      <c r="C34" s="47">
        <v>494220.85</v>
      </c>
      <c r="D34" s="47">
        <f t="shared" si="0"/>
        <v>-99526.309999999939</v>
      </c>
      <c r="E34" t="s">
        <v>1235</v>
      </c>
    </row>
    <row r="35" spans="1:5" x14ac:dyDescent="0.25">
      <c r="A35" t="s">
        <v>34</v>
      </c>
      <c r="B35" s="47">
        <v>9344591.8400000036</v>
      </c>
      <c r="C35" s="47">
        <v>7015665.4799999977</v>
      </c>
      <c r="D35" s="47">
        <f t="shared" si="0"/>
        <v>-2328926.3600000059</v>
      </c>
      <c r="E35" t="s">
        <v>1235</v>
      </c>
    </row>
    <row r="36" spans="1:5" x14ac:dyDescent="0.25">
      <c r="A36" t="s">
        <v>115</v>
      </c>
      <c r="B36" s="47">
        <v>629989.65999999992</v>
      </c>
      <c r="C36" s="47">
        <v>759680.04</v>
      </c>
      <c r="D36" s="47">
        <f t="shared" si="0"/>
        <v>129690.38000000012</v>
      </c>
      <c r="E36" t="s">
        <v>1236</v>
      </c>
    </row>
    <row r="37" spans="1:5" x14ac:dyDescent="0.25">
      <c r="A37" t="s">
        <v>233</v>
      </c>
      <c r="B37" s="47">
        <v>1275462.29</v>
      </c>
      <c r="C37" s="47">
        <v>727796.59000000008</v>
      </c>
      <c r="D37" s="47">
        <f t="shared" si="0"/>
        <v>-547665.69999999995</v>
      </c>
      <c r="E37" t="s">
        <v>1235</v>
      </c>
    </row>
    <row r="38" spans="1:5" x14ac:dyDescent="0.25">
      <c r="A38" t="s">
        <v>111</v>
      </c>
      <c r="B38" s="47">
        <v>915857.62</v>
      </c>
      <c r="C38" s="47">
        <v>566999.27</v>
      </c>
      <c r="D38" s="47">
        <f t="shared" si="0"/>
        <v>-348858.35</v>
      </c>
      <c r="E38" t="s">
        <v>1235</v>
      </c>
    </row>
    <row r="39" spans="1:5" x14ac:dyDescent="0.25">
      <c r="A39" t="s">
        <v>310</v>
      </c>
      <c r="B39" s="47">
        <v>168848.84</v>
      </c>
      <c r="C39" s="47">
        <v>362064.68</v>
      </c>
      <c r="D39" s="47">
        <f t="shared" si="0"/>
        <v>193215.84</v>
      </c>
      <c r="E39" t="s">
        <v>1236</v>
      </c>
    </row>
    <row r="40" spans="1:5" x14ac:dyDescent="0.25">
      <c r="A40" t="s">
        <v>122</v>
      </c>
      <c r="B40" s="47">
        <v>1267643.1200000001</v>
      </c>
      <c r="C40" s="47">
        <v>897621.78999999992</v>
      </c>
      <c r="D40" s="47">
        <f t="shared" si="0"/>
        <v>-370021.33000000019</v>
      </c>
      <c r="E40" t="s">
        <v>1235</v>
      </c>
    </row>
    <row r="41" spans="1:5" x14ac:dyDescent="0.25">
      <c r="A41" t="s">
        <v>24</v>
      </c>
      <c r="B41" s="47">
        <v>1672742.4399999997</v>
      </c>
      <c r="C41" s="47">
        <v>893807.46</v>
      </c>
      <c r="D41" s="47">
        <f t="shared" si="0"/>
        <v>-778934.97999999975</v>
      </c>
      <c r="E41" t="s">
        <v>1235</v>
      </c>
    </row>
    <row r="42" spans="1:5" x14ac:dyDescent="0.25">
      <c r="A42" t="s">
        <v>167</v>
      </c>
      <c r="B42" s="47">
        <v>214060.65</v>
      </c>
      <c r="C42" s="47">
        <v>556210.76</v>
      </c>
      <c r="D42" s="47">
        <f t="shared" si="0"/>
        <v>342150.11</v>
      </c>
      <c r="E42" t="s">
        <v>1236</v>
      </c>
    </row>
    <row r="43" spans="1:5" x14ac:dyDescent="0.25">
      <c r="A43" t="s">
        <v>1080</v>
      </c>
      <c r="B43" s="47">
        <v>57115.99</v>
      </c>
      <c r="C43" s="47"/>
      <c r="D43" s="47">
        <f t="shared" si="0"/>
        <v>-57115.99</v>
      </c>
      <c r="E43" t="s">
        <v>1234</v>
      </c>
    </row>
    <row r="44" spans="1:5" x14ac:dyDescent="0.25">
      <c r="A44" t="s">
        <v>973</v>
      </c>
      <c r="B44" s="47">
        <v>95966.17</v>
      </c>
      <c r="C44" s="47"/>
      <c r="D44" s="47">
        <f t="shared" si="0"/>
        <v>-95966.17</v>
      </c>
      <c r="E44" t="s">
        <v>1234</v>
      </c>
    </row>
    <row r="45" spans="1:5" x14ac:dyDescent="0.25">
      <c r="A45" t="s">
        <v>202</v>
      </c>
      <c r="B45" s="47">
        <v>185183.58000000002</v>
      </c>
      <c r="C45" s="47">
        <v>442586.52</v>
      </c>
      <c r="D45" s="47">
        <f t="shared" si="0"/>
        <v>257402.94</v>
      </c>
      <c r="E45" t="s">
        <v>1236</v>
      </c>
    </row>
    <row r="46" spans="1:5" x14ac:dyDescent="0.25">
      <c r="A46" t="s">
        <v>264</v>
      </c>
      <c r="B46" s="47">
        <v>223549.31</v>
      </c>
      <c r="C46" s="47">
        <v>208157.79</v>
      </c>
      <c r="D46" s="47">
        <f t="shared" si="0"/>
        <v>-15391.51999999999</v>
      </c>
      <c r="E46" t="s">
        <v>1235</v>
      </c>
    </row>
    <row r="47" spans="1:5" x14ac:dyDescent="0.25">
      <c r="A47" t="s">
        <v>293</v>
      </c>
      <c r="B47" s="47">
        <v>91842.59</v>
      </c>
      <c r="C47" s="47">
        <v>104711.22</v>
      </c>
      <c r="D47" s="47">
        <f t="shared" si="0"/>
        <v>12868.630000000005</v>
      </c>
      <c r="E47" t="s">
        <v>1236</v>
      </c>
    </row>
    <row r="48" spans="1:5" x14ac:dyDescent="0.25">
      <c r="A48" t="s">
        <v>223</v>
      </c>
      <c r="B48" s="47">
        <v>638834.94999999995</v>
      </c>
      <c r="C48" s="47">
        <v>589170.05999999994</v>
      </c>
      <c r="D48" s="47">
        <f t="shared" si="0"/>
        <v>-49664.890000000014</v>
      </c>
      <c r="E48" t="s">
        <v>1235</v>
      </c>
    </row>
    <row r="49" spans="1:5" x14ac:dyDescent="0.25">
      <c r="A49" t="s">
        <v>147</v>
      </c>
      <c r="B49" s="47">
        <v>433475.01000000007</v>
      </c>
      <c r="C49" s="47">
        <v>750555.35000000009</v>
      </c>
      <c r="D49" s="47">
        <f t="shared" si="0"/>
        <v>317080.34000000003</v>
      </c>
      <c r="E49" t="s">
        <v>1236</v>
      </c>
    </row>
    <row r="50" spans="1:5" x14ac:dyDescent="0.25">
      <c r="A50" t="s">
        <v>181</v>
      </c>
      <c r="B50" s="47">
        <v>1119072.33</v>
      </c>
      <c r="C50" s="47">
        <v>781252.66</v>
      </c>
      <c r="D50" s="47">
        <f t="shared" si="0"/>
        <v>-337819.67000000004</v>
      </c>
      <c r="E50" t="s">
        <v>1235</v>
      </c>
    </row>
    <row r="51" spans="1:5" x14ac:dyDescent="0.25">
      <c r="A51" t="s">
        <v>281</v>
      </c>
      <c r="B51" s="47">
        <v>230619.19</v>
      </c>
      <c r="C51" s="47">
        <v>474820.79000000004</v>
      </c>
      <c r="D51" s="47">
        <f t="shared" si="0"/>
        <v>244201.60000000003</v>
      </c>
      <c r="E51" t="s">
        <v>1236</v>
      </c>
    </row>
    <row r="52" spans="1:5" x14ac:dyDescent="0.25">
      <c r="A52" t="s">
        <v>101</v>
      </c>
      <c r="B52" s="47">
        <v>983068.66</v>
      </c>
      <c r="C52" s="47">
        <v>955175.47</v>
      </c>
      <c r="D52" s="47">
        <f t="shared" si="0"/>
        <v>-27893.190000000061</v>
      </c>
      <c r="E52" t="s">
        <v>1235</v>
      </c>
    </row>
    <row r="53" spans="1:5" x14ac:dyDescent="0.25">
      <c r="A53" t="s">
        <v>184</v>
      </c>
      <c r="B53" s="47">
        <v>997811.47000000009</v>
      </c>
      <c r="C53" s="47">
        <v>671072.79999999993</v>
      </c>
      <c r="D53" s="47">
        <f t="shared" si="0"/>
        <v>-326738.67000000016</v>
      </c>
      <c r="E53" t="s">
        <v>1235</v>
      </c>
    </row>
    <row r="54" spans="1:5" x14ac:dyDescent="0.25">
      <c r="A54" t="s">
        <v>332</v>
      </c>
      <c r="B54" s="47">
        <v>116157.89</v>
      </c>
      <c r="C54" s="47">
        <v>120332.26</v>
      </c>
      <c r="D54" s="47">
        <f t="shared" si="0"/>
        <v>4174.3699999999953</v>
      </c>
      <c r="E54" t="s">
        <v>1236</v>
      </c>
    </row>
    <row r="55" spans="1:5" x14ac:dyDescent="0.25">
      <c r="A55" t="s">
        <v>204</v>
      </c>
      <c r="B55" s="47">
        <v>37073.910000000003</v>
      </c>
      <c r="C55" s="47">
        <v>102255.86</v>
      </c>
      <c r="D55" s="47">
        <f t="shared" si="0"/>
        <v>65181.95</v>
      </c>
      <c r="E55" t="s">
        <v>1236</v>
      </c>
    </row>
    <row r="56" spans="1:5" x14ac:dyDescent="0.25">
      <c r="A56" t="s">
        <v>88</v>
      </c>
      <c r="B56" s="47">
        <v>645874.68999999994</v>
      </c>
      <c r="C56" s="47">
        <v>1780833.7100000004</v>
      </c>
      <c r="D56" s="47">
        <f t="shared" si="0"/>
        <v>1134959.0200000005</v>
      </c>
      <c r="E56" t="s">
        <v>1236</v>
      </c>
    </row>
    <row r="57" spans="1:5" x14ac:dyDescent="0.25">
      <c r="A57" t="s">
        <v>301</v>
      </c>
      <c r="B57" s="47">
        <v>606599.76</v>
      </c>
      <c r="C57" s="47">
        <v>1053742.3800000001</v>
      </c>
      <c r="D57" s="47">
        <f t="shared" si="0"/>
        <v>447142.62000000011</v>
      </c>
      <c r="E57" t="s">
        <v>1236</v>
      </c>
    </row>
    <row r="58" spans="1:5" x14ac:dyDescent="0.25">
      <c r="A58" t="s">
        <v>70</v>
      </c>
      <c r="B58" s="47">
        <v>1146265.81</v>
      </c>
      <c r="C58" s="47">
        <v>1166259.1299999999</v>
      </c>
      <c r="D58" s="47">
        <f t="shared" si="0"/>
        <v>19993.319999999832</v>
      </c>
      <c r="E58" t="s">
        <v>1236</v>
      </c>
    </row>
    <row r="59" spans="1:5" x14ac:dyDescent="0.25">
      <c r="A59" t="s">
        <v>131</v>
      </c>
      <c r="B59" s="47">
        <v>556279.26</v>
      </c>
      <c r="C59" s="47">
        <v>938876.12999999989</v>
      </c>
      <c r="D59" s="47">
        <f t="shared" si="0"/>
        <v>382596.86999999988</v>
      </c>
      <c r="E59" t="s">
        <v>1236</v>
      </c>
    </row>
    <row r="60" spans="1:5" x14ac:dyDescent="0.25">
      <c r="A60" t="s">
        <v>42</v>
      </c>
      <c r="B60" s="47">
        <v>416579.95</v>
      </c>
      <c r="C60" s="47">
        <v>417250.22000000009</v>
      </c>
      <c r="D60" s="47">
        <f t="shared" si="0"/>
        <v>670.27000000007683</v>
      </c>
      <c r="E60" t="s">
        <v>1236</v>
      </c>
    </row>
    <row r="61" spans="1:5" x14ac:dyDescent="0.25">
      <c r="A61" t="s">
        <v>236</v>
      </c>
      <c r="B61" s="47">
        <v>1513486.01</v>
      </c>
      <c r="C61" s="47">
        <v>503885.14</v>
      </c>
      <c r="D61" s="47">
        <f t="shared" si="0"/>
        <v>-1009600.87</v>
      </c>
      <c r="E61" t="s">
        <v>1235</v>
      </c>
    </row>
    <row r="62" spans="1:5" x14ac:dyDescent="0.25">
      <c r="A62" t="s">
        <v>706</v>
      </c>
      <c r="B62" s="47">
        <v>404804.96</v>
      </c>
      <c r="C62" s="47">
        <v>45463.65</v>
      </c>
      <c r="D62" s="47">
        <f t="shared" si="0"/>
        <v>-359341.31</v>
      </c>
      <c r="E62" t="s">
        <v>1235</v>
      </c>
    </row>
    <row r="63" spans="1:5" x14ac:dyDescent="0.25">
      <c r="A63" t="s">
        <v>200</v>
      </c>
      <c r="B63" s="47">
        <v>246814.87</v>
      </c>
      <c r="C63" s="47">
        <v>333949.95999999996</v>
      </c>
      <c r="D63" s="47">
        <f t="shared" si="0"/>
        <v>87135.089999999967</v>
      </c>
      <c r="E63" t="s">
        <v>1236</v>
      </c>
    </row>
    <row r="64" spans="1:5" x14ac:dyDescent="0.25">
      <c r="A64" t="s">
        <v>173</v>
      </c>
      <c r="B64" s="47">
        <v>1504634.72</v>
      </c>
      <c r="C64" s="47">
        <v>305537.64999999997</v>
      </c>
      <c r="D64" s="47">
        <f t="shared" si="0"/>
        <v>-1199097.07</v>
      </c>
      <c r="E64" t="s">
        <v>1235</v>
      </c>
    </row>
    <row r="65" spans="1:5" x14ac:dyDescent="0.25">
      <c r="A65" t="s">
        <v>149</v>
      </c>
      <c r="B65" s="47">
        <v>630914.98</v>
      </c>
      <c r="C65" s="47">
        <v>960916.26</v>
      </c>
      <c r="D65" s="47">
        <f t="shared" si="0"/>
        <v>330001.28000000003</v>
      </c>
      <c r="E65" t="s">
        <v>1236</v>
      </c>
    </row>
    <row r="66" spans="1:5" x14ac:dyDescent="0.25">
      <c r="A66" t="s">
        <v>77</v>
      </c>
      <c r="B66" s="47">
        <v>307047.33</v>
      </c>
      <c r="C66" s="47">
        <v>213409.95</v>
      </c>
      <c r="D66" s="47">
        <f t="shared" si="0"/>
        <v>-93637.38</v>
      </c>
      <c r="E66" t="s">
        <v>1235</v>
      </c>
    </row>
    <row r="67" spans="1:5" x14ac:dyDescent="0.25">
      <c r="A67" t="s">
        <v>647</v>
      </c>
      <c r="B67" s="47">
        <v>292844.27</v>
      </c>
      <c r="C67" s="47">
        <v>120831.28</v>
      </c>
      <c r="D67" s="47">
        <f t="shared" si="0"/>
        <v>-172012.99000000002</v>
      </c>
      <c r="E67" t="s">
        <v>1235</v>
      </c>
    </row>
    <row r="68" spans="1:5" x14ac:dyDescent="0.25">
      <c r="A68" t="s">
        <v>326</v>
      </c>
      <c r="B68" s="47">
        <v>350305.38</v>
      </c>
      <c r="C68" s="47">
        <v>681145.77999999991</v>
      </c>
      <c r="D68" s="47">
        <f t="shared" si="0"/>
        <v>330840.39999999991</v>
      </c>
      <c r="E68" t="s">
        <v>1236</v>
      </c>
    </row>
    <row r="69" spans="1:5" x14ac:dyDescent="0.25">
      <c r="A69" t="s">
        <v>379</v>
      </c>
      <c r="B69" s="47"/>
      <c r="C69" s="47">
        <v>470367.47</v>
      </c>
      <c r="D69" s="47">
        <f t="shared" si="0"/>
        <v>470367.47</v>
      </c>
      <c r="E69" t="s">
        <v>1237</v>
      </c>
    </row>
    <row r="70" spans="1:5" x14ac:dyDescent="0.25">
      <c r="A70" t="s">
        <v>57</v>
      </c>
      <c r="B70" s="47">
        <v>1344370.26</v>
      </c>
      <c r="C70" s="47">
        <v>1161764.3</v>
      </c>
      <c r="D70" s="47">
        <f t="shared" ref="D70:D79" si="2">C70-B70</f>
        <v>-182605.95999999996</v>
      </c>
      <c r="E70" t="s">
        <v>1235</v>
      </c>
    </row>
    <row r="71" spans="1:5" x14ac:dyDescent="0.25">
      <c r="A71" t="s">
        <v>67</v>
      </c>
      <c r="B71" s="47">
        <v>973963.74999999977</v>
      </c>
      <c r="C71" s="47">
        <v>1105340.9799999997</v>
      </c>
      <c r="D71" s="47">
        <f t="shared" si="2"/>
        <v>131377.22999999998</v>
      </c>
      <c r="E71" t="s">
        <v>1236</v>
      </c>
    </row>
    <row r="72" spans="1:5" x14ac:dyDescent="0.25">
      <c r="A72" t="s">
        <v>290</v>
      </c>
      <c r="B72" s="47">
        <v>256388.08</v>
      </c>
      <c r="C72" s="47">
        <v>591379.28</v>
      </c>
      <c r="D72" s="47">
        <f t="shared" si="2"/>
        <v>334991.20000000007</v>
      </c>
      <c r="E72" t="s">
        <v>1236</v>
      </c>
    </row>
    <row r="73" spans="1:5" x14ac:dyDescent="0.25">
      <c r="A73" t="s">
        <v>154</v>
      </c>
      <c r="B73" s="47">
        <v>1042057.0699999998</v>
      </c>
      <c r="C73" s="47">
        <v>1118240.8999999999</v>
      </c>
      <c r="D73" s="47">
        <f t="shared" si="2"/>
        <v>76183.830000000075</v>
      </c>
      <c r="E73" t="s">
        <v>1236</v>
      </c>
    </row>
    <row r="74" spans="1:5" x14ac:dyDescent="0.25">
      <c r="A74" t="s">
        <v>187</v>
      </c>
      <c r="B74" s="47">
        <v>613014.48</v>
      </c>
      <c r="C74" s="47">
        <v>919432</v>
      </c>
      <c r="D74" s="47">
        <f t="shared" si="2"/>
        <v>306417.52</v>
      </c>
      <c r="E74" t="s">
        <v>1236</v>
      </c>
    </row>
    <row r="75" spans="1:5" x14ac:dyDescent="0.25">
      <c r="A75" t="s">
        <v>63</v>
      </c>
      <c r="B75" s="47">
        <v>1388973.8800000001</v>
      </c>
      <c r="C75" s="47">
        <v>888740.54999999993</v>
      </c>
      <c r="D75" s="47">
        <f t="shared" si="2"/>
        <v>-500233.33000000019</v>
      </c>
      <c r="E75" t="s">
        <v>1235</v>
      </c>
    </row>
    <row r="76" spans="1:5" x14ac:dyDescent="0.25">
      <c r="A76" t="s">
        <v>125</v>
      </c>
      <c r="B76" s="47">
        <v>776399.41999999993</v>
      </c>
      <c r="C76" s="47">
        <v>534752.46</v>
      </c>
      <c r="D76" s="47">
        <f t="shared" si="2"/>
        <v>-241646.95999999996</v>
      </c>
      <c r="E76" t="s">
        <v>1235</v>
      </c>
    </row>
    <row r="77" spans="1:5" x14ac:dyDescent="0.25">
      <c r="A77" t="s">
        <v>152</v>
      </c>
      <c r="B77" s="47">
        <v>545278.46</v>
      </c>
      <c r="C77" s="47">
        <v>328384.34000000003</v>
      </c>
      <c r="D77" s="47">
        <f t="shared" si="2"/>
        <v>-216894.11999999994</v>
      </c>
      <c r="E77" t="s">
        <v>1235</v>
      </c>
    </row>
    <row r="78" spans="1:5" x14ac:dyDescent="0.25">
      <c r="A78" t="s">
        <v>605</v>
      </c>
      <c r="B78" s="47">
        <v>160608.19</v>
      </c>
      <c r="C78" s="47">
        <v>352543.11</v>
      </c>
      <c r="D78" s="47">
        <f t="shared" si="2"/>
        <v>191934.91999999998</v>
      </c>
      <c r="E78" t="s">
        <v>1236</v>
      </c>
    </row>
    <row r="79" spans="1:5" x14ac:dyDescent="0.25">
      <c r="A79" t="s">
        <v>177</v>
      </c>
      <c r="B79" s="47">
        <v>418413.66000000003</v>
      </c>
      <c r="C79" s="47">
        <v>1182428.3499999999</v>
      </c>
      <c r="D79" s="47">
        <f t="shared" si="2"/>
        <v>764014.68999999983</v>
      </c>
      <c r="E79" t="s">
        <v>1236</v>
      </c>
    </row>
  </sheetData>
  <autoFilter ref="A4:N411" xr:uid="{8F0DCD10-D6CF-4594-A1B4-9F64E0D283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</vt:lpstr>
      <vt:lpstr>data_describe</vt:lpstr>
      <vt:lpstr>month_lookup</vt:lpstr>
      <vt:lpstr>01_pt_sale_by_month</vt:lpstr>
      <vt:lpstr>02_pivot_table_calculated_field</vt:lpstr>
      <vt:lpstr>03_pivot_table_show_value_as</vt:lpstr>
      <vt:lpstr>04_tb_sumif</vt:lpstr>
      <vt:lpstr>05_sumproduct</vt:lpstr>
      <vt:lpstr>06_chart_01</vt:lpstr>
      <vt:lpstr>07_what_data_says</vt:lpstr>
      <vt:lpstr>Sheet5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T. Pham</dc:creator>
  <cp:lastModifiedBy>Phat Pham</cp:lastModifiedBy>
  <cp:lastPrinted>2026-05-22T16:29:21Z</cp:lastPrinted>
  <dcterms:created xsi:type="dcterms:W3CDTF">2026-05-21T07:57:35Z</dcterms:created>
  <dcterms:modified xsi:type="dcterms:W3CDTF">2026-05-26T12:11:13Z</dcterms:modified>
</cp:coreProperties>
</file>