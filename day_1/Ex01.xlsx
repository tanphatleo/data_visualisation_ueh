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projects\datat_visualisation\day_1\"/>
    </mc:Choice>
  </mc:AlternateContent>
  <xr:revisionPtr revIDLastSave="0" documentId="13_ncr:9_{C14EAACB-D240-4F8F-84A1-EAFE79A3F789}" xr6:coauthVersionLast="47" xr6:coauthVersionMax="47" xr10:uidLastSave="{00000000-0000-0000-0000-000000000000}"/>
  <bookViews>
    <workbookView xWindow="-120" yWindow="-120" windowWidth="38640" windowHeight="21120" activeTab="2" xr2:uid="{804C0EAA-4695-474D-B688-28D6C671B3ED}"/>
  </bookViews>
  <sheets>
    <sheet name="data" sheetId="1" r:id="rId1"/>
    <sheet name="table_report" sheetId="3" r:id="rId2"/>
    <sheet name="fig_1_monthly_sale" sheetId="2" r:id="rId3"/>
  </sheets>
  <calcPr calcId="0"/>
</workbook>
</file>

<file path=xl/calcChain.xml><?xml version="1.0" encoding="utf-8"?>
<calcChain xmlns="http://schemas.openxmlformats.org/spreadsheetml/2006/main">
  <c r="C13" i="2" l="1" a="1"/>
  <c r="B13" i="2" a="1"/>
  <c r="C12" i="2" a="1"/>
  <c r="B12" i="2" a="1"/>
  <c r="C11" i="2" a="1"/>
  <c r="B11" i="2" a="1"/>
  <c r="C10" i="2" a="1"/>
  <c r="B10" i="2" a="1"/>
  <c r="C9" i="2" a="1"/>
  <c r="B9" i="2" a="1"/>
  <c r="C8" i="2" a="1"/>
  <c r="B8" i="2" a="1"/>
  <c r="C7" i="2" a="1"/>
  <c r="B7" i="2" a="1"/>
  <c r="C6" i="2" a="1"/>
  <c r="B6" i="2" a="1"/>
  <c r="C5" i="2" a="1"/>
  <c r="B5" i="2" a="1"/>
  <c r="C4" i="2" a="1"/>
  <c r="B4" i="2" a="1"/>
  <c r="C3" i="2" a="1"/>
  <c r="B3" i="2" a="1"/>
  <c r="C2" i="2" a="1"/>
  <c r="B2" i="2" a="1"/>
  <c r="C13" i="2" l="1"/>
  <c r="B13" i="2"/>
  <c r="C12" i="2"/>
  <c r="B12" i="2"/>
  <c r="C11" i="2"/>
  <c r="B11" i="2"/>
  <c r="C10" i="2"/>
  <c r="B10" i="2"/>
  <c r="C9" i="2"/>
  <c r="B9" i="2"/>
  <c r="C8" i="2"/>
  <c r="B8" i="2"/>
  <c r="C7" i="2"/>
  <c r="B7" i="2"/>
  <c r="C6" i="2"/>
  <c r="B6" i="2"/>
  <c r="C5" i="2"/>
  <c r="B5" i="2"/>
  <c r="C4" i="2"/>
  <c r="B4" i="2"/>
  <c r="C3" i="2"/>
  <c r="B3" i="2"/>
  <c r="C2" i="2"/>
  <c r="B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<sst xmlns="http://schemas.openxmlformats.org/spreadsheetml/2006/main" count="7042" uniqueCount="1182">
  <si>
    <t>country</t>
  </si>
  <si>
    <t xml:space="preserve"> order_value_EUR </t>
  </si>
  <si>
    <t xml:space="preserve"> cost </t>
  </si>
  <si>
    <t>date</t>
  </si>
  <si>
    <t>category</t>
  </si>
  <si>
    <t>customer_name</t>
  </si>
  <si>
    <t>sales_manager</t>
  </si>
  <si>
    <t>sales_rep</t>
  </si>
  <si>
    <t>device_type</t>
  </si>
  <si>
    <t>order_id</t>
  </si>
  <si>
    <t>Sweden</t>
  </si>
  <si>
    <t>Books</t>
  </si>
  <si>
    <t>Goldner-Dibbert</t>
  </si>
  <si>
    <t>Maxie Marrow</t>
  </si>
  <si>
    <t>Madelon Bront</t>
  </si>
  <si>
    <t>Mobile</t>
  </si>
  <si>
    <t>70-0511466</t>
  </si>
  <si>
    <t>Finland</t>
  </si>
  <si>
    <t>Games</t>
  </si>
  <si>
    <t>Hilll-Vandervort</t>
  </si>
  <si>
    <t>Hube Corey</t>
  </si>
  <si>
    <t>Wat Bowkley</t>
  </si>
  <si>
    <t>28-6585323</t>
  </si>
  <si>
    <t>Portugal</t>
  </si>
  <si>
    <t>Clothing</t>
  </si>
  <si>
    <t>Larkin-Collier</t>
  </si>
  <si>
    <t>Celine Tumasian</t>
  </si>
  <si>
    <t>Smitty Culverhouse</t>
  </si>
  <si>
    <t>PC</t>
  </si>
  <si>
    <t>58-7703341</t>
  </si>
  <si>
    <t>Beauty</t>
  </si>
  <si>
    <t>Hessel-Stiedemann</t>
  </si>
  <si>
    <t>Aurelie Wren</t>
  </si>
  <si>
    <t>14-6700183</t>
  </si>
  <si>
    <t>Spain</t>
  </si>
  <si>
    <t>Johns and Sons</t>
  </si>
  <si>
    <t>Emalia Dinse</t>
  </si>
  <si>
    <t>Bertha Walbrook</t>
  </si>
  <si>
    <t>Tablet</t>
  </si>
  <si>
    <t>15-8765160</t>
  </si>
  <si>
    <t>Farrell, Swaniawski and Crist</t>
  </si>
  <si>
    <t>Perri Aldersley</t>
  </si>
  <si>
    <t>60-6998932</t>
  </si>
  <si>
    <t>Schoen-Keeling</t>
  </si>
  <si>
    <t>69-6259390</t>
  </si>
  <si>
    <t>UK</t>
  </si>
  <si>
    <t>Accessories</t>
  </si>
  <si>
    <t>Hermiston, Simonis and Wisoky</t>
  </si>
  <si>
    <t>Jessamine Apark</t>
  </si>
  <si>
    <t>Winny Agnolo</t>
  </si>
  <si>
    <t>64-5761908</t>
  </si>
  <si>
    <t>Appliances</t>
  </si>
  <si>
    <t>91-4126746</t>
  </si>
  <si>
    <t>France</t>
  </si>
  <si>
    <t>Gislason-Stanton</t>
  </si>
  <si>
    <t>Othello Bowes</t>
  </si>
  <si>
    <t>Maighdiln Upcraft</t>
  </si>
  <si>
    <t>62-3312495</t>
  </si>
  <si>
    <t>Swaniawski, Runolfsson and Green</t>
  </si>
  <si>
    <t>85-6625096</t>
  </si>
  <si>
    <t>Smartphones</t>
  </si>
  <si>
    <t>25-6368157</t>
  </si>
  <si>
    <t>Outdoors</t>
  </si>
  <si>
    <t>15-3943365</t>
  </si>
  <si>
    <t>Wisoky Inc</t>
  </si>
  <si>
    <t>32-3534634</t>
  </si>
  <si>
    <t>Genevra Charrisson</t>
  </si>
  <si>
    <t>02-3972649</t>
  </si>
  <si>
    <t>Tillman and Sons</t>
  </si>
  <si>
    <t>Anita Woakes</t>
  </si>
  <si>
    <t>08-7576451</t>
  </si>
  <si>
    <t>Rowe, Hermiston and Kessler</t>
  </si>
  <si>
    <t>Amelina Piscopiello</t>
  </si>
  <si>
    <t>68-3583935</t>
  </si>
  <si>
    <t>Jay Morefield</t>
  </si>
  <si>
    <t>53-7769693</t>
  </si>
  <si>
    <t>Corene Shirer</t>
  </si>
  <si>
    <t>85-4732103</t>
  </si>
  <si>
    <t>Stamm Inc</t>
  </si>
  <si>
    <t>27-9800293</t>
  </si>
  <si>
    <t>Electronics</t>
  </si>
  <si>
    <t>67-3929836</t>
  </si>
  <si>
    <t>Alyosha Meah</t>
  </si>
  <si>
    <t>13-0526029</t>
  </si>
  <si>
    <t>Netherlands</t>
  </si>
  <si>
    <t>Denice Amberg</t>
  </si>
  <si>
    <t>Nero Harbisher</t>
  </si>
  <si>
    <t>38-5910704</t>
  </si>
  <si>
    <t>41-6407014</t>
  </si>
  <si>
    <t>Romaguera-Dietrich</t>
  </si>
  <si>
    <t>Hortense Gerring</t>
  </si>
  <si>
    <t>22-6745595</t>
  </si>
  <si>
    <t>Franecki-White</t>
  </si>
  <si>
    <t>96-3022721</t>
  </si>
  <si>
    <t>Jacobson, Marvin and Brown</t>
  </si>
  <si>
    <t>48-0713329</t>
  </si>
  <si>
    <t>Belgium</t>
  </si>
  <si>
    <t>Armstrong-Little</t>
  </si>
  <si>
    <t>Lambert Norheny</t>
  </si>
  <si>
    <t>Collin Mackness</t>
  </si>
  <si>
    <t>50-0942872</t>
  </si>
  <si>
    <t>Bulgaria</t>
  </si>
  <si>
    <t>Murray, Reichel and Nolan</t>
  </si>
  <si>
    <t>Charil Alpe</t>
  </si>
  <si>
    <t>Shermy McGready</t>
  </si>
  <si>
    <t>78-2307905</t>
  </si>
  <si>
    <t>Luxembourg</t>
  </si>
  <si>
    <t>Ilsa Kob</t>
  </si>
  <si>
    <t>Jocelyn Laurentino</t>
  </si>
  <si>
    <t>63-0019978</t>
  </si>
  <si>
    <t>Considine-Fisher</t>
  </si>
  <si>
    <t>26-9948924</t>
  </si>
  <si>
    <t>Kirlin and Sons</t>
  </si>
  <si>
    <t>72-7630507</t>
  </si>
  <si>
    <t>Friesen-Rath</t>
  </si>
  <si>
    <t>36-3410564</t>
  </si>
  <si>
    <t>Keeling, Monahan and Pollich</t>
  </si>
  <si>
    <t>82-4653018</t>
  </si>
  <si>
    <t>Caro Morfield</t>
  </si>
  <si>
    <t>29-1001593</t>
  </si>
  <si>
    <t>59-5568557</t>
  </si>
  <si>
    <t>Dibbert Inc</t>
  </si>
  <si>
    <t>12-1249283</t>
  </si>
  <si>
    <t>Labadie and Sons</t>
  </si>
  <si>
    <t>96-0180648</t>
  </si>
  <si>
    <t>51-9029547</t>
  </si>
  <si>
    <t>Wiza and Sons</t>
  </si>
  <si>
    <t>84-2614836</t>
  </si>
  <si>
    <t>Crysta Halls</t>
  </si>
  <si>
    <t>57-6995715</t>
  </si>
  <si>
    <t>27-4115444</t>
  </si>
  <si>
    <t>34-3302340</t>
  </si>
  <si>
    <t>Schmitt, Purdy and Johnson</t>
  </si>
  <si>
    <t>Ora Grennan</t>
  </si>
  <si>
    <t>25-6638623</t>
  </si>
  <si>
    <t>Hamill, Kulas and Roob</t>
  </si>
  <si>
    <t>11-5260310</t>
  </si>
  <si>
    <t>68-5024232</t>
  </si>
  <si>
    <t>Italy</t>
  </si>
  <si>
    <t>Other</t>
  </si>
  <si>
    <t>Piggy Roscrigg</t>
  </si>
  <si>
    <t>Joshua Prevost</t>
  </si>
  <si>
    <t>90-2530115</t>
  </si>
  <si>
    <t>23-8271333</t>
  </si>
  <si>
    <t>Avrit Chanders</t>
  </si>
  <si>
    <t>99-7422044</t>
  </si>
  <si>
    <t>Fisher, Morar and Skiles</t>
  </si>
  <si>
    <t>67-6692861</t>
  </si>
  <si>
    <t>McGlynn-Bergstrom</t>
  </si>
  <si>
    <t>20-3441688</t>
  </si>
  <si>
    <t>Spencer, Rogahn and Muller</t>
  </si>
  <si>
    <t>80-8230605</t>
  </si>
  <si>
    <t>18-0704377</t>
  </si>
  <si>
    <t>Wunsch LLC</t>
  </si>
  <si>
    <t>47-5524071</t>
  </si>
  <si>
    <t>Walter LLC</t>
  </si>
  <si>
    <t>76-2572347</t>
  </si>
  <si>
    <t>74-4429133</t>
  </si>
  <si>
    <t>Christiansen, Donnelly and Bechtelar</t>
  </si>
  <si>
    <t>69-1300467</t>
  </si>
  <si>
    <t>Altenwerth-Konopelski</t>
  </si>
  <si>
    <t>99-8643527</t>
  </si>
  <si>
    <t>Bernadine Fullagar</t>
  </si>
  <si>
    <t>14-1143584</t>
  </si>
  <si>
    <t>62-4331197</t>
  </si>
  <si>
    <t>02-3333733</t>
  </si>
  <si>
    <t>Hegmann Group</t>
  </si>
  <si>
    <t>09-3959499</t>
  </si>
  <si>
    <t>Leffler, Prohaska and Streich</t>
  </si>
  <si>
    <t>55-7848276</t>
  </si>
  <si>
    <t>Tarrah Castelletti</t>
  </si>
  <si>
    <t>98-1814878</t>
  </si>
  <si>
    <t>83-9569509</t>
  </si>
  <si>
    <t>Ireland</t>
  </si>
  <si>
    <t>Smith Group</t>
  </si>
  <si>
    <t>Glenine Suttaby</t>
  </si>
  <si>
    <t>Bunnie Tonbridge</t>
  </si>
  <si>
    <t>44-1953194</t>
  </si>
  <si>
    <t>Zieme, Bailey and Herzog</t>
  </si>
  <si>
    <t>50-0376562</t>
  </si>
  <si>
    <t>Bashirian, Okuneva and Bechtelar</t>
  </si>
  <si>
    <t>06-9596696</t>
  </si>
  <si>
    <t>McGlynn-Prosacco</t>
  </si>
  <si>
    <t>46-2632808</t>
  </si>
  <si>
    <t>77-7771177</t>
  </si>
  <si>
    <t>O'Connell-Mitchell</t>
  </si>
  <si>
    <t>13-0624842</t>
  </si>
  <si>
    <t>71-4409662</t>
  </si>
  <si>
    <t>West-Cummings</t>
  </si>
  <si>
    <t>46-0270404</t>
  </si>
  <si>
    <t>70-7107956</t>
  </si>
  <si>
    <t>84-5310661</t>
  </si>
  <si>
    <t>75-6638402</t>
  </si>
  <si>
    <t>53-0615558</t>
  </si>
  <si>
    <t>00-2549549</t>
  </si>
  <si>
    <t>23-1397222</t>
  </si>
  <si>
    <t>00-4698524</t>
  </si>
  <si>
    <t>76-3837496</t>
  </si>
  <si>
    <t>61-7979087</t>
  </si>
  <si>
    <t>52-8377955</t>
  </si>
  <si>
    <t>87-6162387</t>
  </si>
  <si>
    <t>Shanahan, Schaden and Parker</t>
  </si>
  <si>
    <t>11-8965256</t>
  </si>
  <si>
    <t>Lubowitz, McLaughlin and Erdman</t>
  </si>
  <si>
    <t>16-9079414</t>
  </si>
  <si>
    <t>Rath-Schroeder</t>
  </si>
  <si>
    <t>15-9091881</t>
  </si>
  <si>
    <t>07-3222085</t>
  </si>
  <si>
    <t>20-3384992</t>
  </si>
  <si>
    <t>09-3404706</t>
  </si>
  <si>
    <t>Dickinson, Hyatt and Berge</t>
  </si>
  <si>
    <t>97-8712680</t>
  </si>
  <si>
    <t>Palm Wetherald</t>
  </si>
  <si>
    <t>43-4245267</t>
  </si>
  <si>
    <t>58-8969119</t>
  </si>
  <si>
    <t>Germany</t>
  </si>
  <si>
    <t>Rickard Doogood</t>
  </si>
  <si>
    <t>Casie MacBain</t>
  </si>
  <si>
    <t>88-8436664</t>
  </si>
  <si>
    <t>Brynn Dempster</t>
  </si>
  <si>
    <t>35-6825112</t>
  </si>
  <si>
    <t>24-4511396</t>
  </si>
  <si>
    <t>99-0564964</t>
  </si>
  <si>
    <t>47-9920494</t>
  </si>
  <si>
    <t>McClure Inc</t>
  </si>
  <si>
    <t>82-9352154</t>
  </si>
  <si>
    <t>74-6920956</t>
  </si>
  <si>
    <t>16-8778373</t>
  </si>
  <si>
    <t>85-4014655</t>
  </si>
  <si>
    <t>25-2355172</t>
  </si>
  <si>
    <t>31-7667796</t>
  </si>
  <si>
    <t>Hane Inc</t>
  </si>
  <si>
    <t>39-2536155</t>
  </si>
  <si>
    <t>30-8840089</t>
  </si>
  <si>
    <t>Kihn Inc</t>
  </si>
  <si>
    <t>93-8309926</t>
  </si>
  <si>
    <t>42-7823733</t>
  </si>
  <si>
    <t>Schowalter, Lesch and Beahan</t>
  </si>
  <si>
    <t>03-9337803</t>
  </si>
  <si>
    <t>42-1879788</t>
  </si>
  <si>
    <t>42-8394841</t>
  </si>
  <si>
    <t>84-5642889</t>
  </si>
  <si>
    <t>92-7234550</t>
  </si>
  <si>
    <t>98-5721101</t>
  </si>
  <si>
    <t>32-9344186</t>
  </si>
  <si>
    <t>40-7356336</t>
  </si>
  <si>
    <t>94-1762263</t>
  </si>
  <si>
    <t>26-5649751</t>
  </si>
  <si>
    <t>88-5343320</t>
  </si>
  <si>
    <t>09-6527060</t>
  </si>
  <si>
    <t>85-3431441</t>
  </si>
  <si>
    <t>78-3301264</t>
  </si>
  <si>
    <t>02-9523107</t>
  </si>
  <si>
    <t>19-9205287</t>
  </si>
  <si>
    <t>Corwin and Sons</t>
  </si>
  <si>
    <t>94-1199389</t>
  </si>
  <si>
    <t>88-4621939</t>
  </si>
  <si>
    <t>68-9634139</t>
  </si>
  <si>
    <t>44-5200140</t>
  </si>
  <si>
    <t>98-6247105</t>
  </si>
  <si>
    <t>24-6566439</t>
  </si>
  <si>
    <t>52-9152387</t>
  </si>
  <si>
    <t>26-9787272</t>
  </si>
  <si>
    <t>12-2202467</t>
  </si>
  <si>
    <t>82-0537890</t>
  </si>
  <si>
    <t>Lueilwitz, Kerluke and Lesch</t>
  </si>
  <si>
    <t>15-6838362</t>
  </si>
  <si>
    <t>51-0685379</t>
  </si>
  <si>
    <t>76-5919033</t>
  </si>
  <si>
    <t>34-7627348</t>
  </si>
  <si>
    <t>32-1940437</t>
  </si>
  <si>
    <t>25-9913528</t>
  </si>
  <si>
    <t>73-3464233</t>
  </si>
  <si>
    <t>04-2863062</t>
  </si>
  <si>
    <t>18-7077174</t>
  </si>
  <si>
    <t>64-8300193</t>
  </si>
  <si>
    <t>84-2858993</t>
  </si>
  <si>
    <t>72-2647440</t>
  </si>
  <si>
    <t>68-1806238</t>
  </si>
  <si>
    <t>87-0922827</t>
  </si>
  <si>
    <t>33-8547717</t>
  </si>
  <si>
    <t>15-5051694</t>
  </si>
  <si>
    <t>Morissette Group</t>
  </si>
  <si>
    <t>37-2363680</t>
  </si>
  <si>
    <t>92-4106004</t>
  </si>
  <si>
    <t>39-1671087</t>
  </si>
  <si>
    <t>77-9240051</t>
  </si>
  <si>
    <t>79-8966057</t>
  </si>
  <si>
    <t>75-0683725</t>
  </si>
  <si>
    <t>55-5032186</t>
  </si>
  <si>
    <t>31-8836719</t>
  </si>
  <si>
    <t>Tromp LLC</t>
  </si>
  <si>
    <t>64-4923214</t>
  </si>
  <si>
    <t>98-2574776</t>
  </si>
  <si>
    <t>Marquardt-Kuvalis</t>
  </si>
  <si>
    <t>33-0729966</t>
  </si>
  <si>
    <t>07-3201531</t>
  </si>
  <si>
    <t>21-3278349</t>
  </si>
  <si>
    <t>50-1695443</t>
  </si>
  <si>
    <t>52-3693331</t>
  </si>
  <si>
    <t>98-3033030</t>
  </si>
  <si>
    <t>34-5793997</t>
  </si>
  <si>
    <t>Romaguera-Haley</t>
  </si>
  <si>
    <t>52-7280101</t>
  </si>
  <si>
    <t>55-3118263</t>
  </si>
  <si>
    <t>58-9822844</t>
  </si>
  <si>
    <t>51-5324396</t>
  </si>
  <si>
    <t>99-5465830</t>
  </si>
  <si>
    <t>01-8696189</t>
  </si>
  <si>
    <t>20-7636879</t>
  </si>
  <si>
    <t>85-8092784</t>
  </si>
  <si>
    <t>Konopelski LLC</t>
  </si>
  <si>
    <t>97-5905883</t>
  </si>
  <si>
    <t>74-6473826</t>
  </si>
  <si>
    <t>91-0416047</t>
  </si>
  <si>
    <t>34-0232219</t>
  </si>
  <si>
    <t>34-0783331</t>
  </si>
  <si>
    <t>30-8215510</t>
  </si>
  <si>
    <t>95-3196761</t>
  </si>
  <si>
    <t>99-3651863</t>
  </si>
  <si>
    <t>94-8641337</t>
  </si>
  <si>
    <t>36-2694099</t>
  </si>
  <si>
    <t>40-5308505</t>
  </si>
  <si>
    <t>68-8279682</t>
  </si>
  <si>
    <t>50-2481520</t>
  </si>
  <si>
    <t>46-1054213</t>
  </si>
  <si>
    <t>40-9497268</t>
  </si>
  <si>
    <t>Stehr LLC</t>
  </si>
  <si>
    <t>54-5107115</t>
  </si>
  <si>
    <t>15-7053450</t>
  </si>
  <si>
    <t>36-2012010</t>
  </si>
  <si>
    <t>61-7521706</t>
  </si>
  <si>
    <t>17-0893784</t>
  </si>
  <si>
    <t>Parisian, Steuber and Satterfield</t>
  </si>
  <si>
    <t>23-5766200</t>
  </si>
  <si>
    <t>24-3140242</t>
  </si>
  <si>
    <t>81-0573181</t>
  </si>
  <si>
    <t>13-1936536</t>
  </si>
  <si>
    <t>94-8026718</t>
  </si>
  <si>
    <t>81-5976459</t>
  </si>
  <si>
    <t>28-6038070</t>
  </si>
  <si>
    <t>Homenick-Marvin</t>
  </si>
  <si>
    <t>81-7970957</t>
  </si>
  <si>
    <t>60-8646184</t>
  </si>
  <si>
    <t>32-2114915</t>
  </si>
  <si>
    <t>58-7865136</t>
  </si>
  <si>
    <t>Denmark</t>
  </si>
  <si>
    <t>Modestia Byfford</t>
  </si>
  <si>
    <t>Case Desorts</t>
  </si>
  <si>
    <t>98-9112505</t>
  </si>
  <si>
    <t>03-0455038</t>
  </si>
  <si>
    <t>71-0122842</t>
  </si>
  <si>
    <t>55-1395838</t>
  </si>
  <si>
    <t>Mellicent Mattys</t>
  </si>
  <si>
    <t>95-7886861</t>
  </si>
  <si>
    <t>19-3013452</t>
  </si>
  <si>
    <t>54-5082146</t>
  </si>
  <si>
    <t>69-4462108</t>
  </si>
  <si>
    <t>68-3731565</t>
  </si>
  <si>
    <t>82-2972108</t>
  </si>
  <si>
    <t>15-2503493</t>
  </si>
  <si>
    <t>37-0857161</t>
  </si>
  <si>
    <t>71-2709641</t>
  </si>
  <si>
    <t>10-5899580</t>
  </si>
  <si>
    <t>10-9241948</t>
  </si>
  <si>
    <t>68-0080728</t>
  </si>
  <si>
    <t>47-0640313</t>
  </si>
  <si>
    <t>37-6597365</t>
  </si>
  <si>
    <t>Friesen and Sons</t>
  </si>
  <si>
    <t>13-0833129</t>
  </si>
  <si>
    <t>15-2994585</t>
  </si>
  <si>
    <t>85-7784608</t>
  </si>
  <si>
    <t>22-3969127</t>
  </si>
  <si>
    <t>80-2242820</t>
  </si>
  <si>
    <t>35-1705563</t>
  </si>
  <si>
    <t>93-9941140</t>
  </si>
  <si>
    <t>36-2366573</t>
  </si>
  <si>
    <t>10-9932801</t>
  </si>
  <si>
    <t>70-8991739</t>
  </si>
  <si>
    <t>97-4830372</t>
  </si>
  <si>
    <t>Stehr-Bogan</t>
  </si>
  <si>
    <t>95-8015610</t>
  </si>
  <si>
    <t>84-1062113</t>
  </si>
  <si>
    <t>05-5082715</t>
  </si>
  <si>
    <t>35-6942653</t>
  </si>
  <si>
    <t>79-6623911</t>
  </si>
  <si>
    <t>48-7662634</t>
  </si>
  <si>
    <t>46-5888587</t>
  </si>
  <si>
    <t>17-3178991</t>
  </si>
  <si>
    <t>18-8528486</t>
  </si>
  <si>
    <t>55-4588115</t>
  </si>
  <si>
    <t>19-9073616</t>
  </si>
  <si>
    <t>96-0020600</t>
  </si>
  <si>
    <t>88-7664123</t>
  </si>
  <si>
    <t>17-8884817</t>
  </si>
  <si>
    <t>Connelly-Mohr</t>
  </si>
  <si>
    <t>45-5509135</t>
  </si>
  <si>
    <t>81-4176165</t>
  </si>
  <si>
    <t>24-9702599</t>
  </si>
  <si>
    <t>24-4272786</t>
  </si>
  <si>
    <t>77-3656041</t>
  </si>
  <si>
    <t>47-7207206</t>
  </si>
  <si>
    <t>65-2022928</t>
  </si>
  <si>
    <t>16-5837761</t>
  </si>
  <si>
    <t>80-7090422</t>
  </si>
  <si>
    <t>66-8222460</t>
  </si>
  <si>
    <t>44-0527427</t>
  </si>
  <si>
    <t>75-9517276</t>
  </si>
  <si>
    <t>Austria</t>
  </si>
  <si>
    <t>Orsa Geekin</t>
  </si>
  <si>
    <t>Bank Coumbe</t>
  </si>
  <si>
    <t>24-2403756</t>
  </si>
  <si>
    <t>50-1986322</t>
  </si>
  <si>
    <t>75-9585763</t>
  </si>
  <si>
    <t>86-6760202</t>
  </si>
  <si>
    <t>66-7717800</t>
  </si>
  <si>
    <t>89-8942175</t>
  </si>
  <si>
    <t>38-0584273</t>
  </si>
  <si>
    <t>38-8840357</t>
  </si>
  <si>
    <t>82-4495901</t>
  </si>
  <si>
    <t>81-2373308</t>
  </si>
  <si>
    <t>15-0224516</t>
  </si>
  <si>
    <t>95-6935153</t>
  </si>
  <si>
    <t>60-8661261</t>
  </si>
  <si>
    <t>56-2783503</t>
  </si>
  <si>
    <t>Manuel Goudie</t>
  </si>
  <si>
    <t>95-1516475</t>
  </si>
  <si>
    <t>32-5562588</t>
  </si>
  <si>
    <t>70-7769332</t>
  </si>
  <si>
    <t>07-6200800</t>
  </si>
  <si>
    <t>11-2988171</t>
  </si>
  <si>
    <t>38-3894304</t>
  </si>
  <si>
    <t>33-6126082</t>
  </si>
  <si>
    <t>25-4970452</t>
  </si>
  <si>
    <t>Hartmann, Hane and Pfannerstill</t>
  </si>
  <si>
    <t>34-8903845</t>
  </si>
  <si>
    <t>32-2110689</t>
  </si>
  <si>
    <t>37-8204282</t>
  </si>
  <si>
    <t>46-1318487</t>
  </si>
  <si>
    <t>99-3971751</t>
  </si>
  <si>
    <t>24-7985425</t>
  </si>
  <si>
    <t>30-9690927</t>
  </si>
  <si>
    <t>37-5025811</t>
  </si>
  <si>
    <t>21-6670877</t>
  </si>
  <si>
    <t>34-3119010</t>
  </si>
  <si>
    <t>54-7503816</t>
  </si>
  <si>
    <t>Gleichner-Green</t>
  </si>
  <si>
    <t>96-1698894</t>
  </si>
  <si>
    <t>92-0523700</t>
  </si>
  <si>
    <t>15-3657248</t>
  </si>
  <si>
    <t>16-3423161</t>
  </si>
  <si>
    <t>67-2684209</t>
  </si>
  <si>
    <t>21-7344983</t>
  </si>
  <si>
    <t>47-9701762</t>
  </si>
  <si>
    <t>86-3876359</t>
  </si>
  <si>
    <t>34-4313860</t>
  </si>
  <si>
    <t>71-4782689</t>
  </si>
  <si>
    <t>85-3690127</t>
  </si>
  <si>
    <t>66-5810051</t>
  </si>
  <si>
    <t>81-9170157</t>
  </si>
  <si>
    <t>24-7300640</t>
  </si>
  <si>
    <t>97-1288901</t>
  </si>
  <si>
    <t>81-9757849</t>
  </si>
  <si>
    <t>44-9179070</t>
  </si>
  <si>
    <t>55-2137809</t>
  </si>
  <si>
    <t>56-1063618</t>
  </si>
  <si>
    <t>01-8080546</t>
  </si>
  <si>
    <t>Baumbach Group</t>
  </si>
  <si>
    <t>29-5632797</t>
  </si>
  <si>
    <t>20-1191256</t>
  </si>
  <si>
    <t>33-4022317</t>
  </si>
  <si>
    <t>59-5892824</t>
  </si>
  <si>
    <t>52-3394023</t>
  </si>
  <si>
    <t>89-5350599</t>
  </si>
  <si>
    <t>92-6298656</t>
  </si>
  <si>
    <t>91-7317758</t>
  </si>
  <si>
    <t>60-6055725</t>
  </si>
  <si>
    <t>33-2816759</t>
  </si>
  <si>
    <t>05-2359767</t>
  </si>
  <si>
    <t>73-9492768</t>
  </si>
  <si>
    <t>31-6770318</t>
  </si>
  <si>
    <t>52-0695511</t>
  </si>
  <si>
    <t>45-8314773</t>
  </si>
  <si>
    <t>53-0205940</t>
  </si>
  <si>
    <t>53-1660551</t>
  </si>
  <si>
    <t>70-5394452</t>
  </si>
  <si>
    <t>10-0386535</t>
  </si>
  <si>
    <t>56-8476539</t>
  </si>
  <si>
    <t>04-7976277</t>
  </si>
  <si>
    <t>21-2965409</t>
  </si>
  <si>
    <t>04-2788693</t>
  </si>
  <si>
    <t>20-6477396</t>
  </si>
  <si>
    <t>22-7259031</t>
  </si>
  <si>
    <t>44-9239029</t>
  </si>
  <si>
    <t>77-4566105</t>
  </si>
  <si>
    <t>29-3662564</t>
  </si>
  <si>
    <t>73-8057834</t>
  </si>
  <si>
    <t>87-9980890</t>
  </si>
  <si>
    <t>98-8250897</t>
  </si>
  <si>
    <t>98-3051699</t>
  </si>
  <si>
    <t>75-7291972</t>
  </si>
  <si>
    <t>67-3672347</t>
  </si>
  <si>
    <t>75-1785229</t>
  </si>
  <si>
    <t>53-1426071</t>
  </si>
  <si>
    <t>49-7167664</t>
  </si>
  <si>
    <t>07-7047482</t>
  </si>
  <si>
    <t>57-1931933</t>
  </si>
  <si>
    <t>15-5167065</t>
  </si>
  <si>
    <t>98-9382686</t>
  </si>
  <si>
    <t>47-5733147</t>
  </si>
  <si>
    <t>98-2104934</t>
  </si>
  <si>
    <t>30-6005742</t>
  </si>
  <si>
    <t>21-7461655</t>
  </si>
  <si>
    <t>96-7625873</t>
  </si>
  <si>
    <t>53-2132479</t>
  </si>
  <si>
    <t>70-4650708</t>
  </si>
  <si>
    <t>53-3037652</t>
  </si>
  <si>
    <t>76-0774122</t>
  </si>
  <si>
    <t>72-3928347</t>
  </si>
  <si>
    <t>87-1399932</t>
  </si>
  <si>
    <t>25-1045028</t>
  </si>
  <si>
    <t>70-0364033</t>
  </si>
  <si>
    <t>35-9372764</t>
  </si>
  <si>
    <t>36-1142710</t>
  </si>
  <si>
    <t>75-6291395</t>
  </si>
  <si>
    <t>00-3338378</t>
  </si>
  <si>
    <t>55-1904761</t>
  </si>
  <si>
    <t>70-9736399</t>
  </si>
  <si>
    <t>20-3125420</t>
  </si>
  <si>
    <t>57-2968987</t>
  </si>
  <si>
    <t>76-2146784</t>
  </si>
  <si>
    <t>19-3129154</t>
  </si>
  <si>
    <t>79-0973971</t>
  </si>
  <si>
    <t>65-5376517</t>
  </si>
  <si>
    <t>80-5258827</t>
  </si>
  <si>
    <t>98-5257166</t>
  </si>
  <si>
    <t>19-5610175</t>
  </si>
  <si>
    <t>94-3509391</t>
  </si>
  <si>
    <t>43-5417299</t>
  </si>
  <si>
    <t>68-6141868</t>
  </si>
  <si>
    <t>29-8979189</t>
  </si>
  <si>
    <t>58-9821508</t>
  </si>
  <si>
    <t>49-1493117</t>
  </si>
  <si>
    <t>51-5334556</t>
  </si>
  <si>
    <t>79-3154360</t>
  </si>
  <si>
    <t>11-6024248</t>
  </si>
  <si>
    <t>61-4610981</t>
  </si>
  <si>
    <t>12-4509008</t>
  </si>
  <si>
    <t>46-5576111</t>
  </si>
  <si>
    <t>44-6718687</t>
  </si>
  <si>
    <t>67-7432229</t>
  </si>
  <si>
    <t>17-4401585</t>
  </si>
  <si>
    <t>56-9241023</t>
  </si>
  <si>
    <t>90-2194359</t>
  </si>
  <si>
    <t>89-2424262</t>
  </si>
  <si>
    <t>30-2982340</t>
  </si>
  <si>
    <t>10-4704941</t>
  </si>
  <si>
    <t>48-3484986</t>
  </si>
  <si>
    <t>84-4478396</t>
  </si>
  <si>
    <t>28-0849652</t>
  </si>
  <si>
    <t>74-0214938</t>
  </si>
  <si>
    <t>89-0187996</t>
  </si>
  <si>
    <t>65-8218141</t>
  </si>
  <si>
    <t>49-8489293</t>
  </si>
  <si>
    <t>91-8142232</t>
  </si>
  <si>
    <t>75-5380350</t>
  </si>
  <si>
    <t>35-4551515</t>
  </si>
  <si>
    <t>73-2763209</t>
  </si>
  <si>
    <t>56-0800364</t>
  </si>
  <si>
    <t>42-7027181</t>
  </si>
  <si>
    <t>29-0601002</t>
  </si>
  <si>
    <t>90-2797129</t>
  </si>
  <si>
    <t>27-3437546</t>
  </si>
  <si>
    <t>78-3726363</t>
  </si>
  <si>
    <t>78-8990131</t>
  </si>
  <si>
    <t>85-2223377</t>
  </si>
  <si>
    <t>73-9246627</t>
  </si>
  <si>
    <t>56-7910696</t>
  </si>
  <si>
    <t>91-4296427</t>
  </si>
  <si>
    <t>70-8181545</t>
  </si>
  <si>
    <t>94-0775004</t>
  </si>
  <si>
    <t>89-3466746</t>
  </si>
  <si>
    <t>11-5257937</t>
  </si>
  <si>
    <t>22-7587128</t>
  </si>
  <si>
    <t>36-7597839</t>
  </si>
  <si>
    <t>16-2824654</t>
  </si>
  <si>
    <t>49-1743669</t>
  </si>
  <si>
    <t>48-7252604</t>
  </si>
  <si>
    <t>07-1769568</t>
  </si>
  <si>
    <t>57-5645459</t>
  </si>
  <si>
    <t>13-0740797</t>
  </si>
  <si>
    <t>34-9966345</t>
  </si>
  <si>
    <t>91-6738094</t>
  </si>
  <si>
    <t>32-9007470</t>
  </si>
  <si>
    <t>68-6382353</t>
  </si>
  <si>
    <t>88-5406813</t>
  </si>
  <si>
    <t>42-2765593</t>
  </si>
  <si>
    <t>76-0724533</t>
  </si>
  <si>
    <t>45-3965395</t>
  </si>
  <si>
    <t>46-6126203</t>
  </si>
  <si>
    <t>27-7554919</t>
  </si>
  <si>
    <t>59-1230573</t>
  </si>
  <si>
    <t>45-2229786</t>
  </si>
  <si>
    <t>62-7218897</t>
  </si>
  <si>
    <t>55-4161787</t>
  </si>
  <si>
    <t>56-2537757</t>
  </si>
  <si>
    <t>Wyman Group</t>
  </si>
  <si>
    <t>20-0021649</t>
  </si>
  <si>
    <t>93-2627296</t>
  </si>
  <si>
    <t>56-2408571</t>
  </si>
  <si>
    <t>80-3206606</t>
  </si>
  <si>
    <t>48-3190394</t>
  </si>
  <si>
    <t>38-6130023</t>
  </si>
  <si>
    <t>38-2969743</t>
  </si>
  <si>
    <t>48-8166416</t>
  </si>
  <si>
    <t>33-4102367</t>
  </si>
  <si>
    <t>44-5240815</t>
  </si>
  <si>
    <t>70-9378988</t>
  </si>
  <si>
    <t>84-9385946</t>
  </si>
  <si>
    <t>00-1210718</t>
  </si>
  <si>
    <t>92-7917751</t>
  </si>
  <si>
    <t>91-3344544</t>
  </si>
  <si>
    <t>28-1840061</t>
  </si>
  <si>
    <t>20-7532198</t>
  </si>
  <si>
    <t>96-7618409</t>
  </si>
  <si>
    <t>47-8186791</t>
  </si>
  <si>
    <t>61-8262308</t>
  </si>
  <si>
    <t>39-1945268</t>
  </si>
  <si>
    <t>70-1769929</t>
  </si>
  <si>
    <t>65-0414599</t>
  </si>
  <si>
    <t>44-0517932</t>
  </si>
  <si>
    <t>74-1131921</t>
  </si>
  <si>
    <t>74-8625042</t>
  </si>
  <si>
    <t>36-0185776</t>
  </si>
  <si>
    <t>98-4157323</t>
  </si>
  <si>
    <t>36-8783637</t>
  </si>
  <si>
    <t>34-0286364</t>
  </si>
  <si>
    <t>82-0533747</t>
  </si>
  <si>
    <t>59-9184649</t>
  </si>
  <si>
    <t>03-3136289</t>
  </si>
  <si>
    <t>79-6676714</t>
  </si>
  <si>
    <t>82-1082124</t>
  </si>
  <si>
    <t>79-1331359</t>
  </si>
  <si>
    <t>84-7042200</t>
  </si>
  <si>
    <t>42-5303223</t>
  </si>
  <si>
    <t>04-6732680</t>
  </si>
  <si>
    <t>84-9167618</t>
  </si>
  <si>
    <t>47-5319780</t>
  </si>
  <si>
    <t>Stamm-Zulauf</t>
  </si>
  <si>
    <t>20-1013432</t>
  </si>
  <si>
    <t>87-5540520</t>
  </si>
  <si>
    <t>59-3526945</t>
  </si>
  <si>
    <t>33-4706706</t>
  </si>
  <si>
    <t>51-9052860</t>
  </si>
  <si>
    <t>99-9021526</t>
  </si>
  <si>
    <t>87-0122224</t>
  </si>
  <si>
    <t>88-1711226</t>
  </si>
  <si>
    <t>59-5711012</t>
  </si>
  <si>
    <t>65-0792739</t>
  </si>
  <si>
    <t>75-7245546</t>
  </si>
  <si>
    <t>05-0243828</t>
  </si>
  <si>
    <t>14-9919657</t>
  </si>
  <si>
    <t>47-9191500</t>
  </si>
  <si>
    <t>51-3543971</t>
  </si>
  <si>
    <t>14-4225824</t>
  </si>
  <si>
    <t>88-1349718</t>
  </si>
  <si>
    <t>62-5120016</t>
  </si>
  <si>
    <t>19-4538571</t>
  </si>
  <si>
    <t>01-1212783</t>
  </si>
  <si>
    <t>58-8728288</t>
  </si>
  <si>
    <t>95-2190016</t>
  </si>
  <si>
    <t>95-4388709</t>
  </si>
  <si>
    <t>Gorczany-Lehner</t>
  </si>
  <si>
    <t>57-8678621</t>
  </si>
  <si>
    <t>22-4278602</t>
  </si>
  <si>
    <t>98-3280428</t>
  </si>
  <si>
    <t>61-4366487</t>
  </si>
  <si>
    <t>55-2128150</t>
  </si>
  <si>
    <t>60-0610487</t>
  </si>
  <si>
    <t>02-9253490</t>
  </si>
  <si>
    <t>65-2343846</t>
  </si>
  <si>
    <t>20-0499139</t>
  </si>
  <si>
    <t>32-3994860</t>
  </si>
  <si>
    <t>72-7973717</t>
  </si>
  <si>
    <t>77-0650807</t>
  </si>
  <si>
    <t>34-5150360</t>
  </si>
  <si>
    <t>73-4726386</t>
  </si>
  <si>
    <t>78-6165949</t>
  </si>
  <si>
    <t>74-0191565</t>
  </si>
  <si>
    <t>02-3364199</t>
  </si>
  <si>
    <t>39-8642490</t>
  </si>
  <si>
    <t>50-8357453</t>
  </si>
  <si>
    <t>68-6900528</t>
  </si>
  <si>
    <t>92-5154775</t>
  </si>
  <si>
    <t>60-7777080</t>
  </si>
  <si>
    <t>54-1473475</t>
  </si>
  <si>
    <t>51-4531731</t>
  </si>
  <si>
    <t>20-6735303</t>
  </si>
  <si>
    <t>97-5858605</t>
  </si>
  <si>
    <t>02-2183787</t>
  </si>
  <si>
    <t>65-5818172</t>
  </si>
  <si>
    <t>Cobby Andersen</t>
  </si>
  <si>
    <t>03-8586261</t>
  </si>
  <si>
    <t>86-0928074</t>
  </si>
  <si>
    <t>77-1100434</t>
  </si>
  <si>
    <t>70-7426559</t>
  </si>
  <si>
    <t>45-5963143</t>
  </si>
  <si>
    <t>Schuster Inc</t>
  </si>
  <si>
    <t>94-3590580</t>
  </si>
  <si>
    <t>52-5981325</t>
  </si>
  <si>
    <t>74-7472724</t>
  </si>
  <si>
    <t>03-3965480</t>
  </si>
  <si>
    <t>64-4188827</t>
  </si>
  <si>
    <t>66-5572109</t>
  </si>
  <si>
    <t>44-2994974</t>
  </si>
  <si>
    <t>30-7981953</t>
  </si>
  <si>
    <t>82-9740062</t>
  </si>
  <si>
    <t>28-7069317</t>
  </si>
  <si>
    <t>65-0441590</t>
  </si>
  <si>
    <t>60-1991659</t>
  </si>
  <si>
    <t>15-2948501</t>
  </si>
  <si>
    <t>02-6830973</t>
  </si>
  <si>
    <t>70-0112393</t>
  </si>
  <si>
    <t>04-6161825</t>
  </si>
  <si>
    <t>57-4142025</t>
  </si>
  <si>
    <t>84-9254695</t>
  </si>
  <si>
    <t>17-1884075</t>
  </si>
  <si>
    <t>49-6263811</t>
  </si>
  <si>
    <t>78-6287811</t>
  </si>
  <si>
    <t>75-1807214</t>
  </si>
  <si>
    <t>72-1300449</t>
  </si>
  <si>
    <t>22-4332301</t>
  </si>
  <si>
    <t>42-2477150</t>
  </si>
  <si>
    <t>18-5234470</t>
  </si>
  <si>
    <t>Heaney, Gulgowski and Kshlerin</t>
  </si>
  <si>
    <t>74-4541594</t>
  </si>
  <si>
    <t>16-6855831</t>
  </si>
  <si>
    <t>46-5327740</t>
  </si>
  <si>
    <t>06-4416964</t>
  </si>
  <si>
    <t>46-6076582</t>
  </si>
  <si>
    <t>38-1449694</t>
  </si>
  <si>
    <t>39-3557596</t>
  </si>
  <si>
    <t>26-9990483</t>
  </si>
  <si>
    <t>31-7075495</t>
  </si>
  <si>
    <t>98-5774102</t>
  </si>
  <si>
    <t>46-5580805</t>
  </si>
  <si>
    <t>39-6568658</t>
  </si>
  <si>
    <t>85-1464621</t>
  </si>
  <si>
    <t>86-6763776</t>
  </si>
  <si>
    <t>03-7559332</t>
  </si>
  <si>
    <t>36-7939842</t>
  </si>
  <si>
    <t>38-7603760</t>
  </si>
  <si>
    <t>11-5630090</t>
  </si>
  <si>
    <t>97-6414953</t>
  </si>
  <si>
    <t>64-9816105</t>
  </si>
  <si>
    <t>59-0893568</t>
  </si>
  <si>
    <t>18-0945763</t>
  </si>
  <si>
    <t>26-1771681</t>
  </si>
  <si>
    <t>57-6427586</t>
  </si>
  <si>
    <t>73-3910940</t>
  </si>
  <si>
    <t>34-8728117</t>
  </si>
  <si>
    <t>53-7680732</t>
  </si>
  <si>
    <t>86-6380587</t>
  </si>
  <si>
    <t>95-1862126</t>
  </si>
  <si>
    <t>41-6241712</t>
  </si>
  <si>
    <t>32-3418936</t>
  </si>
  <si>
    <t>10-1511807</t>
  </si>
  <si>
    <t>66-6360568</t>
  </si>
  <si>
    <t>63-4386955</t>
  </si>
  <si>
    <t>77-3226391</t>
  </si>
  <si>
    <t>74-9554997</t>
  </si>
  <si>
    <t>37-0756560</t>
  </si>
  <si>
    <t>19-9649739</t>
  </si>
  <si>
    <t>91-4735064</t>
  </si>
  <si>
    <t>82-1337530</t>
  </si>
  <si>
    <t>39-3209780</t>
  </si>
  <si>
    <t>18-0483044</t>
  </si>
  <si>
    <t>70-0044622</t>
  </si>
  <si>
    <t>43-1236055</t>
  </si>
  <si>
    <t>25-6133000</t>
  </si>
  <si>
    <t>78-7666796</t>
  </si>
  <si>
    <t>45-1867999</t>
  </si>
  <si>
    <t>97-5797169</t>
  </si>
  <si>
    <t>31-6585710</t>
  </si>
  <si>
    <t>84-0460695</t>
  </si>
  <si>
    <t>20-4568650</t>
  </si>
  <si>
    <t>29-9208067</t>
  </si>
  <si>
    <t>21-2357660</t>
  </si>
  <si>
    <t>16-3842379</t>
  </si>
  <si>
    <t>58-5376153</t>
  </si>
  <si>
    <t>04-1808253</t>
  </si>
  <si>
    <t>44-9036885</t>
  </si>
  <si>
    <t>35-0548738</t>
  </si>
  <si>
    <t>64-0103144</t>
  </si>
  <si>
    <t>48-7080069</t>
  </si>
  <si>
    <t>05-2772504</t>
  </si>
  <si>
    <t>42-2439801</t>
  </si>
  <si>
    <t>82-8353642</t>
  </si>
  <si>
    <t>16-5450021</t>
  </si>
  <si>
    <t>80-1021367</t>
  </si>
  <si>
    <t>03-3076058</t>
  </si>
  <si>
    <t>92-4440351</t>
  </si>
  <si>
    <t>15-3268783</t>
  </si>
  <si>
    <t>44-7664180</t>
  </si>
  <si>
    <t>92-7042708</t>
  </si>
  <si>
    <t>21-8595718</t>
  </si>
  <si>
    <t>06-4611284</t>
  </si>
  <si>
    <t>04-4730440</t>
  </si>
  <si>
    <t>89-7467187</t>
  </si>
  <si>
    <t>37-7100862</t>
  </si>
  <si>
    <t>20-9472915</t>
  </si>
  <si>
    <t>82-8836162</t>
  </si>
  <si>
    <t>38-8230515</t>
  </si>
  <si>
    <t>46-8792953</t>
  </si>
  <si>
    <t>93-0380487</t>
  </si>
  <si>
    <t>44-2650716</t>
  </si>
  <si>
    <t>78-7812852</t>
  </si>
  <si>
    <t>11-2653878</t>
  </si>
  <si>
    <t>74-9856135</t>
  </si>
  <si>
    <t>22-8551804</t>
  </si>
  <si>
    <t>76-2368068</t>
  </si>
  <si>
    <t>83-0606533</t>
  </si>
  <si>
    <t>84-1745028</t>
  </si>
  <si>
    <t>63-2957047</t>
  </si>
  <si>
    <t>90-3993986</t>
  </si>
  <si>
    <t>00-1398218</t>
  </si>
  <si>
    <t>09-9618844</t>
  </si>
  <si>
    <t>96-5143420</t>
  </si>
  <si>
    <t>99-0862667</t>
  </si>
  <si>
    <t>79-6118087</t>
  </si>
  <si>
    <t>07-5296371</t>
  </si>
  <si>
    <t>93-9111830</t>
  </si>
  <si>
    <t>47-0713476</t>
  </si>
  <si>
    <t>92-2645259</t>
  </si>
  <si>
    <t>93-4118211</t>
  </si>
  <si>
    <t>90-7039701</t>
  </si>
  <si>
    <t>64-1003834</t>
  </si>
  <si>
    <t>24-2679038</t>
  </si>
  <si>
    <t>06-4986886</t>
  </si>
  <si>
    <t>63-5897834</t>
  </si>
  <si>
    <t>45-6860897</t>
  </si>
  <si>
    <t>40-9830607</t>
  </si>
  <si>
    <t>09-8360520</t>
  </si>
  <si>
    <t>55-6785409</t>
  </si>
  <si>
    <t>12-4881666</t>
  </si>
  <si>
    <t>86-7866497</t>
  </si>
  <si>
    <t>12-2375671</t>
  </si>
  <si>
    <t>56-6310976</t>
  </si>
  <si>
    <t>08-4398900</t>
  </si>
  <si>
    <t>23-3084772</t>
  </si>
  <si>
    <t>33-8484080</t>
  </si>
  <si>
    <t>28-0362135</t>
  </si>
  <si>
    <t>53-4511393</t>
  </si>
  <si>
    <t>50-0521963</t>
  </si>
  <si>
    <t>75-6127722</t>
  </si>
  <si>
    <t>99-3994854</t>
  </si>
  <si>
    <t>45-5157875</t>
  </si>
  <si>
    <t>97-8921759</t>
  </si>
  <si>
    <t>43-6672888</t>
  </si>
  <si>
    <t>28-6152726</t>
  </si>
  <si>
    <t>26-1201622</t>
  </si>
  <si>
    <t>18-3315246</t>
  </si>
  <si>
    <t>40-9114557</t>
  </si>
  <si>
    <t>34-8443139</t>
  </si>
  <si>
    <t>79-0393736</t>
  </si>
  <si>
    <t>58-2923511</t>
  </si>
  <si>
    <t>84-1343954</t>
  </si>
  <si>
    <t>43-9259516</t>
  </si>
  <si>
    <t>53-0009701</t>
  </si>
  <si>
    <t>50-2002828</t>
  </si>
  <si>
    <t>90-6933957</t>
  </si>
  <si>
    <t>98-4201877</t>
  </si>
  <si>
    <t>86-2962836</t>
  </si>
  <si>
    <t>76-5324325</t>
  </si>
  <si>
    <t>36-3226083</t>
  </si>
  <si>
    <t>00-8086430</t>
  </si>
  <si>
    <t>98-0946281</t>
  </si>
  <si>
    <t>82-4770311</t>
  </si>
  <si>
    <t>34-0265266</t>
  </si>
  <si>
    <t>47-9858688</t>
  </si>
  <si>
    <t>24-9178520</t>
  </si>
  <si>
    <t>17-5553034</t>
  </si>
  <si>
    <t>03-5073152</t>
  </si>
  <si>
    <t>19-8109416</t>
  </si>
  <si>
    <t>16-5710075</t>
  </si>
  <si>
    <t>78-5541691</t>
  </si>
  <si>
    <t>69-8016438</t>
  </si>
  <si>
    <t>43-7205800</t>
  </si>
  <si>
    <t>84-2496865</t>
  </si>
  <si>
    <t>13-4700827</t>
  </si>
  <si>
    <t>10-5202864</t>
  </si>
  <si>
    <t>29-6521179</t>
  </si>
  <si>
    <t>30-9137723</t>
  </si>
  <si>
    <t>55-4422832</t>
  </si>
  <si>
    <t>12-1257338</t>
  </si>
  <si>
    <t>66-6777720</t>
  </si>
  <si>
    <t>53-3568171</t>
  </si>
  <si>
    <t>77-6124790</t>
  </si>
  <si>
    <t>09-3668672</t>
  </si>
  <si>
    <t>00-5823706</t>
  </si>
  <si>
    <t>67-8646070</t>
  </si>
  <si>
    <t>58-1975365</t>
  </si>
  <si>
    <t>99-7842298</t>
  </si>
  <si>
    <t>80-8019337</t>
  </si>
  <si>
    <t>76-8416893</t>
  </si>
  <si>
    <t>19-3893110</t>
  </si>
  <si>
    <t>17-3994138</t>
  </si>
  <si>
    <t>29-8090560</t>
  </si>
  <si>
    <t>75-5652593</t>
  </si>
  <si>
    <t>84-5276032</t>
  </si>
  <si>
    <t>01-4729172</t>
  </si>
  <si>
    <t>70-3373325</t>
  </si>
  <si>
    <t>73-6329299</t>
  </si>
  <si>
    <t>74-6221213</t>
  </si>
  <si>
    <t>53-1326953</t>
  </si>
  <si>
    <t>56-7081196</t>
  </si>
  <si>
    <t>85-9560144</t>
  </si>
  <si>
    <t>35-9605742</t>
  </si>
  <si>
    <t>30-0037690</t>
  </si>
  <si>
    <t>75-6038587</t>
  </si>
  <si>
    <t>45-8966277</t>
  </si>
  <si>
    <t>23-0941629</t>
  </si>
  <si>
    <t>44-2757396</t>
  </si>
  <si>
    <t>21-4464304</t>
  </si>
  <si>
    <t>02-8721192</t>
  </si>
  <si>
    <t>46-9710750</t>
  </si>
  <si>
    <t>26-1781486</t>
  </si>
  <si>
    <t>57-7927520</t>
  </si>
  <si>
    <t>95-4271285</t>
  </si>
  <si>
    <t>66-4296261</t>
  </si>
  <si>
    <t>24-8477374</t>
  </si>
  <si>
    <t>96-1991854</t>
  </si>
  <si>
    <t>54-3353166</t>
  </si>
  <si>
    <t>44-6408586</t>
  </si>
  <si>
    <t>86-6107692</t>
  </si>
  <si>
    <t>89-7513050</t>
  </si>
  <si>
    <t>54-2767741</t>
  </si>
  <si>
    <t>24-6905998</t>
  </si>
  <si>
    <t>35-0173281</t>
  </si>
  <si>
    <t>93-5465623</t>
  </si>
  <si>
    <t>67-2823354</t>
  </si>
  <si>
    <t>28-0622425</t>
  </si>
  <si>
    <t>84-0679518</t>
  </si>
  <si>
    <t>95-1195568</t>
  </si>
  <si>
    <t>57-2495984</t>
  </si>
  <si>
    <t>77-5229094</t>
  </si>
  <si>
    <t>09-3747816</t>
  </si>
  <si>
    <t>62-9738356</t>
  </si>
  <si>
    <t>22-6938537</t>
  </si>
  <si>
    <t>11-0955383</t>
  </si>
  <si>
    <t>80-1374023</t>
  </si>
  <si>
    <t>66-7112079</t>
  </si>
  <si>
    <t>31-2600204</t>
  </si>
  <si>
    <t>00-7031798</t>
  </si>
  <si>
    <t>20-1827241</t>
  </si>
  <si>
    <t>80-5941460</t>
  </si>
  <si>
    <t>17-3240628</t>
  </si>
  <si>
    <t>22-5929243</t>
  </si>
  <si>
    <t>35-7483371</t>
  </si>
  <si>
    <t>71-1921602</t>
  </si>
  <si>
    <t>22-9949979</t>
  </si>
  <si>
    <t>06-8466490</t>
  </si>
  <si>
    <t>34-6603897</t>
  </si>
  <si>
    <t>92-3462655</t>
  </si>
  <si>
    <t>26-9826298</t>
  </si>
  <si>
    <t>39-5542863</t>
  </si>
  <si>
    <t>18-1809309</t>
  </si>
  <si>
    <t>51-0837613</t>
  </si>
  <si>
    <t>46-0117523</t>
  </si>
  <si>
    <t>58-1079558</t>
  </si>
  <si>
    <t>49-9010863</t>
  </si>
  <si>
    <t>58-2028009</t>
  </si>
  <si>
    <t>03-4045721</t>
  </si>
  <si>
    <t>80-3039005</t>
  </si>
  <si>
    <t>Littel-Blick</t>
  </si>
  <si>
    <t>90-4449856</t>
  </si>
  <si>
    <t>82-2837449</t>
  </si>
  <si>
    <t>21-4033151</t>
  </si>
  <si>
    <t>98-6563368</t>
  </si>
  <si>
    <t>21-2589548</t>
  </si>
  <si>
    <t>52-7049356</t>
  </si>
  <si>
    <t>35-1708827</t>
  </si>
  <si>
    <t>22-1266257</t>
  </si>
  <si>
    <t>44-9978904</t>
  </si>
  <si>
    <t>63-1220717</t>
  </si>
  <si>
    <t>40-0265810</t>
  </si>
  <si>
    <t>56-6094665</t>
  </si>
  <si>
    <t>75-3776704</t>
  </si>
  <si>
    <t>55-1050582</t>
  </si>
  <si>
    <t>78-8602908</t>
  </si>
  <si>
    <t>30-3460885</t>
  </si>
  <si>
    <t>59-0348389</t>
  </si>
  <si>
    <t>91-7447818</t>
  </si>
  <si>
    <t>37-6449638</t>
  </si>
  <si>
    <t>38-2806168</t>
  </si>
  <si>
    <t>09-7737652</t>
  </si>
  <si>
    <t>29-1727395</t>
  </si>
  <si>
    <t>92-4695001</t>
  </si>
  <si>
    <t>51-2167412</t>
  </si>
  <si>
    <t>Abbott, Roberts and Torp</t>
  </si>
  <si>
    <t>27-7169008</t>
  </si>
  <si>
    <t>96-5231814</t>
  </si>
  <si>
    <t>03-2027170</t>
  </si>
  <si>
    <t>99-9599677</t>
  </si>
  <si>
    <t>22-0725785</t>
  </si>
  <si>
    <t>37-6033123</t>
  </si>
  <si>
    <t>29-5158368</t>
  </si>
  <si>
    <t>95-4281933</t>
  </si>
  <si>
    <t>61-0532585</t>
  </si>
  <si>
    <t>99-9093075</t>
  </si>
  <si>
    <t>65-2631885</t>
  </si>
  <si>
    <t>03-4651559</t>
  </si>
  <si>
    <t>91-6673445</t>
  </si>
  <si>
    <t>62-1501210</t>
  </si>
  <si>
    <t>29-0072186</t>
  </si>
  <si>
    <t>06-5115020</t>
  </si>
  <si>
    <t>22-6046651</t>
  </si>
  <si>
    <t>71-6499815</t>
  </si>
  <si>
    <t>81-1454737</t>
  </si>
  <si>
    <t>26-0092767</t>
  </si>
  <si>
    <t>74-6211038</t>
  </si>
  <si>
    <t>85-5544928</t>
  </si>
  <si>
    <t>00-6227453</t>
  </si>
  <si>
    <t>70-5224180</t>
  </si>
  <si>
    <t>40-8287610</t>
  </si>
  <si>
    <t>49-7876403</t>
  </si>
  <si>
    <t>01-6107437</t>
  </si>
  <si>
    <t>13-6163562</t>
  </si>
  <si>
    <t>41-0722740</t>
  </si>
  <si>
    <t>65-4008552</t>
  </si>
  <si>
    <t>72-4825752</t>
  </si>
  <si>
    <t>18-2580592</t>
  </si>
  <si>
    <t>14-1283254</t>
  </si>
  <si>
    <t>79-4826735</t>
  </si>
  <si>
    <t>82-2840501</t>
  </si>
  <si>
    <t>19-0320558</t>
  </si>
  <si>
    <t>57-0945292</t>
  </si>
  <si>
    <t>01-6573793</t>
  </si>
  <si>
    <t>63-0694419</t>
  </si>
  <si>
    <t>24-2442637</t>
  </si>
  <si>
    <t>04-8899739</t>
  </si>
  <si>
    <t>48-2932903</t>
  </si>
  <si>
    <t>66-0265458</t>
  </si>
  <si>
    <t>57-6602854</t>
  </si>
  <si>
    <t>47-6702070</t>
  </si>
  <si>
    <t>99-9215178</t>
  </si>
  <si>
    <t>39-5953116</t>
  </si>
  <si>
    <t>71-3278650</t>
  </si>
  <si>
    <t>38-6891011</t>
  </si>
  <si>
    <t>06-5566367</t>
  </si>
  <si>
    <t>30-9025281</t>
  </si>
  <si>
    <t>80-4161102</t>
  </si>
  <si>
    <t>96-1388247</t>
  </si>
  <si>
    <t>21-2097342</t>
  </si>
  <si>
    <t>30-4045249</t>
  </si>
  <si>
    <t>31-9806848</t>
  </si>
  <si>
    <t>09-7835975</t>
  </si>
  <si>
    <t>16-9758497</t>
  </si>
  <si>
    <t>54-1058965</t>
  </si>
  <si>
    <t>84-0565956</t>
  </si>
  <si>
    <t>85-6263705</t>
  </si>
  <si>
    <t>46-4560578</t>
  </si>
  <si>
    <t>08-5093310</t>
  </si>
  <si>
    <t>21-8525376</t>
  </si>
  <si>
    <t>60-0406937</t>
  </si>
  <si>
    <t>61-4937643</t>
  </si>
  <si>
    <t>94-3251589</t>
  </si>
  <si>
    <t>48-2124998</t>
  </si>
  <si>
    <t>19-1017922</t>
  </si>
  <si>
    <t>51-1141675</t>
  </si>
  <si>
    <t>94-2134593</t>
  </si>
  <si>
    <t>82-0616982</t>
  </si>
  <si>
    <t>22-5761330</t>
  </si>
  <si>
    <t>62-1694462</t>
  </si>
  <si>
    <t>66-2612057</t>
  </si>
  <si>
    <t>01-7655863</t>
  </si>
  <si>
    <t>06-2196763</t>
  </si>
  <si>
    <t>84-4465649</t>
  </si>
  <si>
    <t>63-6767584</t>
  </si>
  <si>
    <t>75-7443241</t>
  </si>
  <si>
    <t>34-8182639</t>
  </si>
  <si>
    <t>Lind, Mueller and Stoltenberg</t>
  </si>
  <si>
    <t>53-3803984</t>
  </si>
  <si>
    <t>68-0176456</t>
  </si>
  <si>
    <t>63-7370049</t>
  </si>
  <si>
    <t>03-3461826</t>
  </si>
  <si>
    <t>76-5888381</t>
  </si>
  <si>
    <t>43-7357498</t>
  </si>
  <si>
    <t>88-8981595</t>
  </si>
  <si>
    <t>95-6123269</t>
  </si>
  <si>
    <t>60-6986682</t>
  </si>
  <si>
    <t>29-5478106</t>
  </si>
  <si>
    <t>49-2256360</t>
  </si>
  <si>
    <t>59-2480731</t>
  </si>
  <si>
    <t>63-6848448</t>
  </si>
  <si>
    <t>14-5110197</t>
  </si>
  <si>
    <t>42-2646312</t>
  </si>
  <si>
    <t>60-8083173</t>
  </si>
  <si>
    <t>76-1827989</t>
  </si>
  <si>
    <t>36-4321653</t>
  </si>
  <si>
    <t>18-7046062</t>
  </si>
  <si>
    <t>73-4380400</t>
  </si>
  <si>
    <t>47-5051773</t>
  </si>
  <si>
    <t>92-3687989</t>
  </si>
  <si>
    <t>60-9753536</t>
  </si>
  <si>
    <t>39-5658730</t>
  </si>
  <si>
    <t>73-8632957</t>
  </si>
  <si>
    <t>16-0987104</t>
  </si>
  <si>
    <t>76-0164425</t>
  </si>
  <si>
    <t>87-7908481</t>
  </si>
  <si>
    <t>30-7149594</t>
  </si>
  <si>
    <t>75-7848944</t>
  </si>
  <si>
    <t>72-2796883</t>
  </si>
  <si>
    <t>32-3124563</t>
  </si>
  <si>
    <t>83-7592334</t>
  </si>
  <si>
    <t>61-3721294</t>
  </si>
  <si>
    <t>43-8355995</t>
  </si>
  <si>
    <t>49-2458036</t>
  </si>
  <si>
    <t>13-9607758</t>
  </si>
  <si>
    <t>61-0888460</t>
  </si>
  <si>
    <t>25-2616039</t>
  </si>
  <si>
    <t>46-2962443</t>
  </si>
  <si>
    <t>44-9908550</t>
  </si>
  <si>
    <t>52-3150154</t>
  </si>
  <si>
    <t>37-9761957</t>
  </si>
  <si>
    <t>67-6072579</t>
  </si>
  <si>
    <t>89-0300778</t>
  </si>
  <si>
    <t>80-1894360</t>
  </si>
  <si>
    <t>58-2235320</t>
  </si>
  <si>
    <t>68-9875936</t>
  </si>
  <si>
    <t>75-8968627</t>
  </si>
  <si>
    <t>86-9456489</t>
  </si>
  <si>
    <t>02-1124101</t>
  </si>
  <si>
    <t>85-9787047</t>
  </si>
  <si>
    <t>60-7663173</t>
  </si>
  <si>
    <t>34-1570975</t>
  </si>
  <si>
    <t>57-9765345</t>
  </si>
  <si>
    <t>31-8846200</t>
  </si>
  <si>
    <t>48-6452102</t>
  </si>
  <si>
    <t>85-9541179</t>
  </si>
  <si>
    <t>93-2085046</t>
  </si>
  <si>
    <t>03-6962760</t>
  </si>
  <si>
    <t>15-3241183</t>
  </si>
  <si>
    <t>54-5705354</t>
  </si>
  <si>
    <t>29-1888759</t>
  </si>
  <si>
    <t>12-3815754</t>
  </si>
  <si>
    <t>30-4823900</t>
  </si>
  <si>
    <t>72-9074281</t>
  </si>
  <si>
    <t>52-0213558</t>
  </si>
  <si>
    <t>19-6334792</t>
  </si>
  <si>
    <t>35-4712641</t>
  </si>
  <si>
    <t>03-3542738</t>
  </si>
  <si>
    <t>81-9457605</t>
  </si>
  <si>
    <t>63-0813030</t>
  </si>
  <si>
    <t>00-7326184</t>
  </si>
  <si>
    <t>22-0156233</t>
  </si>
  <si>
    <t>94-0623186</t>
  </si>
  <si>
    <t>08-0446109</t>
  </si>
  <si>
    <t>77-3489084</t>
  </si>
  <si>
    <t>59-2117058</t>
  </si>
  <si>
    <t>31-1849120</t>
  </si>
  <si>
    <t>45-3085595</t>
  </si>
  <si>
    <t>61-3294149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</si>
  <si>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</si>
  <si>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</si>
  <si>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</si>
  <si>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</si>
  <si>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</si>
  <si>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</si>
  <si>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</si>
  <si>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</si>
  <si>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</si>
  <si>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</si>
  <si>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</si>
  <si>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</si>
  <si>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</si>
  <si>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fake</t>
  </si>
  <si>
    <t>Line chart</t>
  </si>
  <si>
    <t>Fake column for background</t>
  </si>
  <si>
    <t>Colors</t>
  </si>
  <si>
    <t>Data lable show series</t>
  </si>
  <si>
    <t>Legend custom number format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</si>
</sst>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4" fontId="0" fillId="0" borderId="0" xfId="0" applyNumberFormat="1"/>
    <xf numFmtId="14" fontId="0" fillId="0" borderId="0" xfId="0" applyNumberFormat="1"/>
    <xf numFmtId="0" fontId="16" fillId="0" borderId="0" xfId="0" applyFont="1"/>
    <xf numFmtId="3" fontId="0" fillId="0" borderId="0" xfId="0" applyNumberFormat="1"/>
    <xf numFmtId="17" fontId="0" fillId="0" borderId="0" xfId="0" applyNumberFormat="1"/>
    <xf numFmtId="11" fontId="0" fillId="0" borderId="0" xfId="0" applyNumberFormat="1"/>
    <xf numFmtId="0" fontId="0" fillId="0" borderId="0" xfId="0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0D1A63"/>
      <color rgb="FF7E7E7E"/>
      <color rgb="FFF6804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Sales 2019–2020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data!$M$1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data!$L$2:$L$25</c:f>
              <c:numCache>
                <c:formatCode>General</c:formatCode>
                <c:ptCount val="24"/>
              </c:numCache>
            </c:numRef>
          </c:cat>
          <c:val>
            <c:numRef>
              <c:f>data!$M$2:$M$25</c:f>
              <c:numCache>
                <c:formatCode>General</c:formatCode>
                <c:ptCount val="2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F9-4F40-BD62-AC0F1E9F42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4640543"/>
        <c:axId val="1464635743"/>
      </c:lineChart>
      <c:catAx>
        <c:axId val="14646405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4635743"/>
        <c:crosses val="autoZero"/>
        <c:auto val="1"/>
        <c:lblAlgn val="ctr"/>
        <c:lblOffset val="100"/>
        <c:noMultiLvlLbl val="0"/>
      </c:catAx>
      <c:valAx>
        <c:axId val="1464635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Sales (EUR)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46405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Sales 2019 vs 2020 (EUR)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899499978610058E-2"/>
          <c:y val="0.12363333333333333"/>
          <c:w val="0.88951213313100963"/>
          <c:h val="0.72862230971128605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fig_1_monthly_sale!$D$1</c:f>
              <c:strCache>
                <c:ptCount val="1"/>
                <c:pt idx="0">
                  <c:v>fake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fig_1_monthly_sale!$D$2:$D$13</c:f>
              <c:numCache>
                <c:formatCode>General</c:formatCode>
                <c:ptCount val="12"/>
                <c:pt idx="5" formatCode="0.00E+00">
                  <c:v>10000000</c:v>
                </c:pt>
                <c:pt idx="6" formatCode="0.00E+00">
                  <c:v>10000000</c:v>
                </c:pt>
                <c:pt idx="11" formatCode="0.00E+00">
                  <c:v>10000000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91-4BC7-BC69-2A02E6AACC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623087231"/>
        <c:axId val="1623070911"/>
      </c:barChart>
      <c:lineChart>
        <c:grouping val="standard"/>
        <c:varyColors val="0"/>
        <c:ser>
          <c:idx val="0"/>
          <c:order val="0"/>
          <c:tx>
            <c:strRef>
              <c:f>fig_1_monthly_sale!$B$1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rgbClr val="7E7E7E"/>
              </a:solidFill>
              <a:prstDash val="solid"/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4.9856184084372007E-2"/>
                  <c:y val="0"/>
                </c:manualLayout>
              </c:layout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B91-4BC7-BC69-2A02E6AACC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7E7E7E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fig_1_monthly_sale!$A$2:$A$13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fig_1_monthly_sale!$B$2:$B$13</c:f>
              <c:numCache>
                <c:formatCode>#,##0</c:formatCode>
                <c:ptCount val="12"/>
                <c:pt idx="0">
                  <c:v>4516614.82</c:v>
                </c:pt>
                <c:pt idx="1">
                  <c:v>2895563.9000000004</c:v>
                </c:pt>
                <c:pt idx="2">
                  <c:v>2521827.9900000002</c:v>
                </c:pt>
                <c:pt idx="3">
                  <c:v>4172236.77</c:v>
                </c:pt>
                <c:pt idx="4">
                  <c:v>3825681.9699999993</c:v>
                </c:pt>
                <c:pt idx="5">
                  <c:v>7692234.9000000022</c:v>
                </c:pt>
                <c:pt idx="6">
                  <c:v>6638609.2100000037</c:v>
                </c:pt>
                <c:pt idx="7">
                  <c:v>3437450.1399999997</c:v>
                </c:pt>
                <c:pt idx="8">
                  <c:v>4870060.5500000007</c:v>
                </c:pt>
                <c:pt idx="9">
                  <c:v>4372149.55</c:v>
                </c:pt>
                <c:pt idx="10">
                  <c:v>2961318.57</c:v>
                </c:pt>
                <c:pt idx="11">
                  <c:v>8713776.0300000012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B91-4BC7-BC69-2A02E6AACCCC}"/>
            </c:ext>
          </c:extLst>
        </c:ser>
        <c:ser>
          <c:idx val="1"/>
          <c:order val="1"/>
          <c:tx>
            <c:strRef>
              <c:f>fig_1_monthly_sale!$C$1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rgbClr val="F68048"/>
              </a:solidFill>
              <a:prstDash val="solid"/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4.9856184084372007E-2"/>
                  <c:y val="-0.01"/>
                </c:manualLayout>
              </c:layout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B91-4BC7-BC69-2A02E6AACC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68048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fig_1_monthly_sale!$A$2:$A$13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fig_1_monthly_sale!$C$2:$C$13</c:f>
              <c:numCache>
                <c:formatCode>#,##0</c:formatCode>
                <c:ptCount val="12"/>
                <c:pt idx="0">
                  <c:v>5215699.830000001</c:v>
                </c:pt>
                <c:pt idx="1">
                  <c:v>1959413.0000000002</c:v>
                </c:pt>
                <c:pt idx="2">
                  <c:v>3579943.8399999989</c:v>
                </c:pt>
                <c:pt idx="3">
                  <c:v>4069097.7799999989</c:v>
                </c:pt>
                <c:pt idx="4">
                  <c:v>5537943.7699999986</c:v>
                </c:pt>
                <c:pt idx="5">
                  <c:v>7158137.8599999985</c:v>
                </c:pt>
                <c:pt idx="6">
                  <c:v>5242556.459999999</c:v>
                </c:pt>
                <c:pt idx="7">
                  <c:v>4714525.2100000009</c:v>
                </c:pt>
                <c:pt idx="8">
                  <c:v>3778141.3699999996</c:v>
                </c:pt>
                <c:pt idx="9">
                  <c:v>4869726.8500000015</c:v>
                </c:pt>
                <c:pt idx="10">
                  <c:v>4734730.08</c:v>
                </c:pt>
                <c:pt idx="11">
                  <c:v>5884298.2599999998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B91-4BC7-BC69-2A02E6AACC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3087231"/>
        <c:axId val="1623070911"/>
      </c:lineChart>
      <c:catAx>
        <c:axId val="1623087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3070911"/>
        <c:crosses val="autoZero"/>
        <c:auto val="1"/>
        <c:lblAlgn val="ctr"/>
        <c:lblOffset val="100"/>
        <c:noMultiLvlLbl val="0"/>
      </c:catAx>
      <c:valAx>
        <c:axId val="1623070911"/>
        <c:scaling>
          <c:orientation val="minMax"/>
        </c:scaling>
        <c:delete val="0"/>
        <c:axPos val="l"/>
        <c:numFmt formatCode="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3087231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1002</xdr:row>
      <xdr:rowOff>0</xdr:rowOff>
    </xdr:from>
    <xdr:to>
      <xdr:col>7</xdr:col>
      <xdr:colOff>142875</xdr:colOff>
      <xdr:row>1025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B221D6-0E4B-458F-1F63-5FC20B994E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142874</xdr:colOff>
      <xdr:row>4</xdr:row>
      <xdr:rowOff>19050</xdr:rowOff>
    </xdr:from>
    <xdr:to>
      <xdr:col>26</xdr:col>
      <xdr:colOff>609599</xdr:colOff>
      <xdr:row>24</xdr:row>
      <xdr:rowOff>19050</xdr:rowOff>
    </xdr:to>
    <xdr:grpSp>
      <xdr:nvGrpSpPr>
        <xdr:cNvPr id="17" name="Group 16">
          <a:extLst>
            <a:ext uri="{FF2B5EF4-FFF2-40B4-BE49-F238E27FC236}">
              <a16:creationId xmlns:a16="http://schemas.microsoft.com/office/drawing/2014/main" id="{22E43FFC-1557-8282-47BD-BB0E5590238A}"/>
            </a:ext>
          </a:extLst>
        </xdr:cNvPr>
        <xdr:cNvGrpSpPr/>
      </xdr:nvGrpSpPr>
      <xdr:grpSpPr>
        <a:xfrm>
          <a:off x="5467349" y="781050"/>
          <a:ext cx="10829925" cy="3810000"/>
          <a:chOff x="5467349" y="781050"/>
          <a:chExt cx="10829925" cy="3810000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0EE01298-4EF9-DA19-EF04-EC100217C623}"/>
              </a:ext>
            </a:extLst>
          </xdr:cNvPr>
          <xdr:cNvGraphicFramePr/>
        </xdr:nvGraphicFramePr>
        <xdr:xfrm>
          <a:off x="5467349" y="781050"/>
          <a:ext cx="9934575" cy="3810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A16045AC-D0B5-D761-F6D7-5F475A970D3A}"/>
              </a:ext>
            </a:extLst>
          </xdr:cNvPr>
          <xdr:cNvSpPr txBox="1"/>
        </xdr:nvSpPr>
        <xdr:spPr>
          <a:xfrm>
            <a:off x="14916149" y="2676525"/>
            <a:ext cx="1381125" cy="78124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en-US" sz="1100"/>
              <a:t>lost the Chrismast sale surge due to lack of new seasonal product</a:t>
            </a:r>
          </a:p>
        </xdr:txBody>
      </xdr:sp>
      <xdr:cxnSp macro="">
        <xdr:nvCxnSpPr>
          <xdr:cNvPr id="12" name="Straight Connector 11">
            <a:extLst>
              <a:ext uri="{FF2B5EF4-FFF2-40B4-BE49-F238E27FC236}">
                <a16:creationId xmlns:a16="http://schemas.microsoft.com/office/drawing/2014/main" id="{FE469261-12C1-F60C-0AEF-C1A3B2522E20}"/>
              </a:ext>
            </a:extLst>
          </xdr:cNvPr>
          <xdr:cNvCxnSpPr/>
        </xdr:nvCxnSpPr>
        <xdr:spPr>
          <a:xfrm>
            <a:off x="14944725" y="2724150"/>
            <a:ext cx="0" cy="733425"/>
          </a:xfrm>
          <a:prstGeom prst="line">
            <a:avLst/>
          </a:prstGeom>
          <a:ln w="25400">
            <a:solidFill>
              <a:srgbClr val="0D1A63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0D1A63"/>
      </a:accent1>
      <a:accent2>
        <a:srgbClr val="F68048"/>
      </a:accent2>
      <a:accent3>
        <a:srgbClr val="7E7E7E"/>
      </a:accent3>
      <a:accent4>
        <a:srgbClr val="253A95"/>
      </a:accent4>
      <a:accent5>
        <a:srgbClr val="F89B72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763251C-390F-4C7E-A229-FE0AA1E84CDF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ce0e182f-7e36-4abb-b25f-ab9cea54fc0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254F3-BC3D-42E4-B949-E317E7AADD04}">
  <dimension ref="A1:M1001"/>
  <sheetViews>
    <sheetView workbookViewId="0">
      <selection activeCell="K1" sqref="K1"/>
    </sheetView>
  </sheetViews>
  <sheetFormatPr defaultRowHeight="15" x14ac:dyDescent="0.25"/>
  <cols>
    <col min="1" max="1" width="11.85546875" bestFit="1" customWidth="1"/>
    <col min="2" max="2" width="16.5703125" bestFit="1" customWidth="1"/>
    <col min="3" max="3" width="10" bestFit="1" customWidth="1"/>
    <col min="4" max="4" width="10.42578125" bestFit="1" customWidth="1"/>
    <col min="5" max="5" width="12.7109375" bestFit="1" customWidth="1"/>
    <col min="6" max="6" width="34.28515625" bestFit="1" customWidth="1"/>
    <col min="7" max="7" width="16.28515625" bestFit="1" customWidth="1"/>
    <col min="8" max="8" width="18.85546875" bestFit="1" customWidth="1"/>
    <col min="9" max="9" width="11" bestFit="1" customWidth="1"/>
    <col min="10" max="10" width="10.710937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L1" s="3"/>
      <c r="M1" s="3"/>
    </row>
    <row r="2" spans="1:13" x14ac:dyDescent="0.25">
      <c r="A2" t="s">
        <v>10</v>
      </c>
      <c r="B2" s="1">
        <v>17524.02</v>
      </c>
      <c r="C2">
        <v>14122.61</v>
      </c>
      <c r="D2" s="2">
        <v>43873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t="s">
        <v>16</v>
      </c>
    </row>
    <row r="3" spans="1:13" x14ac:dyDescent="0.25">
      <c r="A3" t="s">
        <v>17</v>
      </c>
      <c r="B3" s="1">
        <v>116563.4</v>
      </c>
      <c r="C3">
        <v>92807.78</v>
      </c>
      <c r="D3" s="2">
        <v>43734</v>
      </c>
      <c r="E3" t="s">
        <v>18</v>
      </c>
      <c r="F3" t="s">
        <v>19</v>
      </c>
      <c r="G3" t="s">
        <v>20</v>
      </c>
      <c r="H3" t="s">
        <v>21</v>
      </c>
      <c r="I3" t="s">
        <v>15</v>
      </c>
      <c r="J3" t="s">
        <v>22</v>
      </c>
    </row>
    <row r="4" spans="1:13" x14ac:dyDescent="0.25">
      <c r="A4" t="s">
        <v>23</v>
      </c>
      <c r="B4" s="1">
        <v>296465.56</v>
      </c>
      <c r="C4">
        <v>257480.34</v>
      </c>
      <c r="D4" s="2">
        <v>43657</v>
      </c>
      <c r="E4" t="s">
        <v>24</v>
      </c>
      <c r="F4" t="s">
        <v>25</v>
      </c>
      <c r="G4" t="s">
        <v>26</v>
      </c>
      <c r="H4" t="s">
        <v>27</v>
      </c>
      <c r="I4" t="s">
        <v>28</v>
      </c>
      <c r="J4" t="s">
        <v>29</v>
      </c>
    </row>
    <row r="5" spans="1:13" x14ac:dyDescent="0.25">
      <c r="A5" t="s">
        <v>23</v>
      </c>
      <c r="B5" s="1">
        <v>74532.02</v>
      </c>
      <c r="C5">
        <v>59752.32</v>
      </c>
      <c r="D5" s="2">
        <v>43923</v>
      </c>
      <c r="E5" t="s">
        <v>30</v>
      </c>
      <c r="F5" t="s">
        <v>31</v>
      </c>
      <c r="G5" t="s">
        <v>26</v>
      </c>
      <c r="H5" t="s">
        <v>32</v>
      </c>
      <c r="I5" t="s">
        <v>28</v>
      </c>
      <c r="J5" t="s">
        <v>33</v>
      </c>
    </row>
    <row r="6" spans="1:13" x14ac:dyDescent="0.25">
      <c r="A6" t="s">
        <v>34</v>
      </c>
      <c r="B6" s="1">
        <v>178763.42</v>
      </c>
      <c r="C6">
        <v>146621.76000000001</v>
      </c>
      <c r="D6" s="2">
        <v>43821</v>
      </c>
      <c r="E6" t="s">
        <v>18</v>
      </c>
      <c r="F6" t="s">
        <v>35</v>
      </c>
      <c r="G6" t="s">
        <v>36</v>
      </c>
      <c r="H6" t="s">
        <v>37</v>
      </c>
      <c r="I6" t="s">
        <v>38</v>
      </c>
      <c r="J6" t="s">
        <v>39</v>
      </c>
    </row>
    <row r="7" spans="1:13" x14ac:dyDescent="0.25">
      <c r="A7" t="s">
        <v>34</v>
      </c>
      <c r="B7" s="1">
        <v>84900.24</v>
      </c>
      <c r="C7">
        <v>73701.899999999994</v>
      </c>
      <c r="D7" s="2">
        <v>44026</v>
      </c>
      <c r="E7" t="s">
        <v>24</v>
      </c>
      <c r="F7" t="s">
        <v>40</v>
      </c>
      <c r="G7" t="s">
        <v>36</v>
      </c>
      <c r="H7" t="s">
        <v>41</v>
      </c>
      <c r="I7" t="s">
        <v>28</v>
      </c>
      <c r="J7" t="s">
        <v>42</v>
      </c>
    </row>
    <row r="8" spans="1:13" x14ac:dyDescent="0.25">
      <c r="A8" t="s">
        <v>23</v>
      </c>
      <c r="B8" s="1">
        <v>71620.08</v>
      </c>
      <c r="C8">
        <v>62245.01</v>
      </c>
      <c r="D8" s="2">
        <v>43501</v>
      </c>
      <c r="E8" t="s">
        <v>11</v>
      </c>
      <c r="F8" t="s">
        <v>43</v>
      </c>
      <c r="G8" t="s">
        <v>26</v>
      </c>
      <c r="H8" t="s">
        <v>27</v>
      </c>
      <c r="I8" t="s">
        <v>28</v>
      </c>
      <c r="J8" t="s">
        <v>44</v>
      </c>
    </row>
    <row r="9" spans="1:13" x14ac:dyDescent="0.25">
      <c r="A9" t="s">
        <v>45</v>
      </c>
      <c r="B9" s="1">
        <v>156585.22</v>
      </c>
      <c r="C9">
        <v>126599.15</v>
      </c>
      <c r="D9" s="2">
        <v>44073</v>
      </c>
      <c r="E9" t="s">
        <v>46</v>
      </c>
      <c r="F9" t="s">
        <v>47</v>
      </c>
      <c r="G9" t="s">
        <v>48</v>
      </c>
      <c r="H9" t="s">
        <v>49</v>
      </c>
      <c r="I9" t="s">
        <v>28</v>
      </c>
      <c r="J9" t="s">
        <v>50</v>
      </c>
    </row>
    <row r="10" spans="1:13" x14ac:dyDescent="0.25">
      <c r="A10" t="s">
        <v>23</v>
      </c>
      <c r="B10" s="1">
        <v>78461.13</v>
      </c>
      <c r="C10">
        <v>63537.82</v>
      </c>
      <c r="D10" s="2">
        <v>43961</v>
      </c>
      <c r="E10" t="s">
        <v>51</v>
      </c>
      <c r="F10" t="s">
        <v>31</v>
      </c>
      <c r="G10" t="s">
        <v>26</v>
      </c>
      <c r="H10" t="s">
        <v>27</v>
      </c>
      <c r="I10" t="s">
        <v>15</v>
      </c>
      <c r="J10" t="s">
        <v>52</v>
      </c>
    </row>
    <row r="11" spans="1:13" x14ac:dyDescent="0.25">
      <c r="A11" t="s">
        <v>53</v>
      </c>
      <c r="B11" s="1">
        <v>64827.8</v>
      </c>
      <c r="C11">
        <v>56043.63</v>
      </c>
      <c r="D11" s="2">
        <v>43485</v>
      </c>
      <c r="E11" t="s">
        <v>51</v>
      </c>
      <c r="F11" t="s">
        <v>54</v>
      </c>
      <c r="G11" t="s">
        <v>55</v>
      </c>
      <c r="H11" t="s">
        <v>56</v>
      </c>
      <c r="I11" t="s">
        <v>28</v>
      </c>
      <c r="J11" t="s">
        <v>57</v>
      </c>
    </row>
    <row r="12" spans="1:13" x14ac:dyDescent="0.25">
      <c r="A12" t="s">
        <v>10</v>
      </c>
      <c r="B12" s="1">
        <v>142664.34</v>
      </c>
      <c r="C12">
        <v>120808.16</v>
      </c>
      <c r="D12" s="2">
        <v>43589</v>
      </c>
      <c r="E12" t="s">
        <v>51</v>
      </c>
      <c r="F12" t="s">
        <v>58</v>
      </c>
      <c r="G12" t="s">
        <v>13</v>
      </c>
      <c r="H12" t="s">
        <v>14</v>
      </c>
      <c r="I12" t="s">
        <v>28</v>
      </c>
      <c r="J12" t="s">
        <v>59</v>
      </c>
    </row>
    <row r="13" spans="1:13" x14ac:dyDescent="0.25">
      <c r="A13" t="s">
        <v>45</v>
      </c>
      <c r="B13" s="1">
        <v>66673.19</v>
      </c>
      <c r="C13">
        <v>52811.83</v>
      </c>
      <c r="D13" s="2">
        <v>43519</v>
      </c>
      <c r="E13" t="s">
        <v>60</v>
      </c>
      <c r="F13" t="s">
        <v>54</v>
      </c>
      <c r="G13" t="s">
        <v>48</v>
      </c>
      <c r="H13" t="s">
        <v>49</v>
      </c>
      <c r="I13" t="s">
        <v>28</v>
      </c>
      <c r="J13" t="s">
        <v>61</v>
      </c>
    </row>
    <row r="14" spans="1:13" x14ac:dyDescent="0.25">
      <c r="A14" t="s">
        <v>23</v>
      </c>
      <c r="B14" s="1">
        <v>136915.60999999999</v>
      </c>
      <c r="C14">
        <v>114790.05</v>
      </c>
      <c r="D14" s="2">
        <v>43834</v>
      </c>
      <c r="E14" t="s">
        <v>62</v>
      </c>
      <c r="F14" t="s">
        <v>31</v>
      </c>
      <c r="G14" t="s">
        <v>26</v>
      </c>
      <c r="H14" t="s">
        <v>32</v>
      </c>
      <c r="I14" t="s">
        <v>38</v>
      </c>
      <c r="J14" t="s">
        <v>63</v>
      </c>
    </row>
    <row r="15" spans="1:13" x14ac:dyDescent="0.25">
      <c r="A15" t="s">
        <v>45</v>
      </c>
      <c r="B15" s="1">
        <v>164971.70000000001</v>
      </c>
      <c r="C15">
        <v>132686.74</v>
      </c>
      <c r="D15" s="2">
        <v>43666</v>
      </c>
      <c r="E15" t="s">
        <v>46</v>
      </c>
      <c r="F15" t="s">
        <v>64</v>
      </c>
      <c r="G15" t="s">
        <v>48</v>
      </c>
      <c r="H15" t="s">
        <v>49</v>
      </c>
      <c r="I15" t="s">
        <v>28</v>
      </c>
      <c r="J15" t="s">
        <v>65</v>
      </c>
    </row>
    <row r="16" spans="1:13" x14ac:dyDescent="0.25">
      <c r="A16" t="s">
        <v>45</v>
      </c>
      <c r="B16" s="1">
        <v>149486.26999999999</v>
      </c>
      <c r="C16">
        <v>118662.2</v>
      </c>
      <c r="D16" s="2">
        <v>43683</v>
      </c>
      <c r="E16" t="s">
        <v>30</v>
      </c>
      <c r="F16" t="s">
        <v>35</v>
      </c>
      <c r="G16" t="s">
        <v>48</v>
      </c>
      <c r="H16" t="s">
        <v>66</v>
      </c>
      <c r="I16" t="s">
        <v>28</v>
      </c>
      <c r="J16" t="s">
        <v>67</v>
      </c>
    </row>
    <row r="17" spans="1:10" x14ac:dyDescent="0.25">
      <c r="A17" t="s">
        <v>10</v>
      </c>
      <c r="B17" s="1">
        <v>54078.92</v>
      </c>
      <c r="C17">
        <v>46102.28</v>
      </c>
      <c r="D17" s="2">
        <v>44143</v>
      </c>
      <c r="E17" t="s">
        <v>11</v>
      </c>
      <c r="F17" t="s">
        <v>68</v>
      </c>
      <c r="G17" t="s">
        <v>13</v>
      </c>
      <c r="H17" t="s">
        <v>69</v>
      </c>
      <c r="I17" t="s">
        <v>28</v>
      </c>
      <c r="J17" t="s">
        <v>70</v>
      </c>
    </row>
    <row r="18" spans="1:10" x14ac:dyDescent="0.25">
      <c r="A18" t="s">
        <v>53</v>
      </c>
      <c r="B18" s="1">
        <v>107499.78</v>
      </c>
      <c r="C18">
        <v>91364.06</v>
      </c>
      <c r="D18" s="2">
        <v>43522</v>
      </c>
      <c r="E18" t="s">
        <v>60</v>
      </c>
      <c r="F18" t="s">
        <v>71</v>
      </c>
      <c r="G18" t="s">
        <v>55</v>
      </c>
      <c r="H18" t="s">
        <v>72</v>
      </c>
      <c r="I18" t="s">
        <v>28</v>
      </c>
      <c r="J18" t="s">
        <v>73</v>
      </c>
    </row>
    <row r="19" spans="1:10" x14ac:dyDescent="0.25">
      <c r="A19" t="s">
        <v>45</v>
      </c>
      <c r="B19" s="1">
        <v>29493.79</v>
      </c>
      <c r="C19">
        <v>24285.19</v>
      </c>
      <c r="D19" s="2">
        <v>43791</v>
      </c>
      <c r="E19" t="s">
        <v>18</v>
      </c>
      <c r="F19" t="s">
        <v>68</v>
      </c>
      <c r="G19" t="s">
        <v>48</v>
      </c>
      <c r="H19" t="s">
        <v>74</v>
      </c>
      <c r="I19" t="s">
        <v>28</v>
      </c>
      <c r="J19" t="s">
        <v>75</v>
      </c>
    </row>
    <row r="20" spans="1:10" x14ac:dyDescent="0.25">
      <c r="A20" t="s">
        <v>23</v>
      </c>
      <c r="B20" s="1">
        <v>147656.51999999999</v>
      </c>
      <c r="C20">
        <v>124193.9</v>
      </c>
      <c r="D20" s="2">
        <v>43621</v>
      </c>
      <c r="E20" t="s">
        <v>60</v>
      </c>
      <c r="F20" t="s">
        <v>12</v>
      </c>
      <c r="G20" t="s">
        <v>26</v>
      </c>
      <c r="H20" t="s">
        <v>76</v>
      </c>
      <c r="I20" t="s">
        <v>28</v>
      </c>
      <c r="J20" t="s">
        <v>77</v>
      </c>
    </row>
    <row r="21" spans="1:10" x14ac:dyDescent="0.25">
      <c r="A21" t="s">
        <v>23</v>
      </c>
      <c r="B21" s="1">
        <v>156839.31</v>
      </c>
      <c r="C21">
        <v>134709.28</v>
      </c>
      <c r="D21" s="2">
        <v>43962</v>
      </c>
      <c r="E21" t="s">
        <v>60</v>
      </c>
      <c r="F21" t="s">
        <v>78</v>
      </c>
      <c r="G21" t="s">
        <v>26</v>
      </c>
      <c r="H21" t="s">
        <v>76</v>
      </c>
      <c r="I21" t="s">
        <v>28</v>
      </c>
      <c r="J21" t="s">
        <v>79</v>
      </c>
    </row>
    <row r="22" spans="1:10" x14ac:dyDescent="0.25">
      <c r="A22" t="s">
        <v>34</v>
      </c>
      <c r="B22" s="1">
        <v>81412.100000000006</v>
      </c>
      <c r="C22">
        <v>64747.040000000001</v>
      </c>
      <c r="D22" s="2">
        <v>43775</v>
      </c>
      <c r="E22" t="s">
        <v>80</v>
      </c>
      <c r="F22" t="s">
        <v>35</v>
      </c>
      <c r="G22" t="s">
        <v>36</v>
      </c>
      <c r="H22" t="s">
        <v>37</v>
      </c>
      <c r="I22" t="s">
        <v>28</v>
      </c>
      <c r="J22" t="s">
        <v>81</v>
      </c>
    </row>
    <row r="23" spans="1:10" x14ac:dyDescent="0.25">
      <c r="A23" t="s">
        <v>10</v>
      </c>
      <c r="B23" s="1">
        <v>56717.53</v>
      </c>
      <c r="C23">
        <v>45101.78</v>
      </c>
      <c r="D23" s="2">
        <v>43534</v>
      </c>
      <c r="E23" t="s">
        <v>24</v>
      </c>
      <c r="F23" t="s">
        <v>35</v>
      </c>
      <c r="G23" t="s">
        <v>13</v>
      </c>
      <c r="H23" t="s">
        <v>82</v>
      </c>
      <c r="I23" t="s">
        <v>28</v>
      </c>
      <c r="J23" t="s">
        <v>83</v>
      </c>
    </row>
    <row r="24" spans="1:10" x14ac:dyDescent="0.25">
      <c r="A24" t="s">
        <v>84</v>
      </c>
      <c r="B24" s="1">
        <v>17028.189999999999</v>
      </c>
      <c r="C24">
        <v>14102.75</v>
      </c>
      <c r="D24" s="2">
        <v>43868</v>
      </c>
      <c r="E24" t="s">
        <v>24</v>
      </c>
      <c r="F24" t="s">
        <v>35</v>
      </c>
      <c r="G24" t="s">
        <v>85</v>
      </c>
      <c r="H24" t="s">
        <v>86</v>
      </c>
      <c r="I24" t="s">
        <v>28</v>
      </c>
      <c r="J24" t="s">
        <v>87</v>
      </c>
    </row>
    <row r="25" spans="1:10" x14ac:dyDescent="0.25">
      <c r="A25" t="s">
        <v>17</v>
      </c>
      <c r="B25" s="1">
        <v>236462.3</v>
      </c>
      <c r="C25">
        <v>205674.91</v>
      </c>
      <c r="D25" s="2">
        <v>44188</v>
      </c>
      <c r="E25" t="s">
        <v>24</v>
      </c>
      <c r="F25" t="s">
        <v>31</v>
      </c>
      <c r="G25" t="s">
        <v>20</v>
      </c>
      <c r="H25" t="s">
        <v>21</v>
      </c>
      <c r="I25" t="s">
        <v>28</v>
      </c>
      <c r="J25" t="s">
        <v>88</v>
      </c>
    </row>
    <row r="26" spans="1:10" x14ac:dyDescent="0.25">
      <c r="A26" t="s">
        <v>23</v>
      </c>
      <c r="B26" s="1">
        <v>172989.17</v>
      </c>
      <c r="C26">
        <v>142975.54999999999</v>
      </c>
      <c r="D26" s="2">
        <v>43992</v>
      </c>
      <c r="E26" t="s">
        <v>30</v>
      </c>
      <c r="F26" t="s">
        <v>89</v>
      </c>
      <c r="G26" t="s">
        <v>26</v>
      </c>
      <c r="H26" t="s">
        <v>90</v>
      </c>
      <c r="I26" t="s">
        <v>28</v>
      </c>
      <c r="J26" t="s">
        <v>91</v>
      </c>
    </row>
    <row r="27" spans="1:10" x14ac:dyDescent="0.25">
      <c r="A27" t="s">
        <v>10</v>
      </c>
      <c r="B27" s="1">
        <v>48179.57</v>
      </c>
      <c r="C27">
        <v>41405.519999999997</v>
      </c>
      <c r="D27" s="2">
        <v>44057</v>
      </c>
      <c r="E27" t="s">
        <v>11</v>
      </c>
      <c r="F27" t="s">
        <v>92</v>
      </c>
      <c r="G27" t="s">
        <v>13</v>
      </c>
      <c r="H27" t="s">
        <v>69</v>
      </c>
      <c r="I27" t="s">
        <v>28</v>
      </c>
      <c r="J27" t="s">
        <v>93</v>
      </c>
    </row>
    <row r="28" spans="1:10" x14ac:dyDescent="0.25">
      <c r="A28" t="s">
        <v>23</v>
      </c>
      <c r="B28" s="1">
        <v>121318.55</v>
      </c>
      <c r="C28">
        <v>102890.26</v>
      </c>
      <c r="D28" s="2">
        <v>43900</v>
      </c>
      <c r="E28" t="s">
        <v>80</v>
      </c>
      <c r="F28" t="s">
        <v>94</v>
      </c>
      <c r="G28" t="s">
        <v>26</v>
      </c>
      <c r="H28" t="s">
        <v>32</v>
      </c>
      <c r="I28" t="s">
        <v>38</v>
      </c>
      <c r="J28" t="s">
        <v>95</v>
      </c>
    </row>
    <row r="29" spans="1:10" x14ac:dyDescent="0.25">
      <c r="A29" t="s">
        <v>96</v>
      </c>
      <c r="B29" s="1">
        <v>93153.98</v>
      </c>
      <c r="C29">
        <v>79702.55</v>
      </c>
      <c r="D29" s="2">
        <v>43924</v>
      </c>
      <c r="E29" t="s">
        <v>51</v>
      </c>
      <c r="F29" t="s">
        <v>97</v>
      </c>
      <c r="G29" t="s">
        <v>98</v>
      </c>
      <c r="H29" t="s">
        <v>99</v>
      </c>
      <c r="I29" t="s">
        <v>15</v>
      </c>
      <c r="J29" t="s">
        <v>100</v>
      </c>
    </row>
    <row r="30" spans="1:10" x14ac:dyDescent="0.25">
      <c r="A30" t="s">
        <v>101</v>
      </c>
      <c r="B30" s="1">
        <v>98289.32</v>
      </c>
      <c r="C30">
        <v>84116</v>
      </c>
      <c r="D30" s="2">
        <v>43511</v>
      </c>
      <c r="E30" t="s">
        <v>51</v>
      </c>
      <c r="F30" t="s">
        <v>102</v>
      </c>
      <c r="G30" t="s">
        <v>103</v>
      </c>
      <c r="H30" t="s">
        <v>104</v>
      </c>
      <c r="I30" t="s">
        <v>28</v>
      </c>
      <c r="J30" t="s">
        <v>105</v>
      </c>
    </row>
    <row r="31" spans="1:10" x14ac:dyDescent="0.25">
      <c r="A31" t="s">
        <v>106</v>
      </c>
      <c r="B31" s="1">
        <v>108920.56</v>
      </c>
      <c r="C31">
        <v>94270.74</v>
      </c>
      <c r="D31" s="2">
        <v>43654</v>
      </c>
      <c r="E31" t="s">
        <v>11</v>
      </c>
      <c r="F31" t="s">
        <v>58</v>
      </c>
      <c r="G31" t="s">
        <v>107</v>
      </c>
      <c r="H31" t="s">
        <v>108</v>
      </c>
      <c r="I31" t="s">
        <v>28</v>
      </c>
      <c r="J31" t="s">
        <v>109</v>
      </c>
    </row>
    <row r="32" spans="1:10" x14ac:dyDescent="0.25">
      <c r="A32" t="s">
        <v>23</v>
      </c>
      <c r="B32" s="1">
        <v>37273.839999999997</v>
      </c>
      <c r="C32">
        <v>31559.759999999998</v>
      </c>
      <c r="D32" s="2">
        <v>43850</v>
      </c>
      <c r="E32" t="s">
        <v>18</v>
      </c>
      <c r="F32" t="s">
        <v>110</v>
      </c>
      <c r="G32" t="s">
        <v>26</v>
      </c>
      <c r="H32" t="s">
        <v>32</v>
      </c>
      <c r="I32" t="s">
        <v>38</v>
      </c>
      <c r="J32" t="s">
        <v>111</v>
      </c>
    </row>
    <row r="33" spans="1:10" x14ac:dyDescent="0.25">
      <c r="A33" t="s">
        <v>34</v>
      </c>
      <c r="B33" s="1">
        <v>221745.05</v>
      </c>
      <c r="C33">
        <v>190767.27</v>
      </c>
      <c r="D33" s="2">
        <v>43641</v>
      </c>
      <c r="E33" t="s">
        <v>51</v>
      </c>
      <c r="F33" t="s">
        <v>112</v>
      </c>
      <c r="G33" t="s">
        <v>36</v>
      </c>
      <c r="H33" t="s">
        <v>37</v>
      </c>
      <c r="I33" t="s">
        <v>15</v>
      </c>
      <c r="J33" t="s">
        <v>113</v>
      </c>
    </row>
    <row r="34" spans="1:10" x14ac:dyDescent="0.25">
      <c r="A34" t="s">
        <v>84</v>
      </c>
      <c r="B34" s="1">
        <v>54566.99</v>
      </c>
      <c r="C34">
        <v>43757.27</v>
      </c>
      <c r="D34" s="2">
        <v>43913</v>
      </c>
      <c r="E34" t="s">
        <v>60</v>
      </c>
      <c r="F34" t="s">
        <v>114</v>
      </c>
      <c r="G34" t="s">
        <v>85</v>
      </c>
      <c r="H34" t="s">
        <v>86</v>
      </c>
      <c r="I34" t="s">
        <v>28</v>
      </c>
      <c r="J34" t="s">
        <v>115</v>
      </c>
    </row>
    <row r="35" spans="1:10" x14ac:dyDescent="0.25">
      <c r="A35" t="s">
        <v>23</v>
      </c>
      <c r="B35" s="1">
        <v>111639.29</v>
      </c>
      <c r="C35">
        <v>97204.33</v>
      </c>
      <c r="D35" s="2">
        <v>43766</v>
      </c>
      <c r="E35" t="s">
        <v>60</v>
      </c>
      <c r="F35" t="s">
        <v>116</v>
      </c>
      <c r="G35" t="s">
        <v>26</v>
      </c>
      <c r="H35" t="s">
        <v>90</v>
      </c>
      <c r="I35" t="s">
        <v>28</v>
      </c>
      <c r="J35" t="s">
        <v>117</v>
      </c>
    </row>
    <row r="36" spans="1:10" x14ac:dyDescent="0.25">
      <c r="A36" t="s">
        <v>10</v>
      </c>
      <c r="B36" s="1">
        <v>74273.539999999994</v>
      </c>
      <c r="C36">
        <v>61981.27</v>
      </c>
      <c r="D36" s="2">
        <v>43918</v>
      </c>
      <c r="E36" t="s">
        <v>30</v>
      </c>
      <c r="F36" t="s">
        <v>58</v>
      </c>
      <c r="G36" t="s">
        <v>13</v>
      </c>
      <c r="H36" t="s">
        <v>118</v>
      </c>
      <c r="I36" t="s">
        <v>28</v>
      </c>
      <c r="J36" t="s">
        <v>119</v>
      </c>
    </row>
    <row r="37" spans="1:10" x14ac:dyDescent="0.25">
      <c r="A37" t="s">
        <v>23</v>
      </c>
      <c r="B37" s="1">
        <v>95566.43</v>
      </c>
      <c r="C37">
        <v>80342.7</v>
      </c>
      <c r="D37" s="2">
        <v>43592</v>
      </c>
      <c r="E37" t="s">
        <v>24</v>
      </c>
      <c r="F37" t="s">
        <v>31</v>
      </c>
      <c r="G37" t="s">
        <v>26</v>
      </c>
      <c r="H37" t="s">
        <v>90</v>
      </c>
      <c r="I37" t="s">
        <v>28</v>
      </c>
      <c r="J37" t="s">
        <v>120</v>
      </c>
    </row>
    <row r="38" spans="1:10" x14ac:dyDescent="0.25">
      <c r="A38" t="s">
        <v>53</v>
      </c>
      <c r="B38" s="1">
        <v>28783.05</v>
      </c>
      <c r="C38">
        <v>24776.45</v>
      </c>
      <c r="D38" s="2">
        <v>43553</v>
      </c>
      <c r="E38" t="s">
        <v>24</v>
      </c>
      <c r="F38" t="s">
        <v>121</v>
      </c>
      <c r="G38" t="s">
        <v>55</v>
      </c>
      <c r="H38" t="s">
        <v>56</v>
      </c>
      <c r="I38" t="s">
        <v>28</v>
      </c>
      <c r="J38" t="s">
        <v>122</v>
      </c>
    </row>
    <row r="39" spans="1:10" x14ac:dyDescent="0.25">
      <c r="A39" t="s">
        <v>45</v>
      </c>
      <c r="B39" s="1">
        <v>124414.74</v>
      </c>
      <c r="C39">
        <v>98959.48</v>
      </c>
      <c r="D39" s="2">
        <v>43629</v>
      </c>
      <c r="E39" t="s">
        <v>62</v>
      </c>
      <c r="F39" t="s">
        <v>123</v>
      </c>
      <c r="G39" t="s">
        <v>48</v>
      </c>
      <c r="H39" t="s">
        <v>49</v>
      </c>
      <c r="I39" t="s">
        <v>28</v>
      </c>
      <c r="J39" t="s">
        <v>124</v>
      </c>
    </row>
    <row r="40" spans="1:10" x14ac:dyDescent="0.25">
      <c r="A40" t="s">
        <v>23</v>
      </c>
      <c r="B40" s="1">
        <v>153029.72</v>
      </c>
      <c r="C40">
        <v>125117.1</v>
      </c>
      <c r="D40" s="2">
        <v>43858</v>
      </c>
      <c r="E40" t="s">
        <v>18</v>
      </c>
      <c r="F40" t="s">
        <v>114</v>
      </c>
      <c r="G40" t="s">
        <v>26</v>
      </c>
      <c r="H40" t="s">
        <v>76</v>
      </c>
      <c r="I40" t="s">
        <v>28</v>
      </c>
      <c r="J40" t="s">
        <v>125</v>
      </c>
    </row>
    <row r="41" spans="1:10" x14ac:dyDescent="0.25">
      <c r="A41" t="s">
        <v>10</v>
      </c>
      <c r="B41" s="1">
        <v>174919.64</v>
      </c>
      <c r="C41">
        <v>146845.04</v>
      </c>
      <c r="D41" s="2">
        <v>44138</v>
      </c>
      <c r="E41" t="s">
        <v>24</v>
      </c>
      <c r="F41" t="s">
        <v>126</v>
      </c>
      <c r="G41" t="s">
        <v>13</v>
      </c>
      <c r="H41" t="s">
        <v>118</v>
      </c>
      <c r="I41" t="s">
        <v>15</v>
      </c>
      <c r="J41" t="s">
        <v>127</v>
      </c>
    </row>
    <row r="42" spans="1:10" x14ac:dyDescent="0.25">
      <c r="A42" t="s">
        <v>53</v>
      </c>
      <c r="B42" s="1">
        <v>55804.05</v>
      </c>
      <c r="C42">
        <v>46401.07</v>
      </c>
      <c r="D42" s="2">
        <v>43529</v>
      </c>
      <c r="E42" t="s">
        <v>80</v>
      </c>
      <c r="F42" t="s">
        <v>71</v>
      </c>
      <c r="G42" t="s">
        <v>55</v>
      </c>
      <c r="H42" t="s">
        <v>128</v>
      </c>
      <c r="I42" t="s">
        <v>28</v>
      </c>
      <c r="J42" t="s">
        <v>129</v>
      </c>
    </row>
    <row r="43" spans="1:10" x14ac:dyDescent="0.25">
      <c r="A43" t="s">
        <v>53</v>
      </c>
      <c r="B43" s="1">
        <v>89160.66</v>
      </c>
      <c r="C43">
        <v>75367.509999999995</v>
      </c>
      <c r="D43" s="2">
        <v>43787</v>
      </c>
      <c r="E43" t="s">
        <v>30</v>
      </c>
      <c r="F43" t="s">
        <v>126</v>
      </c>
      <c r="G43" t="s">
        <v>55</v>
      </c>
      <c r="H43" t="s">
        <v>128</v>
      </c>
      <c r="I43" t="s">
        <v>28</v>
      </c>
      <c r="J43" t="s">
        <v>130</v>
      </c>
    </row>
    <row r="44" spans="1:10" x14ac:dyDescent="0.25">
      <c r="A44" t="s">
        <v>45</v>
      </c>
      <c r="B44" s="1">
        <v>27987.13</v>
      </c>
      <c r="C44">
        <v>24001.759999999998</v>
      </c>
      <c r="D44" s="2">
        <v>43550</v>
      </c>
      <c r="E44" t="s">
        <v>18</v>
      </c>
      <c r="F44" t="s">
        <v>123</v>
      </c>
      <c r="G44" t="s">
        <v>48</v>
      </c>
      <c r="H44" t="s">
        <v>66</v>
      </c>
      <c r="I44" t="s">
        <v>28</v>
      </c>
      <c r="J44" t="s">
        <v>131</v>
      </c>
    </row>
    <row r="45" spans="1:10" x14ac:dyDescent="0.25">
      <c r="A45" t="s">
        <v>53</v>
      </c>
      <c r="B45" s="1">
        <v>18326.41</v>
      </c>
      <c r="C45">
        <v>15067.97</v>
      </c>
      <c r="D45" s="2">
        <v>43499</v>
      </c>
      <c r="E45" t="s">
        <v>18</v>
      </c>
      <c r="F45" t="s">
        <v>132</v>
      </c>
      <c r="G45" t="s">
        <v>55</v>
      </c>
      <c r="H45" t="s">
        <v>133</v>
      </c>
      <c r="I45" t="s">
        <v>28</v>
      </c>
      <c r="J45" t="s">
        <v>134</v>
      </c>
    </row>
    <row r="46" spans="1:10" x14ac:dyDescent="0.25">
      <c r="A46" t="s">
        <v>84</v>
      </c>
      <c r="B46" s="1">
        <v>62708.6</v>
      </c>
      <c r="C46">
        <v>51414.78</v>
      </c>
      <c r="D46" s="2">
        <v>43706</v>
      </c>
      <c r="E46" t="s">
        <v>60</v>
      </c>
      <c r="F46" t="s">
        <v>135</v>
      </c>
      <c r="G46" t="s">
        <v>85</v>
      </c>
      <c r="H46" t="s">
        <v>86</v>
      </c>
      <c r="I46" t="s">
        <v>28</v>
      </c>
      <c r="J46" t="s">
        <v>136</v>
      </c>
    </row>
    <row r="47" spans="1:10" x14ac:dyDescent="0.25">
      <c r="A47" t="s">
        <v>45</v>
      </c>
      <c r="B47" s="1">
        <v>124668.36</v>
      </c>
      <c r="C47">
        <v>103998.35</v>
      </c>
      <c r="D47" s="2">
        <v>44140</v>
      </c>
      <c r="E47" t="s">
        <v>18</v>
      </c>
      <c r="F47" t="s">
        <v>31</v>
      </c>
      <c r="G47" t="s">
        <v>48</v>
      </c>
      <c r="H47" t="s">
        <v>49</v>
      </c>
      <c r="I47" t="s">
        <v>28</v>
      </c>
      <c r="J47" t="s">
        <v>137</v>
      </c>
    </row>
    <row r="48" spans="1:10" x14ac:dyDescent="0.25">
      <c r="A48" t="s">
        <v>138</v>
      </c>
      <c r="B48" s="1">
        <v>109390.57</v>
      </c>
      <c r="C48">
        <v>87414</v>
      </c>
      <c r="D48" s="2">
        <v>44147</v>
      </c>
      <c r="E48" t="s">
        <v>139</v>
      </c>
      <c r="F48" t="s">
        <v>43</v>
      </c>
      <c r="G48" t="s">
        <v>140</v>
      </c>
      <c r="H48" t="s">
        <v>141</v>
      </c>
      <c r="I48" t="s">
        <v>15</v>
      </c>
      <c r="J48" t="s">
        <v>142</v>
      </c>
    </row>
    <row r="49" spans="1:10" x14ac:dyDescent="0.25">
      <c r="A49" t="s">
        <v>23</v>
      </c>
      <c r="B49" s="1">
        <v>103279.79</v>
      </c>
      <c r="C49">
        <v>82334.649999999994</v>
      </c>
      <c r="D49" s="2">
        <v>43902</v>
      </c>
      <c r="E49" t="s">
        <v>51</v>
      </c>
      <c r="F49" t="s">
        <v>35</v>
      </c>
      <c r="G49" t="s">
        <v>26</v>
      </c>
      <c r="H49" t="s">
        <v>32</v>
      </c>
      <c r="I49" t="s">
        <v>28</v>
      </c>
      <c r="J49" t="s">
        <v>143</v>
      </c>
    </row>
    <row r="50" spans="1:10" x14ac:dyDescent="0.25">
      <c r="A50" t="s">
        <v>53</v>
      </c>
      <c r="B50" s="1">
        <v>173478.65</v>
      </c>
      <c r="C50">
        <v>139650.31</v>
      </c>
      <c r="D50" s="2">
        <v>43494</v>
      </c>
      <c r="E50" t="s">
        <v>11</v>
      </c>
      <c r="F50" t="s">
        <v>35</v>
      </c>
      <c r="G50" t="s">
        <v>55</v>
      </c>
      <c r="H50" t="s">
        <v>144</v>
      </c>
      <c r="I50" t="s">
        <v>28</v>
      </c>
      <c r="J50" t="s">
        <v>145</v>
      </c>
    </row>
    <row r="51" spans="1:10" x14ac:dyDescent="0.25">
      <c r="A51" t="s">
        <v>10</v>
      </c>
      <c r="B51" s="1">
        <v>57927.54</v>
      </c>
      <c r="C51">
        <v>48914.01</v>
      </c>
      <c r="D51" s="2">
        <v>43483</v>
      </c>
      <c r="E51" t="s">
        <v>18</v>
      </c>
      <c r="F51" t="s">
        <v>146</v>
      </c>
      <c r="G51" t="s">
        <v>13</v>
      </c>
      <c r="H51" t="s">
        <v>82</v>
      </c>
      <c r="I51" t="s">
        <v>15</v>
      </c>
      <c r="J51" t="s">
        <v>147</v>
      </c>
    </row>
    <row r="52" spans="1:10" x14ac:dyDescent="0.25">
      <c r="A52" t="s">
        <v>23</v>
      </c>
      <c r="B52" s="1">
        <v>84767.77</v>
      </c>
      <c r="C52">
        <v>68950.100000000006</v>
      </c>
      <c r="D52" s="2">
        <v>43848</v>
      </c>
      <c r="E52" t="s">
        <v>80</v>
      </c>
      <c r="F52" t="s">
        <v>148</v>
      </c>
      <c r="G52" t="s">
        <v>26</v>
      </c>
      <c r="H52" t="s">
        <v>27</v>
      </c>
      <c r="I52" t="s">
        <v>15</v>
      </c>
      <c r="J52" t="s">
        <v>149</v>
      </c>
    </row>
    <row r="53" spans="1:10" x14ac:dyDescent="0.25">
      <c r="A53" t="s">
        <v>53</v>
      </c>
      <c r="B53" s="1">
        <v>138175.53</v>
      </c>
      <c r="C53">
        <v>116744.51</v>
      </c>
      <c r="D53" s="2">
        <v>44138</v>
      </c>
      <c r="E53" t="s">
        <v>139</v>
      </c>
      <c r="F53" t="s">
        <v>150</v>
      </c>
      <c r="G53" t="s">
        <v>55</v>
      </c>
      <c r="H53" t="s">
        <v>133</v>
      </c>
      <c r="I53" t="s">
        <v>28</v>
      </c>
      <c r="J53" t="s">
        <v>151</v>
      </c>
    </row>
    <row r="54" spans="1:10" x14ac:dyDescent="0.25">
      <c r="A54" t="s">
        <v>23</v>
      </c>
      <c r="B54" s="1">
        <v>143107.89000000001</v>
      </c>
      <c r="C54">
        <v>121241</v>
      </c>
      <c r="D54" s="2">
        <v>44137</v>
      </c>
      <c r="E54" t="s">
        <v>80</v>
      </c>
      <c r="F54" t="s">
        <v>112</v>
      </c>
      <c r="G54" t="s">
        <v>26</v>
      </c>
      <c r="H54" t="s">
        <v>90</v>
      </c>
      <c r="I54" t="s">
        <v>15</v>
      </c>
      <c r="J54" t="s">
        <v>152</v>
      </c>
    </row>
    <row r="55" spans="1:10" x14ac:dyDescent="0.25">
      <c r="A55" t="s">
        <v>10</v>
      </c>
      <c r="B55" s="1">
        <v>54446.5</v>
      </c>
      <c r="C55">
        <v>44989.14</v>
      </c>
      <c r="D55" s="2">
        <v>43899</v>
      </c>
      <c r="E55" t="s">
        <v>51</v>
      </c>
      <c r="F55" t="s">
        <v>153</v>
      </c>
      <c r="G55" t="s">
        <v>13</v>
      </c>
      <c r="H55" t="s">
        <v>82</v>
      </c>
      <c r="I55" t="s">
        <v>38</v>
      </c>
      <c r="J55" t="s">
        <v>154</v>
      </c>
    </row>
    <row r="56" spans="1:10" x14ac:dyDescent="0.25">
      <c r="A56" t="s">
        <v>23</v>
      </c>
      <c r="B56" s="1">
        <v>136324.9</v>
      </c>
      <c r="C56">
        <v>110436.8</v>
      </c>
      <c r="D56" s="2">
        <v>43767</v>
      </c>
      <c r="E56" t="s">
        <v>80</v>
      </c>
      <c r="F56" t="s">
        <v>155</v>
      </c>
      <c r="G56" t="s">
        <v>26</v>
      </c>
      <c r="H56" t="s">
        <v>90</v>
      </c>
      <c r="I56" t="s">
        <v>38</v>
      </c>
      <c r="J56" t="s">
        <v>156</v>
      </c>
    </row>
    <row r="57" spans="1:10" x14ac:dyDescent="0.25">
      <c r="A57" t="s">
        <v>23</v>
      </c>
      <c r="B57" s="1">
        <v>43066.58</v>
      </c>
      <c r="C57">
        <v>36154.39</v>
      </c>
      <c r="D57" s="2">
        <v>43504</v>
      </c>
      <c r="E57" t="s">
        <v>18</v>
      </c>
      <c r="F57" t="s">
        <v>135</v>
      </c>
      <c r="G57" t="s">
        <v>26</v>
      </c>
      <c r="H57" t="s">
        <v>90</v>
      </c>
      <c r="I57" t="s">
        <v>15</v>
      </c>
      <c r="J57" t="s">
        <v>157</v>
      </c>
    </row>
    <row r="58" spans="1:10" x14ac:dyDescent="0.25">
      <c r="A58" t="s">
        <v>53</v>
      </c>
      <c r="B58" s="1">
        <v>224626.25</v>
      </c>
      <c r="C58">
        <v>189988.88</v>
      </c>
      <c r="D58" s="2">
        <v>44033</v>
      </c>
      <c r="E58" t="s">
        <v>80</v>
      </c>
      <c r="F58" t="s">
        <v>158</v>
      </c>
      <c r="G58" t="s">
        <v>55</v>
      </c>
      <c r="H58" t="s">
        <v>133</v>
      </c>
      <c r="I58" t="s">
        <v>28</v>
      </c>
      <c r="J58" t="s">
        <v>159</v>
      </c>
    </row>
    <row r="59" spans="1:10" x14ac:dyDescent="0.25">
      <c r="A59" t="s">
        <v>53</v>
      </c>
      <c r="B59" s="1">
        <v>115689.22</v>
      </c>
      <c r="C59">
        <v>98127.6</v>
      </c>
      <c r="D59" s="2">
        <v>43661</v>
      </c>
      <c r="E59" t="s">
        <v>24</v>
      </c>
      <c r="F59" t="s">
        <v>160</v>
      </c>
      <c r="G59" t="s">
        <v>55</v>
      </c>
      <c r="H59" t="s">
        <v>144</v>
      </c>
      <c r="I59" t="s">
        <v>28</v>
      </c>
      <c r="J59" t="s">
        <v>161</v>
      </c>
    </row>
    <row r="60" spans="1:10" x14ac:dyDescent="0.25">
      <c r="A60" t="s">
        <v>101</v>
      </c>
      <c r="B60" s="1">
        <v>78293.94</v>
      </c>
      <c r="C60">
        <v>66236.67</v>
      </c>
      <c r="D60" s="2">
        <v>43751</v>
      </c>
      <c r="E60" t="s">
        <v>51</v>
      </c>
      <c r="F60" t="s">
        <v>71</v>
      </c>
      <c r="G60" t="s">
        <v>103</v>
      </c>
      <c r="H60" t="s">
        <v>162</v>
      </c>
      <c r="I60" t="s">
        <v>15</v>
      </c>
      <c r="J60" t="s">
        <v>163</v>
      </c>
    </row>
    <row r="61" spans="1:10" x14ac:dyDescent="0.25">
      <c r="A61" t="s">
        <v>23</v>
      </c>
      <c r="B61" s="1">
        <v>92698.45</v>
      </c>
      <c r="C61">
        <v>73454.25</v>
      </c>
      <c r="D61" s="2">
        <v>43843</v>
      </c>
      <c r="E61" t="s">
        <v>24</v>
      </c>
      <c r="F61" t="s">
        <v>31</v>
      </c>
      <c r="G61" t="s">
        <v>26</v>
      </c>
      <c r="H61" t="s">
        <v>76</v>
      </c>
      <c r="I61" t="s">
        <v>28</v>
      </c>
      <c r="J61" t="s">
        <v>164</v>
      </c>
    </row>
    <row r="62" spans="1:10" x14ac:dyDescent="0.25">
      <c r="A62" t="s">
        <v>101</v>
      </c>
      <c r="B62" s="1">
        <v>83141.47</v>
      </c>
      <c r="C62">
        <v>72000.509999999995</v>
      </c>
      <c r="D62" s="2">
        <v>43539</v>
      </c>
      <c r="E62" t="s">
        <v>62</v>
      </c>
      <c r="F62" t="s">
        <v>64</v>
      </c>
      <c r="G62" t="s">
        <v>103</v>
      </c>
      <c r="H62" t="s">
        <v>104</v>
      </c>
      <c r="I62" t="s">
        <v>15</v>
      </c>
      <c r="J62" t="s">
        <v>165</v>
      </c>
    </row>
    <row r="63" spans="1:10" x14ac:dyDescent="0.25">
      <c r="A63" t="s">
        <v>23</v>
      </c>
      <c r="B63" s="1">
        <v>38982.26</v>
      </c>
      <c r="C63">
        <v>32854.25</v>
      </c>
      <c r="D63" s="2">
        <v>43750</v>
      </c>
      <c r="E63" t="s">
        <v>24</v>
      </c>
      <c r="F63" t="s">
        <v>166</v>
      </c>
      <c r="G63" t="s">
        <v>26</v>
      </c>
      <c r="H63" t="s">
        <v>27</v>
      </c>
      <c r="I63" t="s">
        <v>15</v>
      </c>
      <c r="J63" t="s">
        <v>167</v>
      </c>
    </row>
    <row r="64" spans="1:10" x14ac:dyDescent="0.25">
      <c r="A64" t="s">
        <v>23</v>
      </c>
      <c r="B64" s="1">
        <v>57120.58</v>
      </c>
      <c r="C64">
        <v>49654.92</v>
      </c>
      <c r="D64" s="2">
        <v>43794</v>
      </c>
      <c r="E64" t="s">
        <v>18</v>
      </c>
      <c r="F64" t="s">
        <v>168</v>
      </c>
      <c r="G64" t="s">
        <v>26</v>
      </c>
      <c r="H64" t="s">
        <v>32</v>
      </c>
      <c r="I64" t="s">
        <v>28</v>
      </c>
      <c r="J64" t="s">
        <v>169</v>
      </c>
    </row>
    <row r="65" spans="1:10" x14ac:dyDescent="0.25">
      <c r="A65" t="s">
        <v>10</v>
      </c>
      <c r="B65" s="1">
        <v>240759.07</v>
      </c>
      <c r="C65">
        <v>205415.64</v>
      </c>
      <c r="D65" s="2">
        <v>43996</v>
      </c>
      <c r="E65" t="s">
        <v>51</v>
      </c>
      <c r="F65" t="s">
        <v>132</v>
      </c>
      <c r="G65" t="s">
        <v>13</v>
      </c>
      <c r="H65" t="s">
        <v>170</v>
      </c>
      <c r="I65" t="s">
        <v>28</v>
      </c>
      <c r="J65" t="s">
        <v>171</v>
      </c>
    </row>
    <row r="66" spans="1:10" x14ac:dyDescent="0.25">
      <c r="A66" t="s">
        <v>10</v>
      </c>
      <c r="B66" s="1">
        <v>53849.120000000003</v>
      </c>
      <c r="C66">
        <v>47354.92</v>
      </c>
      <c r="D66" s="2">
        <v>43936</v>
      </c>
      <c r="E66" t="s">
        <v>18</v>
      </c>
      <c r="F66" t="s">
        <v>71</v>
      </c>
      <c r="G66" t="s">
        <v>13</v>
      </c>
      <c r="H66" t="s">
        <v>82</v>
      </c>
      <c r="I66" t="s">
        <v>28</v>
      </c>
      <c r="J66" t="s">
        <v>172</v>
      </c>
    </row>
    <row r="67" spans="1:10" x14ac:dyDescent="0.25">
      <c r="A67" t="s">
        <v>173</v>
      </c>
      <c r="B67" s="1">
        <v>361182.87</v>
      </c>
      <c r="C67">
        <v>288368.40000000002</v>
      </c>
      <c r="D67" s="2">
        <v>43801</v>
      </c>
      <c r="E67" t="s">
        <v>11</v>
      </c>
      <c r="F67" t="s">
        <v>174</v>
      </c>
      <c r="G67" t="s">
        <v>175</v>
      </c>
      <c r="H67" t="s">
        <v>176</v>
      </c>
      <c r="I67" t="s">
        <v>28</v>
      </c>
      <c r="J67" t="s">
        <v>177</v>
      </c>
    </row>
    <row r="68" spans="1:10" x14ac:dyDescent="0.25">
      <c r="A68" t="s">
        <v>10</v>
      </c>
      <c r="B68" s="1">
        <v>97063.22</v>
      </c>
      <c r="C68">
        <v>78067.95</v>
      </c>
      <c r="D68" s="2">
        <v>43757</v>
      </c>
      <c r="E68" t="s">
        <v>51</v>
      </c>
      <c r="F68" t="s">
        <v>178</v>
      </c>
      <c r="G68" t="s">
        <v>13</v>
      </c>
      <c r="H68" t="s">
        <v>14</v>
      </c>
      <c r="I68" t="s">
        <v>38</v>
      </c>
      <c r="J68" t="s">
        <v>179</v>
      </c>
    </row>
    <row r="69" spans="1:10" x14ac:dyDescent="0.25">
      <c r="A69" t="s">
        <v>34</v>
      </c>
      <c r="B69" s="1">
        <v>39110.97</v>
      </c>
      <c r="C69">
        <v>34315.97</v>
      </c>
      <c r="D69" s="2">
        <v>43765</v>
      </c>
      <c r="E69" t="s">
        <v>24</v>
      </c>
      <c r="F69" t="s">
        <v>180</v>
      </c>
      <c r="G69" t="s">
        <v>36</v>
      </c>
      <c r="H69" t="s">
        <v>41</v>
      </c>
      <c r="I69" t="s">
        <v>28</v>
      </c>
      <c r="J69" t="s">
        <v>181</v>
      </c>
    </row>
    <row r="70" spans="1:10" x14ac:dyDescent="0.25">
      <c r="A70" t="s">
        <v>53</v>
      </c>
      <c r="B70" s="1">
        <v>123672.7</v>
      </c>
      <c r="C70">
        <v>106036.97</v>
      </c>
      <c r="D70" s="2">
        <v>44148</v>
      </c>
      <c r="E70" t="s">
        <v>60</v>
      </c>
      <c r="F70" t="s">
        <v>182</v>
      </c>
      <c r="G70" t="s">
        <v>55</v>
      </c>
      <c r="H70" t="s">
        <v>128</v>
      </c>
      <c r="I70" t="s">
        <v>28</v>
      </c>
      <c r="J70" t="s">
        <v>183</v>
      </c>
    </row>
    <row r="71" spans="1:10" x14ac:dyDescent="0.25">
      <c r="A71" t="s">
        <v>53</v>
      </c>
      <c r="B71" s="1">
        <v>144640.79999999999</v>
      </c>
      <c r="C71">
        <v>118345.1</v>
      </c>
      <c r="D71" s="2">
        <v>43566</v>
      </c>
      <c r="E71" t="s">
        <v>80</v>
      </c>
      <c r="F71" t="s">
        <v>102</v>
      </c>
      <c r="G71" t="s">
        <v>55</v>
      </c>
      <c r="H71" t="s">
        <v>144</v>
      </c>
      <c r="I71" t="s">
        <v>28</v>
      </c>
      <c r="J71" t="s">
        <v>184</v>
      </c>
    </row>
    <row r="72" spans="1:10" x14ac:dyDescent="0.25">
      <c r="A72" t="s">
        <v>53</v>
      </c>
      <c r="B72" s="1">
        <v>268779.03000000003</v>
      </c>
      <c r="C72">
        <v>233676.49</v>
      </c>
      <c r="D72" s="2">
        <v>43826</v>
      </c>
      <c r="E72" t="s">
        <v>60</v>
      </c>
      <c r="F72" t="s">
        <v>185</v>
      </c>
      <c r="G72" t="s">
        <v>55</v>
      </c>
      <c r="H72" t="s">
        <v>133</v>
      </c>
      <c r="I72" t="s">
        <v>15</v>
      </c>
      <c r="J72" t="s">
        <v>186</v>
      </c>
    </row>
    <row r="73" spans="1:10" x14ac:dyDescent="0.25">
      <c r="A73" t="s">
        <v>10</v>
      </c>
      <c r="B73" s="1">
        <v>53593.86</v>
      </c>
      <c r="C73">
        <v>45629.81</v>
      </c>
      <c r="D73" s="2">
        <v>44024</v>
      </c>
      <c r="E73" t="s">
        <v>80</v>
      </c>
      <c r="F73" t="s">
        <v>114</v>
      </c>
      <c r="G73" t="s">
        <v>13</v>
      </c>
      <c r="H73" t="s">
        <v>118</v>
      </c>
      <c r="I73" t="s">
        <v>28</v>
      </c>
      <c r="J73" t="s">
        <v>187</v>
      </c>
    </row>
    <row r="74" spans="1:10" x14ac:dyDescent="0.25">
      <c r="A74" t="s">
        <v>53</v>
      </c>
      <c r="B74" s="1">
        <v>155044.01999999999</v>
      </c>
      <c r="C74">
        <v>134268.12</v>
      </c>
      <c r="D74" s="2">
        <v>43763</v>
      </c>
      <c r="E74" t="s">
        <v>30</v>
      </c>
      <c r="F74" t="s">
        <v>188</v>
      </c>
      <c r="G74" t="s">
        <v>55</v>
      </c>
      <c r="H74" t="s">
        <v>72</v>
      </c>
      <c r="I74" t="s">
        <v>28</v>
      </c>
      <c r="J74" t="s">
        <v>189</v>
      </c>
    </row>
    <row r="75" spans="1:10" x14ac:dyDescent="0.25">
      <c r="A75" t="s">
        <v>23</v>
      </c>
      <c r="B75" s="1">
        <v>102495.13</v>
      </c>
      <c r="C75">
        <v>85009.46</v>
      </c>
      <c r="D75" s="2">
        <v>44051</v>
      </c>
      <c r="E75" t="s">
        <v>60</v>
      </c>
      <c r="F75" t="s">
        <v>47</v>
      </c>
      <c r="G75" t="s">
        <v>26</v>
      </c>
      <c r="H75" t="s">
        <v>90</v>
      </c>
      <c r="I75" t="s">
        <v>38</v>
      </c>
      <c r="J75" t="s">
        <v>190</v>
      </c>
    </row>
    <row r="76" spans="1:10" x14ac:dyDescent="0.25">
      <c r="A76" t="s">
        <v>23</v>
      </c>
      <c r="B76" s="1">
        <v>294472.77</v>
      </c>
      <c r="C76">
        <v>255572.92</v>
      </c>
      <c r="D76" s="2">
        <v>43627</v>
      </c>
      <c r="E76" t="s">
        <v>60</v>
      </c>
      <c r="F76" t="s">
        <v>54</v>
      </c>
      <c r="G76" t="s">
        <v>26</v>
      </c>
      <c r="H76" t="s">
        <v>27</v>
      </c>
      <c r="I76" t="s">
        <v>38</v>
      </c>
      <c r="J76" t="s">
        <v>191</v>
      </c>
    </row>
    <row r="77" spans="1:10" x14ac:dyDescent="0.25">
      <c r="A77" t="s">
        <v>10</v>
      </c>
      <c r="B77" s="1">
        <v>64053.77</v>
      </c>
      <c r="C77">
        <v>54733.95</v>
      </c>
      <c r="D77" s="2">
        <v>44075</v>
      </c>
      <c r="E77" t="s">
        <v>30</v>
      </c>
      <c r="F77" t="s">
        <v>97</v>
      </c>
      <c r="G77" t="s">
        <v>13</v>
      </c>
      <c r="H77" t="s">
        <v>69</v>
      </c>
      <c r="I77" t="s">
        <v>28</v>
      </c>
      <c r="J77" t="s">
        <v>192</v>
      </c>
    </row>
    <row r="78" spans="1:10" x14ac:dyDescent="0.25">
      <c r="A78" t="s">
        <v>45</v>
      </c>
      <c r="B78" s="1">
        <v>24543.72</v>
      </c>
      <c r="C78">
        <v>19492.62</v>
      </c>
      <c r="D78" s="2">
        <v>43546</v>
      </c>
      <c r="E78" t="s">
        <v>24</v>
      </c>
      <c r="F78" t="s">
        <v>31</v>
      </c>
      <c r="G78" t="s">
        <v>48</v>
      </c>
      <c r="H78" t="s">
        <v>74</v>
      </c>
      <c r="I78" t="s">
        <v>28</v>
      </c>
      <c r="J78" t="s">
        <v>193</v>
      </c>
    </row>
    <row r="79" spans="1:10" x14ac:dyDescent="0.25">
      <c r="A79" t="s">
        <v>23</v>
      </c>
      <c r="B79" s="1">
        <v>161544.06</v>
      </c>
      <c r="C79">
        <v>132579.21</v>
      </c>
      <c r="D79" s="2">
        <v>43720</v>
      </c>
      <c r="E79" t="s">
        <v>24</v>
      </c>
      <c r="F79" t="s">
        <v>35</v>
      </c>
      <c r="G79" t="s">
        <v>26</v>
      </c>
      <c r="H79" t="s">
        <v>27</v>
      </c>
      <c r="I79" t="s">
        <v>28</v>
      </c>
      <c r="J79" t="s">
        <v>194</v>
      </c>
    </row>
    <row r="80" spans="1:10" x14ac:dyDescent="0.25">
      <c r="A80" t="s">
        <v>23</v>
      </c>
      <c r="B80" s="1">
        <v>50303.66</v>
      </c>
      <c r="C80">
        <v>41103.120000000003</v>
      </c>
      <c r="D80" s="2">
        <v>43836</v>
      </c>
      <c r="E80" t="s">
        <v>51</v>
      </c>
      <c r="F80" t="s">
        <v>158</v>
      </c>
      <c r="G80" t="s">
        <v>26</v>
      </c>
      <c r="H80" t="s">
        <v>27</v>
      </c>
      <c r="I80" t="s">
        <v>28</v>
      </c>
      <c r="J80" t="s">
        <v>195</v>
      </c>
    </row>
    <row r="81" spans="1:10" x14ac:dyDescent="0.25">
      <c r="A81" t="s">
        <v>10</v>
      </c>
      <c r="B81" s="1">
        <v>124593.04</v>
      </c>
      <c r="C81">
        <v>109106.13</v>
      </c>
      <c r="D81" s="2">
        <v>43841</v>
      </c>
      <c r="E81" t="s">
        <v>51</v>
      </c>
      <c r="F81" t="s">
        <v>35</v>
      </c>
      <c r="G81" t="s">
        <v>13</v>
      </c>
      <c r="H81" t="s">
        <v>14</v>
      </c>
      <c r="I81" t="s">
        <v>15</v>
      </c>
      <c r="J81" t="s">
        <v>196</v>
      </c>
    </row>
    <row r="82" spans="1:10" x14ac:dyDescent="0.25">
      <c r="A82" t="s">
        <v>10</v>
      </c>
      <c r="B82" s="1">
        <v>44147.92</v>
      </c>
      <c r="C82">
        <v>37163.72</v>
      </c>
      <c r="D82" s="2">
        <v>43969</v>
      </c>
      <c r="E82" t="s">
        <v>30</v>
      </c>
      <c r="F82" t="s">
        <v>102</v>
      </c>
      <c r="G82" t="s">
        <v>13</v>
      </c>
      <c r="H82" t="s">
        <v>14</v>
      </c>
      <c r="I82" t="s">
        <v>28</v>
      </c>
      <c r="J82" t="s">
        <v>197</v>
      </c>
    </row>
    <row r="83" spans="1:10" x14ac:dyDescent="0.25">
      <c r="A83" t="s">
        <v>101</v>
      </c>
      <c r="B83" s="1">
        <v>42239.66</v>
      </c>
      <c r="C83">
        <v>37039.96</v>
      </c>
      <c r="D83" s="2">
        <v>43602</v>
      </c>
      <c r="E83" t="s">
        <v>60</v>
      </c>
      <c r="F83" t="s">
        <v>35</v>
      </c>
      <c r="G83" t="s">
        <v>103</v>
      </c>
      <c r="H83" t="s">
        <v>104</v>
      </c>
      <c r="I83" t="s">
        <v>28</v>
      </c>
      <c r="J83" t="s">
        <v>198</v>
      </c>
    </row>
    <row r="84" spans="1:10" x14ac:dyDescent="0.25">
      <c r="A84" t="s">
        <v>10</v>
      </c>
      <c r="B84" s="1">
        <v>113763.38</v>
      </c>
      <c r="C84">
        <v>91158.6</v>
      </c>
      <c r="D84" s="2">
        <v>43922</v>
      </c>
      <c r="E84" t="s">
        <v>11</v>
      </c>
      <c r="F84" t="s">
        <v>158</v>
      </c>
      <c r="G84" t="s">
        <v>13</v>
      </c>
      <c r="H84" t="s">
        <v>14</v>
      </c>
      <c r="I84" t="s">
        <v>28</v>
      </c>
      <c r="J84" t="s">
        <v>199</v>
      </c>
    </row>
    <row r="85" spans="1:10" x14ac:dyDescent="0.25">
      <c r="A85" t="s">
        <v>23</v>
      </c>
      <c r="B85" s="1">
        <v>183363.6</v>
      </c>
      <c r="C85">
        <v>155033.92000000001</v>
      </c>
      <c r="D85" s="2">
        <v>43640</v>
      </c>
      <c r="E85" t="s">
        <v>60</v>
      </c>
      <c r="F85" t="s">
        <v>35</v>
      </c>
      <c r="G85" t="s">
        <v>26</v>
      </c>
      <c r="H85" t="s">
        <v>90</v>
      </c>
      <c r="I85" t="s">
        <v>28</v>
      </c>
      <c r="J85" t="s">
        <v>200</v>
      </c>
    </row>
    <row r="86" spans="1:10" x14ac:dyDescent="0.25">
      <c r="A86" t="s">
        <v>53</v>
      </c>
      <c r="B86" s="1">
        <v>85220.83</v>
      </c>
      <c r="C86">
        <v>73767.149999999994</v>
      </c>
      <c r="D86" s="2">
        <v>43723</v>
      </c>
      <c r="E86" t="s">
        <v>30</v>
      </c>
      <c r="F86" t="s">
        <v>201</v>
      </c>
      <c r="G86" t="s">
        <v>55</v>
      </c>
      <c r="H86" t="s">
        <v>128</v>
      </c>
      <c r="I86" t="s">
        <v>38</v>
      </c>
      <c r="J86" t="s">
        <v>202</v>
      </c>
    </row>
    <row r="87" spans="1:10" x14ac:dyDescent="0.25">
      <c r="A87" t="s">
        <v>23</v>
      </c>
      <c r="B87" s="1">
        <v>87513.27</v>
      </c>
      <c r="C87">
        <v>72469.740000000005</v>
      </c>
      <c r="D87" s="2">
        <v>43895</v>
      </c>
      <c r="E87" t="s">
        <v>11</v>
      </c>
      <c r="F87" t="s">
        <v>203</v>
      </c>
      <c r="G87" t="s">
        <v>26</v>
      </c>
      <c r="H87" t="s">
        <v>76</v>
      </c>
      <c r="I87" t="s">
        <v>15</v>
      </c>
      <c r="J87" t="s">
        <v>204</v>
      </c>
    </row>
    <row r="88" spans="1:10" x14ac:dyDescent="0.25">
      <c r="A88" t="s">
        <v>101</v>
      </c>
      <c r="B88" s="1">
        <v>37073.910000000003</v>
      </c>
      <c r="C88">
        <v>30274.55</v>
      </c>
      <c r="D88" s="2">
        <v>43581</v>
      </c>
      <c r="E88" t="s">
        <v>11</v>
      </c>
      <c r="F88" t="s">
        <v>205</v>
      </c>
      <c r="G88" t="s">
        <v>103</v>
      </c>
      <c r="H88" t="s">
        <v>162</v>
      </c>
      <c r="I88" t="s">
        <v>38</v>
      </c>
      <c r="J88" t="s">
        <v>206</v>
      </c>
    </row>
    <row r="89" spans="1:10" x14ac:dyDescent="0.25">
      <c r="A89" t="s">
        <v>53</v>
      </c>
      <c r="B89" s="1">
        <v>122139.94</v>
      </c>
      <c r="C89">
        <v>103684.6</v>
      </c>
      <c r="D89" s="2">
        <v>43771</v>
      </c>
      <c r="E89" t="s">
        <v>60</v>
      </c>
      <c r="F89" t="s">
        <v>174</v>
      </c>
      <c r="G89" t="s">
        <v>55</v>
      </c>
      <c r="H89" t="s">
        <v>133</v>
      </c>
      <c r="I89" t="s">
        <v>28</v>
      </c>
      <c r="J89" t="s">
        <v>207</v>
      </c>
    </row>
    <row r="90" spans="1:10" x14ac:dyDescent="0.25">
      <c r="A90" t="s">
        <v>53</v>
      </c>
      <c r="B90" s="1">
        <v>107586.21</v>
      </c>
      <c r="C90">
        <v>94525.24</v>
      </c>
      <c r="D90" s="2">
        <v>43989</v>
      </c>
      <c r="E90" t="s">
        <v>80</v>
      </c>
      <c r="F90" t="s">
        <v>150</v>
      </c>
      <c r="G90" t="s">
        <v>55</v>
      </c>
      <c r="H90" t="s">
        <v>72</v>
      </c>
      <c r="I90" t="s">
        <v>28</v>
      </c>
      <c r="J90" t="s">
        <v>208</v>
      </c>
    </row>
    <row r="91" spans="1:10" x14ac:dyDescent="0.25">
      <c r="A91" t="s">
        <v>45</v>
      </c>
      <c r="B91" s="1">
        <v>203958.16</v>
      </c>
      <c r="C91">
        <v>176444.2</v>
      </c>
      <c r="D91" s="2">
        <v>44167</v>
      </c>
      <c r="E91" t="s">
        <v>51</v>
      </c>
      <c r="F91" t="s">
        <v>25</v>
      </c>
      <c r="G91" t="s">
        <v>48</v>
      </c>
      <c r="H91" t="s">
        <v>66</v>
      </c>
      <c r="I91" t="s">
        <v>28</v>
      </c>
      <c r="J91" t="s">
        <v>209</v>
      </c>
    </row>
    <row r="92" spans="1:10" x14ac:dyDescent="0.25">
      <c r="A92" t="s">
        <v>23</v>
      </c>
      <c r="B92" s="1">
        <v>55132.39</v>
      </c>
      <c r="C92">
        <v>47121.65</v>
      </c>
      <c r="D92" s="2">
        <v>43627</v>
      </c>
      <c r="E92" t="s">
        <v>24</v>
      </c>
      <c r="F92" t="s">
        <v>210</v>
      </c>
      <c r="G92" t="s">
        <v>26</v>
      </c>
      <c r="H92" t="s">
        <v>90</v>
      </c>
      <c r="I92" t="s">
        <v>28</v>
      </c>
      <c r="J92" t="s">
        <v>211</v>
      </c>
    </row>
    <row r="93" spans="1:10" x14ac:dyDescent="0.25">
      <c r="A93" t="s">
        <v>173</v>
      </c>
      <c r="B93" s="1">
        <v>135424.06</v>
      </c>
      <c r="C93">
        <v>116275.1</v>
      </c>
      <c r="D93" s="2">
        <v>43845</v>
      </c>
      <c r="E93" t="s">
        <v>80</v>
      </c>
      <c r="F93" t="s">
        <v>135</v>
      </c>
      <c r="G93" t="s">
        <v>175</v>
      </c>
      <c r="H93" t="s">
        <v>212</v>
      </c>
      <c r="I93" t="s">
        <v>28</v>
      </c>
      <c r="J93" t="s">
        <v>213</v>
      </c>
    </row>
    <row r="94" spans="1:10" x14ac:dyDescent="0.25">
      <c r="A94" t="s">
        <v>10</v>
      </c>
      <c r="B94" s="1">
        <v>167123.72</v>
      </c>
      <c r="C94">
        <v>132946.92000000001</v>
      </c>
      <c r="D94" s="2">
        <v>43678</v>
      </c>
      <c r="E94" t="s">
        <v>60</v>
      </c>
      <c r="F94" t="s">
        <v>166</v>
      </c>
      <c r="G94" t="s">
        <v>13</v>
      </c>
      <c r="H94" t="s">
        <v>82</v>
      </c>
      <c r="I94" t="s">
        <v>28</v>
      </c>
      <c r="J94" t="s">
        <v>214</v>
      </c>
    </row>
    <row r="95" spans="1:10" x14ac:dyDescent="0.25">
      <c r="A95" t="s">
        <v>215</v>
      </c>
      <c r="B95" s="1">
        <v>92868.37</v>
      </c>
      <c r="C95">
        <v>79068.13</v>
      </c>
      <c r="D95" s="2">
        <v>43920</v>
      </c>
      <c r="E95" t="s">
        <v>80</v>
      </c>
      <c r="F95" t="s">
        <v>146</v>
      </c>
      <c r="G95" t="s">
        <v>216</v>
      </c>
      <c r="H95" t="s">
        <v>217</v>
      </c>
      <c r="I95" t="s">
        <v>28</v>
      </c>
      <c r="J95" t="s">
        <v>218</v>
      </c>
    </row>
    <row r="96" spans="1:10" x14ac:dyDescent="0.25">
      <c r="A96" t="s">
        <v>23</v>
      </c>
      <c r="B96" s="1">
        <v>108689.45</v>
      </c>
      <c r="C96">
        <v>91223.06</v>
      </c>
      <c r="D96" s="2">
        <v>43778</v>
      </c>
      <c r="E96" t="s">
        <v>51</v>
      </c>
      <c r="F96" t="s">
        <v>155</v>
      </c>
      <c r="G96" t="s">
        <v>26</v>
      </c>
      <c r="H96" t="s">
        <v>219</v>
      </c>
      <c r="I96" t="s">
        <v>15</v>
      </c>
      <c r="J96" t="s">
        <v>220</v>
      </c>
    </row>
    <row r="97" spans="1:10" x14ac:dyDescent="0.25">
      <c r="A97" t="s">
        <v>23</v>
      </c>
      <c r="B97" s="1">
        <v>79874.42</v>
      </c>
      <c r="C97">
        <v>68132.88</v>
      </c>
      <c r="D97" s="2">
        <v>44149</v>
      </c>
      <c r="E97" t="s">
        <v>62</v>
      </c>
      <c r="F97" t="s">
        <v>40</v>
      </c>
      <c r="G97" t="s">
        <v>26</v>
      </c>
      <c r="H97" t="s">
        <v>27</v>
      </c>
      <c r="I97" t="s">
        <v>28</v>
      </c>
      <c r="J97" t="s">
        <v>221</v>
      </c>
    </row>
    <row r="98" spans="1:10" x14ac:dyDescent="0.25">
      <c r="A98" t="s">
        <v>215</v>
      </c>
      <c r="B98" s="1">
        <v>153011.39000000001</v>
      </c>
      <c r="C98">
        <v>131543.89000000001</v>
      </c>
      <c r="D98" s="2">
        <v>43721</v>
      </c>
      <c r="E98" t="s">
        <v>51</v>
      </c>
      <c r="F98" t="s">
        <v>35</v>
      </c>
      <c r="G98" t="s">
        <v>216</v>
      </c>
      <c r="H98" t="s">
        <v>217</v>
      </c>
      <c r="I98" t="s">
        <v>28</v>
      </c>
      <c r="J98" t="s">
        <v>222</v>
      </c>
    </row>
    <row r="99" spans="1:10" x14ac:dyDescent="0.25">
      <c r="A99" t="s">
        <v>23</v>
      </c>
      <c r="B99" s="1">
        <v>72857.41</v>
      </c>
      <c r="C99">
        <v>60442.51</v>
      </c>
      <c r="D99" s="2">
        <v>43961</v>
      </c>
      <c r="E99" t="s">
        <v>24</v>
      </c>
      <c r="F99" t="s">
        <v>97</v>
      </c>
      <c r="G99" t="s">
        <v>26</v>
      </c>
      <c r="H99" t="s">
        <v>219</v>
      </c>
      <c r="I99" t="s">
        <v>28</v>
      </c>
      <c r="J99" t="s">
        <v>223</v>
      </c>
    </row>
    <row r="100" spans="1:10" x14ac:dyDescent="0.25">
      <c r="A100" t="s">
        <v>53</v>
      </c>
      <c r="B100" s="1">
        <v>102771.44</v>
      </c>
      <c r="C100">
        <v>83584.009999999995</v>
      </c>
      <c r="D100" s="2">
        <v>43793</v>
      </c>
      <c r="E100" t="s">
        <v>46</v>
      </c>
      <c r="F100" t="s">
        <v>224</v>
      </c>
      <c r="G100" t="s">
        <v>55</v>
      </c>
      <c r="H100" t="s">
        <v>56</v>
      </c>
      <c r="I100" t="s">
        <v>28</v>
      </c>
      <c r="J100" t="s">
        <v>225</v>
      </c>
    </row>
    <row r="101" spans="1:10" x14ac:dyDescent="0.25">
      <c r="A101" t="s">
        <v>45</v>
      </c>
      <c r="B101" s="1">
        <v>90559.16</v>
      </c>
      <c r="C101">
        <v>75318.05</v>
      </c>
      <c r="D101" s="2">
        <v>43703</v>
      </c>
      <c r="E101" t="s">
        <v>62</v>
      </c>
      <c r="F101" t="s">
        <v>210</v>
      </c>
      <c r="G101" t="s">
        <v>48</v>
      </c>
      <c r="H101" t="s">
        <v>66</v>
      </c>
      <c r="I101" t="s">
        <v>28</v>
      </c>
      <c r="J101" t="s">
        <v>226</v>
      </c>
    </row>
    <row r="102" spans="1:10" x14ac:dyDescent="0.25">
      <c r="A102" t="s">
        <v>23</v>
      </c>
      <c r="B102" s="1">
        <v>141796.75</v>
      </c>
      <c r="C102">
        <v>112317.21</v>
      </c>
      <c r="D102" s="2">
        <v>44090</v>
      </c>
      <c r="E102" t="s">
        <v>18</v>
      </c>
      <c r="F102" t="s">
        <v>35</v>
      </c>
      <c r="G102" t="s">
        <v>26</v>
      </c>
      <c r="H102" t="s">
        <v>76</v>
      </c>
      <c r="I102" t="s">
        <v>28</v>
      </c>
      <c r="J102" t="s">
        <v>227</v>
      </c>
    </row>
    <row r="103" spans="1:10" x14ac:dyDescent="0.25">
      <c r="A103" t="s">
        <v>101</v>
      </c>
      <c r="B103" s="1">
        <v>103874.1</v>
      </c>
      <c r="C103">
        <v>82112.479999999996</v>
      </c>
      <c r="D103" s="2">
        <v>43479</v>
      </c>
      <c r="E103" t="s">
        <v>62</v>
      </c>
      <c r="F103" t="s">
        <v>35</v>
      </c>
      <c r="G103" t="s">
        <v>103</v>
      </c>
      <c r="H103" t="s">
        <v>104</v>
      </c>
      <c r="I103" t="s">
        <v>28</v>
      </c>
      <c r="J103" t="s">
        <v>228</v>
      </c>
    </row>
    <row r="104" spans="1:10" x14ac:dyDescent="0.25">
      <c r="A104" t="s">
        <v>34</v>
      </c>
      <c r="B104" s="1">
        <v>134908.19</v>
      </c>
      <c r="C104">
        <v>114388.65</v>
      </c>
      <c r="D104" s="2">
        <v>44061</v>
      </c>
      <c r="E104" t="s">
        <v>24</v>
      </c>
      <c r="F104" t="s">
        <v>89</v>
      </c>
      <c r="G104" t="s">
        <v>36</v>
      </c>
      <c r="H104" t="s">
        <v>41</v>
      </c>
      <c r="I104" t="s">
        <v>28</v>
      </c>
      <c r="J104" t="s">
        <v>229</v>
      </c>
    </row>
    <row r="105" spans="1:10" x14ac:dyDescent="0.25">
      <c r="A105" t="s">
        <v>23</v>
      </c>
      <c r="B105" s="1">
        <v>45256.74</v>
      </c>
      <c r="C105">
        <v>38975.1</v>
      </c>
      <c r="D105" s="2">
        <v>43479</v>
      </c>
      <c r="E105" t="s">
        <v>139</v>
      </c>
      <c r="F105" t="s">
        <v>150</v>
      </c>
      <c r="G105" t="s">
        <v>26</v>
      </c>
      <c r="H105" t="s">
        <v>27</v>
      </c>
      <c r="I105" t="s">
        <v>28</v>
      </c>
      <c r="J105" t="s">
        <v>230</v>
      </c>
    </row>
    <row r="106" spans="1:10" x14ac:dyDescent="0.25">
      <c r="A106" t="s">
        <v>23</v>
      </c>
      <c r="B106" s="1">
        <v>131018.65</v>
      </c>
      <c r="C106">
        <v>107920.06</v>
      </c>
      <c r="D106" s="2">
        <v>43923</v>
      </c>
      <c r="E106" t="s">
        <v>24</v>
      </c>
      <c r="F106" t="s">
        <v>231</v>
      </c>
      <c r="G106" t="s">
        <v>26</v>
      </c>
      <c r="H106" t="s">
        <v>219</v>
      </c>
      <c r="I106" t="s">
        <v>28</v>
      </c>
      <c r="J106" t="s">
        <v>232</v>
      </c>
    </row>
    <row r="107" spans="1:10" x14ac:dyDescent="0.25">
      <c r="A107" t="s">
        <v>173</v>
      </c>
      <c r="B107" s="1">
        <v>84877.87</v>
      </c>
      <c r="C107">
        <v>68454</v>
      </c>
      <c r="D107" s="2">
        <v>43800</v>
      </c>
      <c r="E107" t="s">
        <v>80</v>
      </c>
      <c r="F107" t="s">
        <v>178</v>
      </c>
      <c r="G107" t="s">
        <v>175</v>
      </c>
      <c r="H107" t="s">
        <v>176</v>
      </c>
      <c r="I107" t="s">
        <v>28</v>
      </c>
      <c r="J107" t="s">
        <v>233</v>
      </c>
    </row>
    <row r="108" spans="1:10" x14ac:dyDescent="0.25">
      <c r="A108" t="s">
        <v>53</v>
      </c>
      <c r="B108" s="1">
        <v>168197.78</v>
      </c>
      <c r="C108">
        <v>144246.42000000001</v>
      </c>
      <c r="D108" s="2">
        <v>43478</v>
      </c>
      <c r="E108" t="s">
        <v>60</v>
      </c>
      <c r="F108" t="s">
        <v>234</v>
      </c>
      <c r="G108" t="s">
        <v>55</v>
      </c>
      <c r="H108" t="s">
        <v>128</v>
      </c>
      <c r="I108" t="s">
        <v>28</v>
      </c>
      <c r="J108" t="s">
        <v>235</v>
      </c>
    </row>
    <row r="109" spans="1:10" x14ac:dyDescent="0.25">
      <c r="A109" t="s">
        <v>45</v>
      </c>
      <c r="B109" s="1">
        <v>383996.76</v>
      </c>
      <c r="C109">
        <v>304701.43</v>
      </c>
      <c r="D109" s="2">
        <v>43818</v>
      </c>
      <c r="E109" t="s">
        <v>139</v>
      </c>
      <c r="F109" t="s">
        <v>35</v>
      </c>
      <c r="G109" t="s">
        <v>48</v>
      </c>
      <c r="H109" t="s">
        <v>49</v>
      </c>
      <c r="I109" t="s">
        <v>28</v>
      </c>
      <c r="J109" t="s">
        <v>236</v>
      </c>
    </row>
    <row r="110" spans="1:10" x14ac:dyDescent="0.25">
      <c r="A110" t="s">
        <v>53</v>
      </c>
      <c r="B110" s="1">
        <v>56811.14</v>
      </c>
      <c r="C110">
        <v>48221.3</v>
      </c>
      <c r="D110" s="2">
        <v>43745</v>
      </c>
      <c r="E110" t="s">
        <v>24</v>
      </c>
      <c r="F110" t="s">
        <v>237</v>
      </c>
      <c r="G110" t="s">
        <v>55</v>
      </c>
      <c r="H110" t="s">
        <v>133</v>
      </c>
      <c r="I110" t="s">
        <v>28</v>
      </c>
      <c r="J110" t="s">
        <v>238</v>
      </c>
    </row>
    <row r="111" spans="1:10" x14ac:dyDescent="0.25">
      <c r="A111" t="s">
        <v>23</v>
      </c>
      <c r="B111" s="1">
        <v>74364.460000000006</v>
      </c>
      <c r="C111">
        <v>60145.98</v>
      </c>
      <c r="D111" s="2">
        <v>43851</v>
      </c>
      <c r="E111" t="s">
        <v>24</v>
      </c>
      <c r="F111" t="s">
        <v>160</v>
      </c>
      <c r="G111" t="s">
        <v>26</v>
      </c>
      <c r="H111" t="s">
        <v>32</v>
      </c>
      <c r="I111" t="s">
        <v>15</v>
      </c>
      <c r="J111" t="s">
        <v>239</v>
      </c>
    </row>
    <row r="112" spans="1:10" x14ac:dyDescent="0.25">
      <c r="A112" t="s">
        <v>17</v>
      </c>
      <c r="B112" s="1">
        <v>235608.66</v>
      </c>
      <c r="C112">
        <v>201468.96</v>
      </c>
      <c r="D112" s="2">
        <v>44039</v>
      </c>
      <c r="E112" t="s">
        <v>18</v>
      </c>
      <c r="F112" t="s">
        <v>166</v>
      </c>
      <c r="G112" t="s">
        <v>20</v>
      </c>
      <c r="H112" t="s">
        <v>21</v>
      </c>
      <c r="I112" t="s">
        <v>38</v>
      </c>
      <c r="J112" t="s">
        <v>240</v>
      </c>
    </row>
    <row r="113" spans="1:10" x14ac:dyDescent="0.25">
      <c r="A113" t="s">
        <v>10</v>
      </c>
      <c r="B113" s="1">
        <v>31627.37</v>
      </c>
      <c r="C113">
        <v>25662.45</v>
      </c>
      <c r="D113" s="2">
        <v>44070</v>
      </c>
      <c r="E113" t="s">
        <v>30</v>
      </c>
      <c r="F113" t="s">
        <v>158</v>
      </c>
      <c r="G113" t="s">
        <v>13</v>
      </c>
      <c r="H113" t="s">
        <v>118</v>
      </c>
      <c r="I113" t="s">
        <v>15</v>
      </c>
      <c r="J113" t="s">
        <v>241</v>
      </c>
    </row>
    <row r="114" spans="1:10" x14ac:dyDescent="0.25">
      <c r="A114" t="s">
        <v>10</v>
      </c>
      <c r="B114" s="1">
        <v>57227.99</v>
      </c>
      <c r="C114">
        <v>46331.78</v>
      </c>
      <c r="D114" s="2">
        <v>43552</v>
      </c>
      <c r="E114" t="s">
        <v>51</v>
      </c>
      <c r="F114" t="s">
        <v>35</v>
      </c>
      <c r="G114" t="s">
        <v>13</v>
      </c>
      <c r="H114" t="s">
        <v>82</v>
      </c>
      <c r="I114" t="s">
        <v>28</v>
      </c>
      <c r="J114" t="s">
        <v>242</v>
      </c>
    </row>
    <row r="115" spans="1:10" x14ac:dyDescent="0.25">
      <c r="A115" t="s">
        <v>23</v>
      </c>
      <c r="B115" s="1">
        <v>84598.68</v>
      </c>
      <c r="C115">
        <v>72391.09</v>
      </c>
      <c r="D115" s="2">
        <v>43949</v>
      </c>
      <c r="E115" t="s">
        <v>24</v>
      </c>
      <c r="F115" t="s">
        <v>135</v>
      </c>
      <c r="G115" t="s">
        <v>26</v>
      </c>
      <c r="H115" t="s">
        <v>219</v>
      </c>
      <c r="I115" t="s">
        <v>28</v>
      </c>
      <c r="J115" t="s">
        <v>243</v>
      </c>
    </row>
    <row r="116" spans="1:10" x14ac:dyDescent="0.25">
      <c r="A116" t="s">
        <v>10</v>
      </c>
      <c r="B116" s="1">
        <v>98322.98</v>
      </c>
      <c r="C116">
        <v>84872.4</v>
      </c>
      <c r="D116" s="2">
        <v>44113</v>
      </c>
      <c r="E116" t="s">
        <v>24</v>
      </c>
      <c r="F116" t="s">
        <v>31</v>
      </c>
      <c r="G116" t="s">
        <v>13</v>
      </c>
      <c r="H116" t="s">
        <v>170</v>
      </c>
      <c r="I116" t="s">
        <v>28</v>
      </c>
      <c r="J116" t="s">
        <v>244</v>
      </c>
    </row>
    <row r="117" spans="1:10" x14ac:dyDescent="0.25">
      <c r="A117" t="s">
        <v>84</v>
      </c>
      <c r="B117" s="1">
        <v>62567.58</v>
      </c>
      <c r="C117">
        <v>49916.42</v>
      </c>
      <c r="D117" s="2">
        <v>43576</v>
      </c>
      <c r="E117" t="s">
        <v>24</v>
      </c>
      <c r="F117" t="s">
        <v>31</v>
      </c>
      <c r="G117" t="s">
        <v>85</v>
      </c>
      <c r="H117" t="s">
        <v>86</v>
      </c>
      <c r="I117" t="s">
        <v>28</v>
      </c>
      <c r="J117" t="s">
        <v>245</v>
      </c>
    </row>
    <row r="118" spans="1:10" x14ac:dyDescent="0.25">
      <c r="A118" t="s">
        <v>10</v>
      </c>
      <c r="B118" s="1">
        <v>239423.57</v>
      </c>
      <c r="C118">
        <v>199152.52</v>
      </c>
      <c r="D118" s="2">
        <v>43807</v>
      </c>
      <c r="E118" t="s">
        <v>80</v>
      </c>
      <c r="F118" t="s">
        <v>135</v>
      </c>
      <c r="G118" t="s">
        <v>13</v>
      </c>
      <c r="H118" t="s">
        <v>14</v>
      </c>
      <c r="I118" t="s">
        <v>15</v>
      </c>
      <c r="J118" t="s">
        <v>246</v>
      </c>
    </row>
    <row r="119" spans="1:10" x14ac:dyDescent="0.25">
      <c r="A119" t="s">
        <v>53</v>
      </c>
      <c r="B119" s="1">
        <v>68773.03</v>
      </c>
      <c r="C119">
        <v>59082.91</v>
      </c>
      <c r="D119" s="2">
        <v>43738</v>
      </c>
      <c r="E119" t="s">
        <v>18</v>
      </c>
      <c r="F119" t="s">
        <v>31</v>
      </c>
      <c r="G119" t="s">
        <v>55</v>
      </c>
      <c r="H119" t="s">
        <v>72</v>
      </c>
      <c r="I119" t="s">
        <v>28</v>
      </c>
      <c r="J119" t="s">
        <v>247</v>
      </c>
    </row>
    <row r="120" spans="1:10" x14ac:dyDescent="0.25">
      <c r="A120" t="s">
        <v>215</v>
      </c>
      <c r="B120" s="1">
        <v>102918.09</v>
      </c>
      <c r="C120">
        <v>87480.38</v>
      </c>
      <c r="D120" s="2">
        <v>43766</v>
      </c>
      <c r="E120" t="s">
        <v>60</v>
      </c>
      <c r="F120" t="s">
        <v>58</v>
      </c>
      <c r="G120" t="s">
        <v>216</v>
      </c>
      <c r="H120" t="s">
        <v>217</v>
      </c>
      <c r="I120" t="s">
        <v>28</v>
      </c>
      <c r="J120" t="s">
        <v>248</v>
      </c>
    </row>
    <row r="121" spans="1:10" x14ac:dyDescent="0.25">
      <c r="A121" t="s">
        <v>45</v>
      </c>
      <c r="B121" s="1">
        <v>150313.19</v>
      </c>
      <c r="C121">
        <v>118927.8</v>
      </c>
      <c r="D121" s="2">
        <v>43853</v>
      </c>
      <c r="E121" t="s">
        <v>30</v>
      </c>
      <c r="F121" t="s">
        <v>35</v>
      </c>
      <c r="G121" t="s">
        <v>48</v>
      </c>
      <c r="H121" t="s">
        <v>74</v>
      </c>
      <c r="I121" t="s">
        <v>28</v>
      </c>
      <c r="J121" t="s">
        <v>249</v>
      </c>
    </row>
    <row r="122" spans="1:10" x14ac:dyDescent="0.25">
      <c r="A122" t="s">
        <v>10</v>
      </c>
      <c r="B122" s="1">
        <v>144072.9</v>
      </c>
      <c r="C122">
        <v>123729.81</v>
      </c>
      <c r="D122" s="2">
        <v>43659</v>
      </c>
      <c r="E122" t="s">
        <v>30</v>
      </c>
      <c r="F122" t="s">
        <v>146</v>
      </c>
      <c r="G122" t="s">
        <v>13</v>
      </c>
      <c r="H122" t="s">
        <v>69</v>
      </c>
      <c r="I122" t="s">
        <v>28</v>
      </c>
      <c r="J122" t="s">
        <v>250</v>
      </c>
    </row>
    <row r="123" spans="1:10" x14ac:dyDescent="0.25">
      <c r="A123" t="s">
        <v>10</v>
      </c>
      <c r="B123" s="1">
        <v>69681.429999999993</v>
      </c>
      <c r="C123">
        <v>55529.13</v>
      </c>
      <c r="D123" s="2">
        <v>43855</v>
      </c>
      <c r="E123" t="s">
        <v>24</v>
      </c>
      <c r="F123" t="s">
        <v>89</v>
      </c>
      <c r="G123" t="s">
        <v>13</v>
      </c>
      <c r="H123" t="s">
        <v>82</v>
      </c>
      <c r="I123" t="s">
        <v>28</v>
      </c>
      <c r="J123" t="s">
        <v>251</v>
      </c>
    </row>
    <row r="124" spans="1:10" x14ac:dyDescent="0.25">
      <c r="A124" t="s">
        <v>10</v>
      </c>
      <c r="B124" s="1">
        <v>78542.59</v>
      </c>
      <c r="C124">
        <v>68010.03</v>
      </c>
      <c r="D124" s="2">
        <v>43611</v>
      </c>
      <c r="E124" t="s">
        <v>18</v>
      </c>
      <c r="F124" t="s">
        <v>234</v>
      </c>
      <c r="G124" t="s">
        <v>13</v>
      </c>
      <c r="H124" t="s">
        <v>118</v>
      </c>
      <c r="I124" t="s">
        <v>28</v>
      </c>
      <c r="J124" t="s">
        <v>252</v>
      </c>
    </row>
    <row r="125" spans="1:10" x14ac:dyDescent="0.25">
      <c r="A125" t="s">
        <v>23</v>
      </c>
      <c r="B125" s="1">
        <v>37582.129999999997</v>
      </c>
      <c r="C125">
        <v>31967.360000000001</v>
      </c>
      <c r="D125" s="2">
        <v>43958</v>
      </c>
      <c r="E125" t="s">
        <v>51</v>
      </c>
      <c r="F125" t="s">
        <v>19</v>
      </c>
      <c r="G125" t="s">
        <v>26</v>
      </c>
      <c r="H125" t="s">
        <v>27</v>
      </c>
      <c r="I125" t="s">
        <v>15</v>
      </c>
      <c r="J125" t="s">
        <v>253</v>
      </c>
    </row>
    <row r="126" spans="1:10" x14ac:dyDescent="0.25">
      <c r="A126" t="s">
        <v>10</v>
      </c>
      <c r="B126" s="1">
        <v>88329.48</v>
      </c>
      <c r="C126">
        <v>73755.12</v>
      </c>
      <c r="D126" s="2">
        <v>44059</v>
      </c>
      <c r="E126" t="s">
        <v>24</v>
      </c>
      <c r="F126" t="s">
        <v>254</v>
      </c>
      <c r="G126" t="s">
        <v>13</v>
      </c>
      <c r="H126" t="s">
        <v>118</v>
      </c>
      <c r="I126" t="s">
        <v>15</v>
      </c>
      <c r="J126" t="s">
        <v>255</v>
      </c>
    </row>
    <row r="127" spans="1:10" x14ac:dyDescent="0.25">
      <c r="A127" t="s">
        <v>23</v>
      </c>
      <c r="B127" s="1">
        <v>249099.44</v>
      </c>
      <c r="C127">
        <v>215695.2</v>
      </c>
      <c r="D127" s="2">
        <v>43997</v>
      </c>
      <c r="E127" t="s">
        <v>139</v>
      </c>
      <c r="F127" t="s">
        <v>35</v>
      </c>
      <c r="G127" t="s">
        <v>26</v>
      </c>
      <c r="H127" t="s">
        <v>76</v>
      </c>
      <c r="I127" t="s">
        <v>28</v>
      </c>
      <c r="J127" t="s">
        <v>256</v>
      </c>
    </row>
    <row r="128" spans="1:10" x14ac:dyDescent="0.25">
      <c r="A128" t="s">
        <v>45</v>
      </c>
      <c r="B128" s="1">
        <v>28328.78</v>
      </c>
      <c r="C128">
        <v>24408.080000000002</v>
      </c>
      <c r="D128" s="2">
        <v>43515</v>
      </c>
      <c r="E128" t="s">
        <v>24</v>
      </c>
      <c r="F128" t="s">
        <v>210</v>
      </c>
      <c r="G128" t="s">
        <v>48</v>
      </c>
      <c r="H128" t="s">
        <v>74</v>
      </c>
      <c r="I128" t="s">
        <v>28</v>
      </c>
      <c r="J128" t="s">
        <v>257</v>
      </c>
    </row>
    <row r="129" spans="1:10" x14ac:dyDescent="0.25">
      <c r="A129" t="s">
        <v>23</v>
      </c>
      <c r="B129" s="1">
        <v>162246.76</v>
      </c>
      <c r="C129">
        <v>142663.57999999999</v>
      </c>
      <c r="D129" s="2">
        <v>43705</v>
      </c>
      <c r="E129" t="s">
        <v>18</v>
      </c>
      <c r="F129" t="s">
        <v>31</v>
      </c>
      <c r="G129" t="s">
        <v>26</v>
      </c>
      <c r="H129" t="s">
        <v>76</v>
      </c>
      <c r="I129" t="s">
        <v>28</v>
      </c>
      <c r="J129" t="s">
        <v>258</v>
      </c>
    </row>
    <row r="130" spans="1:10" x14ac:dyDescent="0.25">
      <c r="A130" t="s">
        <v>215</v>
      </c>
      <c r="B130" s="1">
        <v>161217.16</v>
      </c>
      <c r="C130">
        <v>135696.48000000001</v>
      </c>
      <c r="D130" s="2">
        <v>43758</v>
      </c>
      <c r="E130" t="s">
        <v>18</v>
      </c>
      <c r="F130" t="s">
        <v>123</v>
      </c>
      <c r="G130" t="s">
        <v>216</v>
      </c>
      <c r="H130" t="s">
        <v>217</v>
      </c>
      <c r="I130" t="s">
        <v>28</v>
      </c>
      <c r="J130" t="s">
        <v>259</v>
      </c>
    </row>
    <row r="131" spans="1:10" x14ac:dyDescent="0.25">
      <c r="A131" t="s">
        <v>53</v>
      </c>
      <c r="B131" s="1">
        <v>37397.43</v>
      </c>
      <c r="C131">
        <v>30837.919999999998</v>
      </c>
      <c r="D131" s="2">
        <v>43968</v>
      </c>
      <c r="E131" t="s">
        <v>18</v>
      </c>
      <c r="F131" t="s">
        <v>166</v>
      </c>
      <c r="G131" t="s">
        <v>55</v>
      </c>
      <c r="H131" t="s">
        <v>144</v>
      </c>
      <c r="I131" t="s">
        <v>28</v>
      </c>
      <c r="J131" t="s">
        <v>260</v>
      </c>
    </row>
    <row r="132" spans="1:10" x14ac:dyDescent="0.25">
      <c r="A132" t="s">
        <v>45</v>
      </c>
      <c r="B132" s="1">
        <v>99064.31</v>
      </c>
      <c r="C132">
        <v>85393.44</v>
      </c>
      <c r="D132" s="2">
        <v>44022</v>
      </c>
      <c r="E132" t="s">
        <v>11</v>
      </c>
      <c r="F132" t="s">
        <v>35</v>
      </c>
      <c r="G132" t="s">
        <v>48</v>
      </c>
      <c r="H132" t="s">
        <v>49</v>
      </c>
      <c r="I132" t="s">
        <v>28</v>
      </c>
      <c r="J132" t="s">
        <v>261</v>
      </c>
    </row>
    <row r="133" spans="1:10" x14ac:dyDescent="0.25">
      <c r="A133" t="s">
        <v>10</v>
      </c>
      <c r="B133" s="1">
        <v>15817.05</v>
      </c>
      <c r="C133">
        <v>13743.44</v>
      </c>
      <c r="D133" s="2">
        <v>43534</v>
      </c>
      <c r="E133" t="s">
        <v>24</v>
      </c>
      <c r="F133" t="s">
        <v>234</v>
      </c>
      <c r="G133" t="s">
        <v>13</v>
      </c>
      <c r="H133" t="s">
        <v>69</v>
      </c>
      <c r="I133" t="s">
        <v>28</v>
      </c>
      <c r="J133" t="s">
        <v>262</v>
      </c>
    </row>
    <row r="134" spans="1:10" x14ac:dyDescent="0.25">
      <c r="A134" t="s">
        <v>23</v>
      </c>
      <c r="B134" s="1">
        <v>38930.160000000003</v>
      </c>
      <c r="C134">
        <v>32837.589999999997</v>
      </c>
      <c r="D134" s="2">
        <v>44153</v>
      </c>
      <c r="E134" t="s">
        <v>62</v>
      </c>
      <c r="F134" t="s">
        <v>150</v>
      </c>
      <c r="G134" t="s">
        <v>26</v>
      </c>
      <c r="H134" t="s">
        <v>219</v>
      </c>
      <c r="I134" t="s">
        <v>28</v>
      </c>
      <c r="J134" t="s">
        <v>263</v>
      </c>
    </row>
    <row r="135" spans="1:10" x14ac:dyDescent="0.25">
      <c r="A135" t="s">
        <v>23</v>
      </c>
      <c r="B135" s="1">
        <v>28859.73</v>
      </c>
      <c r="C135">
        <v>23656.32</v>
      </c>
      <c r="D135" s="2">
        <v>43474</v>
      </c>
      <c r="E135" t="s">
        <v>80</v>
      </c>
      <c r="F135" t="s">
        <v>25</v>
      </c>
      <c r="G135" t="s">
        <v>26</v>
      </c>
      <c r="H135" t="s">
        <v>76</v>
      </c>
      <c r="I135" t="s">
        <v>15</v>
      </c>
      <c r="J135" t="s">
        <v>264</v>
      </c>
    </row>
    <row r="136" spans="1:10" x14ac:dyDescent="0.25">
      <c r="A136" t="s">
        <v>53</v>
      </c>
      <c r="B136" s="1">
        <v>54079.040000000001</v>
      </c>
      <c r="C136">
        <v>45031.62</v>
      </c>
      <c r="D136" s="2">
        <v>43980</v>
      </c>
      <c r="E136" t="s">
        <v>18</v>
      </c>
      <c r="F136" t="s">
        <v>265</v>
      </c>
      <c r="G136" t="s">
        <v>55</v>
      </c>
      <c r="H136" t="s">
        <v>144</v>
      </c>
      <c r="I136" t="s">
        <v>28</v>
      </c>
      <c r="J136" t="s">
        <v>266</v>
      </c>
    </row>
    <row r="137" spans="1:10" x14ac:dyDescent="0.25">
      <c r="A137" t="s">
        <v>10</v>
      </c>
      <c r="B137" s="1">
        <v>70596.7</v>
      </c>
      <c r="C137">
        <v>60564.91</v>
      </c>
      <c r="D137" s="2">
        <v>43870</v>
      </c>
      <c r="E137" t="s">
        <v>80</v>
      </c>
      <c r="F137" t="s">
        <v>19</v>
      </c>
      <c r="G137" t="s">
        <v>13</v>
      </c>
      <c r="H137" t="s">
        <v>82</v>
      </c>
      <c r="I137" t="s">
        <v>28</v>
      </c>
      <c r="J137" t="s">
        <v>267</v>
      </c>
    </row>
    <row r="138" spans="1:10" x14ac:dyDescent="0.25">
      <c r="A138" t="s">
        <v>45</v>
      </c>
      <c r="B138" s="1">
        <v>169629.55</v>
      </c>
      <c r="C138">
        <v>135347.42000000001</v>
      </c>
      <c r="D138" s="2">
        <v>43761</v>
      </c>
      <c r="E138" t="s">
        <v>62</v>
      </c>
      <c r="F138" t="s">
        <v>35</v>
      </c>
      <c r="G138" t="s">
        <v>48</v>
      </c>
      <c r="H138" t="s">
        <v>74</v>
      </c>
      <c r="I138" t="s">
        <v>28</v>
      </c>
      <c r="J138" t="s">
        <v>268</v>
      </c>
    </row>
    <row r="139" spans="1:10" x14ac:dyDescent="0.25">
      <c r="A139" t="s">
        <v>23</v>
      </c>
      <c r="B139" s="1">
        <v>95387.89</v>
      </c>
      <c r="C139">
        <v>76195.850000000006</v>
      </c>
      <c r="D139" s="2">
        <v>43959</v>
      </c>
      <c r="E139" t="s">
        <v>11</v>
      </c>
      <c r="F139" t="s">
        <v>54</v>
      </c>
      <c r="G139" t="s">
        <v>26</v>
      </c>
      <c r="H139" t="s">
        <v>32</v>
      </c>
      <c r="I139" t="s">
        <v>28</v>
      </c>
      <c r="J139" t="s">
        <v>269</v>
      </c>
    </row>
    <row r="140" spans="1:10" x14ac:dyDescent="0.25">
      <c r="A140" t="s">
        <v>53</v>
      </c>
      <c r="B140" s="1">
        <v>50585.98</v>
      </c>
      <c r="C140">
        <v>40999.94</v>
      </c>
      <c r="D140" s="2">
        <v>44072</v>
      </c>
      <c r="E140" t="s">
        <v>30</v>
      </c>
      <c r="F140" t="s">
        <v>180</v>
      </c>
      <c r="G140" t="s">
        <v>55</v>
      </c>
      <c r="H140" t="s">
        <v>56</v>
      </c>
      <c r="I140" t="s">
        <v>38</v>
      </c>
      <c r="J140" t="s">
        <v>270</v>
      </c>
    </row>
    <row r="141" spans="1:10" x14ac:dyDescent="0.25">
      <c r="A141" t="s">
        <v>10</v>
      </c>
      <c r="B141" s="1">
        <v>103726.57</v>
      </c>
      <c r="C141">
        <v>90231.74</v>
      </c>
      <c r="D141" s="2">
        <v>43972</v>
      </c>
      <c r="E141" t="s">
        <v>24</v>
      </c>
      <c r="F141" t="s">
        <v>121</v>
      </c>
      <c r="G141" t="s">
        <v>13</v>
      </c>
      <c r="H141" t="s">
        <v>118</v>
      </c>
      <c r="I141" t="s">
        <v>15</v>
      </c>
      <c r="J141" t="s">
        <v>271</v>
      </c>
    </row>
    <row r="142" spans="1:10" x14ac:dyDescent="0.25">
      <c r="A142" t="s">
        <v>45</v>
      </c>
      <c r="B142" s="1">
        <v>222700.23</v>
      </c>
      <c r="C142">
        <v>194951.78</v>
      </c>
      <c r="D142" s="2">
        <v>44177</v>
      </c>
      <c r="E142" t="s">
        <v>51</v>
      </c>
      <c r="F142" t="s">
        <v>35</v>
      </c>
      <c r="G142" t="s">
        <v>48</v>
      </c>
      <c r="H142" t="s">
        <v>66</v>
      </c>
      <c r="I142" t="s">
        <v>15</v>
      </c>
      <c r="J142" t="s">
        <v>272</v>
      </c>
    </row>
    <row r="143" spans="1:10" x14ac:dyDescent="0.25">
      <c r="A143" t="s">
        <v>23</v>
      </c>
      <c r="B143" s="1">
        <v>143322.47</v>
      </c>
      <c r="C143">
        <v>114213.68</v>
      </c>
      <c r="D143" s="2">
        <v>43970</v>
      </c>
      <c r="E143" t="s">
        <v>11</v>
      </c>
      <c r="F143" t="s">
        <v>35</v>
      </c>
      <c r="G143" t="s">
        <v>26</v>
      </c>
      <c r="H143" t="s">
        <v>76</v>
      </c>
      <c r="I143" t="s">
        <v>28</v>
      </c>
      <c r="J143" t="s">
        <v>273</v>
      </c>
    </row>
    <row r="144" spans="1:10" x14ac:dyDescent="0.25">
      <c r="A144" t="s">
        <v>45</v>
      </c>
      <c r="B144" s="1">
        <v>128227.36</v>
      </c>
      <c r="C144">
        <v>106710.81</v>
      </c>
      <c r="D144" s="2">
        <v>43617</v>
      </c>
      <c r="E144" t="s">
        <v>46</v>
      </c>
      <c r="F144" t="s">
        <v>102</v>
      </c>
      <c r="G144" t="s">
        <v>48</v>
      </c>
      <c r="H144" t="s">
        <v>74</v>
      </c>
      <c r="I144" t="s">
        <v>28</v>
      </c>
      <c r="J144" t="s">
        <v>274</v>
      </c>
    </row>
    <row r="145" spans="1:10" x14ac:dyDescent="0.25">
      <c r="A145" t="s">
        <v>10</v>
      </c>
      <c r="B145" s="1">
        <v>127939.8</v>
      </c>
      <c r="C145">
        <v>112267.17</v>
      </c>
      <c r="D145" s="2">
        <v>43808</v>
      </c>
      <c r="E145" t="s">
        <v>24</v>
      </c>
      <c r="F145" t="s">
        <v>54</v>
      </c>
      <c r="G145" t="s">
        <v>13</v>
      </c>
      <c r="H145" t="s">
        <v>82</v>
      </c>
      <c r="I145" t="s">
        <v>28</v>
      </c>
      <c r="J145" t="s">
        <v>275</v>
      </c>
    </row>
    <row r="146" spans="1:10" x14ac:dyDescent="0.25">
      <c r="A146" t="s">
        <v>10</v>
      </c>
      <c r="B146" s="1">
        <v>146540.75</v>
      </c>
      <c r="C146">
        <v>120822.85</v>
      </c>
      <c r="D146" s="2">
        <v>43585</v>
      </c>
      <c r="E146" t="s">
        <v>60</v>
      </c>
      <c r="F146" t="s">
        <v>58</v>
      </c>
      <c r="G146" t="s">
        <v>13</v>
      </c>
      <c r="H146" t="s">
        <v>69</v>
      </c>
      <c r="I146" t="s">
        <v>28</v>
      </c>
      <c r="J146" t="s">
        <v>276</v>
      </c>
    </row>
    <row r="147" spans="1:10" x14ac:dyDescent="0.25">
      <c r="A147" t="s">
        <v>23</v>
      </c>
      <c r="B147" s="1">
        <v>36321.68</v>
      </c>
      <c r="C147">
        <v>31581.7</v>
      </c>
      <c r="D147" s="2">
        <v>44133</v>
      </c>
      <c r="E147" t="s">
        <v>11</v>
      </c>
      <c r="F147" t="s">
        <v>112</v>
      </c>
      <c r="G147" t="s">
        <v>26</v>
      </c>
      <c r="H147" t="s">
        <v>27</v>
      </c>
      <c r="I147" t="s">
        <v>28</v>
      </c>
      <c r="J147" t="s">
        <v>277</v>
      </c>
    </row>
    <row r="148" spans="1:10" x14ac:dyDescent="0.25">
      <c r="A148" t="s">
        <v>34</v>
      </c>
      <c r="B148" s="1">
        <v>42814.57</v>
      </c>
      <c r="C148">
        <v>35356.269999999997</v>
      </c>
      <c r="D148" s="2">
        <v>43497</v>
      </c>
      <c r="E148" t="s">
        <v>30</v>
      </c>
      <c r="F148" t="s">
        <v>126</v>
      </c>
      <c r="G148" t="s">
        <v>36</v>
      </c>
      <c r="H148" t="s">
        <v>41</v>
      </c>
      <c r="I148" t="s">
        <v>28</v>
      </c>
      <c r="J148" t="s">
        <v>278</v>
      </c>
    </row>
    <row r="149" spans="1:10" x14ac:dyDescent="0.25">
      <c r="A149" t="s">
        <v>45</v>
      </c>
      <c r="B149" s="1">
        <v>169262.2</v>
      </c>
      <c r="C149">
        <v>141080.04</v>
      </c>
      <c r="D149" s="2">
        <v>43947</v>
      </c>
      <c r="E149" t="s">
        <v>30</v>
      </c>
      <c r="F149" t="s">
        <v>110</v>
      </c>
      <c r="G149" t="s">
        <v>48</v>
      </c>
      <c r="H149" t="s">
        <v>49</v>
      </c>
      <c r="I149" t="s">
        <v>28</v>
      </c>
      <c r="J149" t="s">
        <v>279</v>
      </c>
    </row>
    <row r="150" spans="1:10" x14ac:dyDescent="0.25">
      <c r="A150" t="s">
        <v>10</v>
      </c>
      <c r="B150" s="1">
        <v>114427.36</v>
      </c>
      <c r="C150">
        <v>93727.45</v>
      </c>
      <c r="D150" s="2">
        <v>43901</v>
      </c>
      <c r="E150" t="s">
        <v>139</v>
      </c>
      <c r="F150" t="s">
        <v>68</v>
      </c>
      <c r="G150" t="s">
        <v>13</v>
      </c>
      <c r="H150" t="s">
        <v>14</v>
      </c>
      <c r="I150" t="s">
        <v>28</v>
      </c>
      <c r="J150" t="s">
        <v>280</v>
      </c>
    </row>
    <row r="151" spans="1:10" x14ac:dyDescent="0.25">
      <c r="A151" t="s">
        <v>45</v>
      </c>
      <c r="B151" s="1">
        <v>126979.62</v>
      </c>
      <c r="C151">
        <v>105113.73</v>
      </c>
      <c r="D151" s="2">
        <v>43734</v>
      </c>
      <c r="E151" t="s">
        <v>80</v>
      </c>
      <c r="F151" t="s">
        <v>121</v>
      </c>
      <c r="G151" t="s">
        <v>48</v>
      </c>
      <c r="H151" t="s">
        <v>66</v>
      </c>
      <c r="I151" t="s">
        <v>28</v>
      </c>
      <c r="J151" t="s">
        <v>281</v>
      </c>
    </row>
    <row r="152" spans="1:10" x14ac:dyDescent="0.25">
      <c r="A152" t="s">
        <v>106</v>
      </c>
      <c r="B152" s="1">
        <v>294874.74</v>
      </c>
      <c r="C152">
        <v>259106.43</v>
      </c>
      <c r="D152" s="2">
        <v>44180</v>
      </c>
      <c r="E152" t="s">
        <v>11</v>
      </c>
      <c r="F152" t="s">
        <v>282</v>
      </c>
      <c r="G152" t="s">
        <v>107</v>
      </c>
      <c r="H152" t="s">
        <v>108</v>
      </c>
      <c r="I152" t="s">
        <v>28</v>
      </c>
      <c r="J152" t="s">
        <v>283</v>
      </c>
    </row>
    <row r="153" spans="1:10" x14ac:dyDescent="0.25">
      <c r="A153" t="s">
        <v>45</v>
      </c>
      <c r="B153" s="1">
        <v>173258.94</v>
      </c>
      <c r="C153">
        <v>143198.51</v>
      </c>
      <c r="D153" s="2">
        <v>43609</v>
      </c>
      <c r="E153" t="s">
        <v>24</v>
      </c>
      <c r="F153" t="s">
        <v>35</v>
      </c>
      <c r="G153" t="s">
        <v>48</v>
      </c>
      <c r="H153" t="s">
        <v>74</v>
      </c>
      <c r="I153" t="s">
        <v>28</v>
      </c>
      <c r="J153" t="s">
        <v>284</v>
      </c>
    </row>
    <row r="154" spans="1:10" x14ac:dyDescent="0.25">
      <c r="A154" t="s">
        <v>106</v>
      </c>
      <c r="B154" s="1">
        <v>158362.32999999999</v>
      </c>
      <c r="C154">
        <v>133990.37</v>
      </c>
      <c r="D154" s="2">
        <v>44057</v>
      </c>
      <c r="E154" t="s">
        <v>11</v>
      </c>
      <c r="F154" t="s">
        <v>31</v>
      </c>
      <c r="G154" t="s">
        <v>107</v>
      </c>
      <c r="H154" t="s">
        <v>108</v>
      </c>
      <c r="I154" t="s">
        <v>28</v>
      </c>
      <c r="J154" t="s">
        <v>285</v>
      </c>
    </row>
    <row r="155" spans="1:10" x14ac:dyDescent="0.25">
      <c r="A155" t="s">
        <v>45</v>
      </c>
      <c r="B155" s="1">
        <v>50689.19</v>
      </c>
      <c r="C155">
        <v>43597.77</v>
      </c>
      <c r="D155" s="2">
        <v>44153</v>
      </c>
      <c r="E155" t="s">
        <v>24</v>
      </c>
      <c r="F155" t="s">
        <v>58</v>
      </c>
      <c r="G155" t="s">
        <v>48</v>
      </c>
      <c r="H155" t="s">
        <v>74</v>
      </c>
      <c r="I155" t="s">
        <v>28</v>
      </c>
      <c r="J155" t="s">
        <v>286</v>
      </c>
    </row>
    <row r="156" spans="1:10" x14ac:dyDescent="0.25">
      <c r="A156" t="s">
        <v>173</v>
      </c>
      <c r="B156" s="1">
        <v>117358.02</v>
      </c>
      <c r="C156">
        <v>102664.8</v>
      </c>
      <c r="D156" s="2">
        <v>44137</v>
      </c>
      <c r="E156" t="s">
        <v>24</v>
      </c>
      <c r="F156" t="s">
        <v>12</v>
      </c>
      <c r="G156" t="s">
        <v>175</v>
      </c>
      <c r="H156" t="s">
        <v>212</v>
      </c>
      <c r="I156" t="s">
        <v>28</v>
      </c>
      <c r="J156" t="s">
        <v>287</v>
      </c>
    </row>
    <row r="157" spans="1:10" x14ac:dyDescent="0.25">
      <c r="A157" t="s">
        <v>10</v>
      </c>
      <c r="B157" s="1">
        <v>93996.68</v>
      </c>
      <c r="C157">
        <v>77171.27</v>
      </c>
      <c r="D157" s="2">
        <v>44114</v>
      </c>
      <c r="E157" t="s">
        <v>18</v>
      </c>
      <c r="F157" t="s">
        <v>58</v>
      </c>
      <c r="G157" t="s">
        <v>13</v>
      </c>
      <c r="H157" t="s">
        <v>82</v>
      </c>
      <c r="I157" t="s">
        <v>15</v>
      </c>
      <c r="J157" t="s">
        <v>288</v>
      </c>
    </row>
    <row r="158" spans="1:10" x14ac:dyDescent="0.25">
      <c r="A158" t="s">
        <v>45</v>
      </c>
      <c r="B158" s="1">
        <v>119769.22</v>
      </c>
      <c r="C158">
        <v>98234.71</v>
      </c>
      <c r="D158" s="2">
        <v>43841</v>
      </c>
      <c r="E158" t="s">
        <v>11</v>
      </c>
      <c r="F158" t="s">
        <v>180</v>
      </c>
      <c r="G158" t="s">
        <v>48</v>
      </c>
      <c r="H158" t="s">
        <v>74</v>
      </c>
      <c r="I158" t="s">
        <v>28</v>
      </c>
      <c r="J158" t="s">
        <v>289</v>
      </c>
    </row>
    <row r="159" spans="1:10" x14ac:dyDescent="0.25">
      <c r="A159" t="s">
        <v>53</v>
      </c>
      <c r="B159" s="1">
        <v>84194.21</v>
      </c>
      <c r="C159">
        <v>71885.02</v>
      </c>
      <c r="D159" s="2">
        <v>44191</v>
      </c>
      <c r="E159" t="s">
        <v>11</v>
      </c>
      <c r="F159" t="s">
        <v>178</v>
      </c>
      <c r="G159" t="s">
        <v>55</v>
      </c>
      <c r="H159" t="s">
        <v>144</v>
      </c>
      <c r="I159" t="s">
        <v>15</v>
      </c>
      <c r="J159" t="s">
        <v>290</v>
      </c>
    </row>
    <row r="160" spans="1:10" x14ac:dyDescent="0.25">
      <c r="A160" t="s">
        <v>17</v>
      </c>
      <c r="B160" s="1">
        <v>205582.75</v>
      </c>
      <c r="C160">
        <v>166748.17000000001</v>
      </c>
      <c r="D160" s="2">
        <v>44187</v>
      </c>
      <c r="E160" t="s">
        <v>30</v>
      </c>
      <c r="F160" t="s">
        <v>291</v>
      </c>
      <c r="G160" t="s">
        <v>20</v>
      </c>
      <c r="H160" t="s">
        <v>21</v>
      </c>
      <c r="I160" t="s">
        <v>28</v>
      </c>
      <c r="J160" t="s">
        <v>292</v>
      </c>
    </row>
    <row r="161" spans="1:10" x14ac:dyDescent="0.25">
      <c r="A161" t="s">
        <v>10</v>
      </c>
      <c r="B161" s="1">
        <v>159793.46</v>
      </c>
      <c r="C161">
        <v>139180.1</v>
      </c>
      <c r="D161" s="2">
        <v>43631</v>
      </c>
      <c r="E161" t="s">
        <v>60</v>
      </c>
      <c r="F161" t="s">
        <v>58</v>
      </c>
      <c r="G161" t="s">
        <v>13</v>
      </c>
      <c r="H161" t="s">
        <v>82</v>
      </c>
      <c r="I161" t="s">
        <v>38</v>
      </c>
      <c r="J161" t="s">
        <v>293</v>
      </c>
    </row>
    <row r="162" spans="1:10" x14ac:dyDescent="0.25">
      <c r="A162" t="s">
        <v>23</v>
      </c>
      <c r="B162" s="1">
        <v>104711.22</v>
      </c>
      <c r="C162">
        <v>90868.4</v>
      </c>
      <c r="D162" s="2">
        <v>44068</v>
      </c>
      <c r="E162" t="s">
        <v>24</v>
      </c>
      <c r="F162" t="s">
        <v>294</v>
      </c>
      <c r="G162" t="s">
        <v>26</v>
      </c>
      <c r="H162" t="s">
        <v>76</v>
      </c>
      <c r="I162" t="s">
        <v>28</v>
      </c>
      <c r="J162" t="s">
        <v>295</v>
      </c>
    </row>
    <row r="163" spans="1:10" x14ac:dyDescent="0.25">
      <c r="A163" t="s">
        <v>53</v>
      </c>
      <c r="B163" s="1">
        <v>69126.5</v>
      </c>
      <c r="C163">
        <v>55902.6</v>
      </c>
      <c r="D163" s="2">
        <v>43807</v>
      </c>
      <c r="E163" t="s">
        <v>80</v>
      </c>
      <c r="F163" t="s">
        <v>40</v>
      </c>
      <c r="G163" t="s">
        <v>55</v>
      </c>
      <c r="H163" t="s">
        <v>144</v>
      </c>
      <c r="I163" t="s">
        <v>28</v>
      </c>
      <c r="J163" t="s">
        <v>296</v>
      </c>
    </row>
    <row r="164" spans="1:10" x14ac:dyDescent="0.25">
      <c r="A164" t="s">
        <v>10</v>
      </c>
      <c r="B164" s="1">
        <v>20226.11</v>
      </c>
      <c r="C164">
        <v>17408.61</v>
      </c>
      <c r="D164" s="2">
        <v>43519</v>
      </c>
      <c r="E164" t="s">
        <v>80</v>
      </c>
      <c r="F164" t="s">
        <v>25</v>
      </c>
      <c r="G164" t="s">
        <v>13</v>
      </c>
      <c r="H164" t="s">
        <v>118</v>
      </c>
      <c r="I164" t="s">
        <v>28</v>
      </c>
      <c r="J164" t="s">
        <v>297</v>
      </c>
    </row>
    <row r="165" spans="1:10" x14ac:dyDescent="0.25">
      <c r="A165" t="s">
        <v>53</v>
      </c>
      <c r="B165" s="1">
        <v>65036.81</v>
      </c>
      <c r="C165">
        <v>52361.14</v>
      </c>
      <c r="D165" s="2">
        <v>43615</v>
      </c>
      <c r="E165" t="s">
        <v>139</v>
      </c>
      <c r="F165" t="s">
        <v>110</v>
      </c>
      <c r="G165" t="s">
        <v>55</v>
      </c>
      <c r="H165" t="s">
        <v>72</v>
      </c>
      <c r="I165" t="s">
        <v>28</v>
      </c>
      <c r="J165" t="s">
        <v>298</v>
      </c>
    </row>
    <row r="166" spans="1:10" x14ac:dyDescent="0.25">
      <c r="A166" t="s">
        <v>53</v>
      </c>
      <c r="B166" s="1">
        <v>254021.98</v>
      </c>
      <c r="C166">
        <v>205605.39</v>
      </c>
      <c r="D166" s="2">
        <v>43649</v>
      </c>
      <c r="E166" t="s">
        <v>24</v>
      </c>
      <c r="F166" t="s">
        <v>182</v>
      </c>
      <c r="G166" t="s">
        <v>55</v>
      </c>
      <c r="H166" t="s">
        <v>56</v>
      </c>
      <c r="I166" t="s">
        <v>28</v>
      </c>
      <c r="J166" t="s">
        <v>299</v>
      </c>
    </row>
    <row r="167" spans="1:10" x14ac:dyDescent="0.25">
      <c r="A167" t="s">
        <v>106</v>
      </c>
      <c r="B167" s="1">
        <v>160185.99</v>
      </c>
      <c r="C167">
        <v>130487.51</v>
      </c>
      <c r="D167" s="2">
        <v>44101</v>
      </c>
      <c r="E167" t="s">
        <v>46</v>
      </c>
      <c r="F167" t="s">
        <v>178</v>
      </c>
      <c r="G167" t="s">
        <v>107</v>
      </c>
      <c r="H167" t="s">
        <v>108</v>
      </c>
      <c r="I167" t="s">
        <v>28</v>
      </c>
      <c r="J167" t="s">
        <v>300</v>
      </c>
    </row>
    <row r="168" spans="1:10" x14ac:dyDescent="0.25">
      <c r="A168" t="s">
        <v>45</v>
      </c>
      <c r="B168" s="1">
        <v>81219.67</v>
      </c>
      <c r="C168">
        <v>70319.990000000005</v>
      </c>
      <c r="D168" s="2">
        <v>43971</v>
      </c>
      <c r="E168" t="s">
        <v>24</v>
      </c>
      <c r="F168" t="s">
        <v>31</v>
      </c>
      <c r="G168" t="s">
        <v>48</v>
      </c>
      <c r="H168" t="s">
        <v>66</v>
      </c>
      <c r="I168" t="s">
        <v>28</v>
      </c>
      <c r="J168" t="s">
        <v>301</v>
      </c>
    </row>
    <row r="169" spans="1:10" x14ac:dyDescent="0.25">
      <c r="A169" t="s">
        <v>23</v>
      </c>
      <c r="B169" s="1">
        <v>108412.76</v>
      </c>
      <c r="C169">
        <v>88594.91</v>
      </c>
      <c r="D169" s="2">
        <v>43680</v>
      </c>
      <c r="E169" t="s">
        <v>60</v>
      </c>
      <c r="F169" t="s">
        <v>302</v>
      </c>
      <c r="G169" t="s">
        <v>26</v>
      </c>
      <c r="H169" t="s">
        <v>76</v>
      </c>
      <c r="I169" t="s">
        <v>15</v>
      </c>
      <c r="J169" t="s">
        <v>303</v>
      </c>
    </row>
    <row r="170" spans="1:10" x14ac:dyDescent="0.25">
      <c r="A170" t="s">
        <v>34</v>
      </c>
      <c r="B170" s="1">
        <v>42028.45</v>
      </c>
      <c r="C170">
        <v>36299.97</v>
      </c>
      <c r="D170" s="2">
        <v>43891</v>
      </c>
      <c r="E170" t="s">
        <v>139</v>
      </c>
      <c r="F170" t="s">
        <v>31</v>
      </c>
      <c r="G170" t="s">
        <v>36</v>
      </c>
      <c r="H170" t="s">
        <v>41</v>
      </c>
      <c r="I170" t="s">
        <v>28</v>
      </c>
      <c r="J170" t="s">
        <v>304</v>
      </c>
    </row>
    <row r="171" spans="1:10" x14ac:dyDescent="0.25">
      <c r="A171" t="s">
        <v>10</v>
      </c>
      <c r="B171" s="1">
        <v>62272.959999999999</v>
      </c>
      <c r="C171">
        <v>54600.93</v>
      </c>
      <c r="D171" s="2">
        <v>43516</v>
      </c>
      <c r="E171" t="s">
        <v>30</v>
      </c>
      <c r="F171" t="s">
        <v>302</v>
      </c>
      <c r="G171" t="s">
        <v>13</v>
      </c>
      <c r="H171" t="s">
        <v>118</v>
      </c>
      <c r="I171" t="s">
        <v>28</v>
      </c>
      <c r="J171" t="s">
        <v>305</v>
      </c>
    </row>
    <row r="172" spans="1:10" x14ac:dyDescent="0.25">
      <c r="A172" t="s">
        <v>10</v>
      </c>
      <c r="B172" s="1">
        <v>91350.76</v>
      </c>
      <c r="C172">
        <v>75839.399999999994</v>
      </c>
      <c r="D172" s="2">
        <v>43500</v>
      </c>
      <c r="E172" t="s">
        <v>18</v>
      </c>
      <c r="F172" t="s">
        <v>68</v>
      </c>
      <c r="G172" t="s">
        <v>13</v>
      </c>
      <c r="H172" t="s">
        <v>82</v>
      </c>
      <c r="I172" t="s">
        <v>28</v>
      </c>
      <c r="J172" t="s">
        <v>306</v>
      </c>
    </row>
    <row r="173" spans="1:10" x14ac:dyDescent="0.25">
      <c r="A173" t="s">
        <v>45</v>
      </c>
      <c r="B173" s="1">
        <v>123272.44</v>
      </c>
      <c r="C173">
        <v>101576.49</v>
      </c>
      <c r="D173" s="2">
        <v>43485</v>
      </c>
      <c r="E173" t="s">
        <v>24</v>
      </c>
      <c r="F173" t="s">
        <v>158</v>
      </c>
      <c r="G173" t="s">
        <v>48</v>
      </c>
      <c r="H173" t="s">
        <v>66</v>
      </c>
      <c r="I173" t="s">
        <v>38</v>
      </c>
      <c r="J173" t="s">
        <v>307</v>
      </c>
    </row>
    <row r="174" spans="1:10" x14ac:dyDescent="0.25">
      <c r="A174" t="s">
        <v>106</v>
      </c>
      <c r="B174" s="1">
        <v>182852.21</v>
      </c>
      <c r="C174">
        <v>145440.65</v>
      </c>
      <c r="D174" s="2">
        <v>43827</v>
      </c>
      <c r="E174" t="s">
        <v>62</v>
      </c>
      <c r="F174" t="s">
        <v>35</v>
      </c>
      <c r="G174" t="s">
        <v>107</v>
      </c>
      <c r="H174" t="s">
        <v>108</v>
      </c>
      <c r="I174" t="s">
        <v>28</v>
      </c>
      <c r="J174" t="s">
        <v>308</v>
      </c>
    </row>
    <row r="175" spans="1:10" x14ac:dyDescent="0.25">
      <c r="A175" t="s">
        <v>23</v>
      </c>
      <c r="B175" s="1">
        <v>118321.11</v>
      </c>
      <c r="C175">
        <v>94822.54</v>
      </c>
      <c r="D175" s="2">
        <v>44158</v>
      </c>
      <c r="E175" t="s">
        <v>80</v>
      </c>
      <c r="F175" t="s">
        <v>68</v>
      </c>
      <c r="G175" t="s">
        <v>26</v>
      </c>
      <c r="H175" t="s">
        <v>32</v>
      </c>
      <c r="I175" t="s">
        <v>38</v>
      </c>
      <c r="J175" t="s">
        <v>309</v>
      </c>
    </row>
    <row r="176" spans="1:10" x14ac:dyDescent="0.25">
      <c r="A176" t="s">
        <v>45</v>
      </c>
      <c r="B176" s="1">
        <v>74295.81</v>
      </c>
      <c r="C176">
        <v>63716.09</v>
      </c>
      <c r="D176" s="2">
        <v>43566</v>
      </c>
      <c r="E176" t="s">
        <v>18</v>
      </c>
      <c r="F176" t="s">
        <v>116</v>
      </c>
      <c r="G176" t="s">
        <v>48</v>
      </c>
      <c r="H176" t="s">
        <v>66</v>
      </c>
      <c r="I176" t="s">
        <v>28</v>
      </c>
      <c r="J176" t="s">
        <v>310</v>
      </c>
    </row>
    <row r="177" spans="1:10" x14ac:dyDescent="0.25">
      <c r="A177" t="s">
        <v>45</v>
      </c>
      <c r="B177" s="1">
        <v>152865.34</v>
      </c>
      <c r="C177">
        <v>121130.5</v>
      </c>
      <c r="D177" s="2">
        <v>44171</v>
      </c>
      <c r="E177" t="s">
        <v>24</v>
      </c>
      <c r="F177" t="s">
        <v>311</v>
      </c>
      <c r="G177" t="s">
        <v>48</v>
      </c>
      <c r="H177" t="s">
        <v>66</v>
      </c>
      <c r="I177" t="s">
        <v>28</v>
      </c>
      <c r="J177" t="s">
        <v>312</v>
      </c>
    </row>
    <row r="178" spans="1:10" x14ac:dyDescent="0.25">
      <c r="A178" t="s">
        <v>53</v>
      </c>
      <c r="B178" s="1">
        <v>171458.64</v>
      </c>
      <c r="C178">
        <v>148877.54</v>
      </c>
      <c r="D178" s="2">
        <v>43693</v>
      </c>
      <c r="E178" t="s">
        <v>11</v>
      </c>
      <c r="F178" t="s">
        <v>148</v>
      </c>
      <c r="G178" t="s">
        <v>55</v>
      </c>
      <c r="H178" t="s">
        <v>128</v>
      </c>
      <c r="I178" t="s">
        <v>28</v>
      </c>
      <c r="J178" t="s">
        <v>313</v>
      </c>
    </row>
    <row r="179" spans="1:10" x14ac:dyDescent="0.25">
      <c r="A179" t="s">
        <v>45</v>
      </c>
      <c r="B179" s="1">
        <v>156177.76999999999</v>
      </c>
      <c r="C179">
        <v>130096.08</v>
      </c>
      <c r="D179" s="2">
        <v>43823</v>
      </c>
      <c r="E179" t="s">
        <v>24</v>
      </c>
      <c r="F179" t="s">
        <v>35</v>
      </c>
      <c r="G179" t="s">
        <v>48</v>
      </c>
      <c r="H179" t="s">
        <v>49</v>
      </c>
      <c r="I179" t="s">
        <v>28</v>
      </c>
      <c r="J179" t="s">
        <v>314</v>
      </c>
    </row>
    <row r="180" spans="1:10" x14ac:dyDescent="0.25">
      <c r="A180" t="s">
        <v>23</v>
      </c>
      <c r="B180" s="1">
        <v>116023.51</v>
      </c>
      <c r="C180">
        <v>96566.37</v>
      </c>
      <c r="D180" s="2">
        <v>43984</v>
      </c>
      <c r="E180" t="s">
        <v>60</v>
      </c>
      <c r="F180" t="s">
        <v>68</v>
      </c>
      <c r="G180" t="s">
        <v>26</v>
      </c>
      <c r="H180" t="s">
        <v>27</v>
      </c>
      <c r="I180" t="s">
        <v>28</v>
      </c>
      <c r="J180" t="s">
        <v>315</v>
      </c>
    </row>
    <row r="181" spans="1:10" x14ac:dyDescent="0.25">
      <c r="A181" t="s">
        <v>53</v>
      </c>
      <c r="B181" s="1">
        <v>70657.259999999995</v>
      </c>
      <c r="C181">
        <v>61330.5</v>
      </c>
      <c r="D181" s="2">
        <v>44079</v>
      </c>
      <c r="E181" t="s">
        <v>139</v>
      </c>
      <c r="F181" t="s">
        <v>71</v>
      </c>
      <c r="G181" t="s">
        <v>55</v>
      </c>
      <c r="H181" t="s">
        <v>56</v>
      </c>
      <c r="I181" t="s">
        <v>28</v>
      </c>
      <c r="J181" t="s">
        <v>316</v>
      </c>
    </row>
    <row r="182" spans="1:10" x14ac:dyDescent="0.25">
      <c r="A182" t="s">
        <v>84</v>
      </c>
      <c r="B182" s="1">
        <v>104152.15</v>
      </c>
      <c r="C182">
        <v>85696.39</v>
      </c>
      <c r="D182" s="2">
        <v>43591</v>
      </c>
      <c r="E182" t="s">
        <v>60</v>
      </c>
      <c r="F182" t="s">
        <v>58</v>
      </c>
      <c r="G182" t="s">
        <v>85</v>
      </c>
      <c r="H182" t="s">
        <v>86</v>
      </c>
      <c r="I182" t="s">
        <v>15</v>
      </c>
      <c r="J182" t="s">
        <v>317</v>
      </c>
    </row>
    <row r="183" spans="1:10" x14ac:dyDescent="0.25">
      <c r="A183" t="s">
        <v>23</v>
      </c>
      <c r="B183" s="1">
        <v>84224.98</v>
      </c>
      <c r="C183">
        <v>68239.08</v>
      </c>
      <c r="D183" s="2">
        <v>43486</v>
      </c>
      <c r="E183" t="s">
        <v>51</v>
      </c>
      <c r="F183" t="s">
        <v>31</v>
      </c>
      <c r="G183" t="s">
        <v>26</v>
      </c>
      <c r="H183" t="s">
        <v>32</v>
      </c>
      <c r="I183" t="s">
        <v>15</v>
      </c>
      <c r="J183" t="s">
        <v>318</v>
      </c>
    </row>
    <row r="184" spans="1:10" x14ac:dyDescent="0.25">
      <c r="A184" t="s">
        <v>23</v>
      </c>
      <c r="B184" s="1">
        <v>172505.24</v>
      </c>
      <c r="C184">
        <v>139125.48000000001</v>
      </c>
      <c r="D184" s="2">
        <v>44106</v>
      </c>
      <c r="E184" t="s">
        <v>46</v>
      </c>
      <c r="F184" t="s">
        <v>302</v>
      </c>
      <c r="G184" t="s">
        <v>26</v>
      </c>
      <c r="H184" t="s">
        <v>219</v>
      </c>
      <c r="I184" t="s">
        <v>28</v>
      </c>
      <c r="J184" t="s">
        <v>319</v>
      </c>
    </row>
    <row r="185" spans="1:10" x14ac:dyDescent="0.25">
      <c r="A185" t="s">
        <v>23</v>
      </c>
      <c r="B185" s="1">
        <v>89830.34</v>
      </c>
      <c r="C185">
        <v>76795.960000000006</v>
      </c>
      <c r="D185" s="2">
        <v>43574</v>
      </c>
      <c r="E185" t="s">
        <v>18</v>
      </c>
      <c r="F185" t="s">
        <v>35</v>
      </c>
      <c r="G185" t="s">
        <v>26</v>
      </c>
      <c r="H185" t="s">
        <v>32</v>
      </c>
      <c r="I185" t="s">
        <v>38</v>
      </c>
      <c r="J185" t="s">
        <v>320</v>
      </c>
    </row>
    <row r="186" spans="1:10" x14ac:dyDescent="0.25">
      <c r="A186" t="s">
        <v>84</v>
      </c>
      <c r="B186" s="1">
        <v>353925.06</v>
      </c>
      <c r="C186">
        <v>287528.71999999997</v>
      </c>
      <c r="D186" s="2">
        <v>44169</v>
      </c>
      <c r="E186" t="s">
        <v>24</v>
      </c>
      <c r="F186" t="s">
        <v>254</v>
      </c>
      <c r="G186" t="s">
        <v>85</v>
      </c>
      <c r="H186" t="s">
        <v>86</v>
      </c>
      <c r="I186" t="s">
        <v>28</v>
      </c>
      <c r="J186" t="s">
        <v>321</v>
      </c>
    </row>
    <row r="187" spans="1:10" x14ac:dyDescent="0.25">
      <c r="A187" t="s">
        <v>53</v>
      </c>
      <c r="B187" s="1">
        <v>141436.98000000001</v>
      </c>
      <c r="C187">
        <v>114691.25</v>
      </c>
      <c r="D187" s="2">
        <v>43611</v>
      </c>
      <c r="E187" t="s">
        <v>62</v>
      </c>
      <c r="F187" t="s">
        <v>155</v>
      </c>
      <c r="G187" t="s">
        <v>55</v>
      </c>
      <c r="H187" t="s">
        <v>56</v>
      </c>
      <c r="I187" t="s">
        <v>28</v>
      </c>
      <c r="J187" t="s">
        <v>322</v>
      </c>
    </row>
    <row r="188" spans="1:10" x14ac:dyDescent="0.25">
      <c r="A188" t="s">
        <v>45</v>
      </c>
      <c r="B188" s="1">
        <v>178465.4</v>
      </c>
      <c r="C188">
        <v>156282.15</v>
      </c>
      <c r="D188" s="2">
        <v>43948</v>
      </c>
      <c r="E188" t="s">
        <v>46</v>
      </c>
      <c r="F188" t="s">
        <v>302</v>
      </c>
      <c r="G188" t="s">
        <v>48</v>
      </c>
      <c r="H188" t="s">
        <v>49</v>
      </c>
      <c r="I188" t="s">
        <v>28</v>
      </c>
      <c r="J188" t="s">
        <v>323</v>
      </c>
    </row>
    <row r="189" spans="1:10" x14ac:dyDescent="0.25">
      <c r="A189" t="s">
        <v>10</v>
      </c>
      <c r="B189" s="1">
        <v>110092.84</v>
      </c>
      <c r="C189">
        <v>92797.25</v>
      </c>
      <c r="D189" s="2">
        <v>44011</v>
      </c>
      <c r="E189" t="s">
        <v>139</v>
      </c>
      <c r="F189" t="s">
        <v>71</v>
      </c>
      <c r="G189" t="s">
        <v>13</v>
      </c>
      <c r="H189" t="s">
        <v>69</v>
      </c>
      <c r="I189" t="s">
        <v>38</v>
      </c>
      <c r="J189" t="s">
        <v>324</v>
      </c>
    </row>
    <row r="190" spans="1:10" x14ac:dyDescent="0.25">
      <c r="A190" t="s">
        <v>45</v>
      </c>
      <c r="B190" s="1">
        <v>154715.49</v>
      </c>
      <c r="C190">
        <v>126572.74</v>
      </c>
      <c r="D190" s="2">
        <v>44127</v>
      </c>
      <c r="E190" t="s">
        <v>80</v>
      </c>
      <c r="F190" t="s">
        <v>174</v>
      </c>
      <c r="G190" t="s">
        <v>48</v>
      </c>
      <c r="H190" t="s">
        <v>66</v>
      </c>
      <c r="I190" t="s">
        <v>28</v>
      </c>
      <c r="J190" t="s">
        <v>325</v>
      </c>
    </row>
    <row r="191" spans="1:10" x14ac:dyDescent="0.25">
      <c r="A191" t="s">
        <v>10</v>
      </c>
      <c r="B191" s="1">
        <v>92877.57</v>
      </c>
      <c r="C191">
        <v>75936.7</v>
      </c>
      <c r="D191" s="2">
        <v>43926</v>
      </c>
      <c r="E191" t="s">
        <v>80</v>
      </c>
      <c r="F191" t="s">
        <v>64</v>
      </c>
      <c r="G191" t="s">
        <v>13</v>
      </c>
      <c r="H191" t="s">
        <v>14</v>
      </c>
      <c r="I191" t="s">
        <v>15</v>
      </c>
      <c r="J191" t="s">
        <v>326</v>
      </c>
    </row>
    <row r="192" spans="1:10" x14ac:dyDescent="0.25">
      <c r="A192" t="s">
        <v>53</v>
      </c>
      <c r="B192" s="1">
        <v>66141.13</v>
      </c>
      <c r="C192">
        <v>53435.42</v>
      </c>
      <c r="D192" s="2">
        <v>43611</v>
      </c>
      <c r="E192" t="s">
        <v>24</v>
      </c>
      <c r="F192" t="s">
        <v>327</v>
      </c>
      <c r="G192" t="s">
        <v>55</v>
      </c>
      <c r="H192" t="s">
        <v>133</v>
      </c>
      <c r="I192" t="s">
        <v>28</v>
      </c>
      <c r="J192" t="s">
        <v>328</v>
      </c>
    </row>
    <row r="193" spans="1:10" x14ac:dyDescent="0.25">
      <c r="A193" t="s">
        <v>215</v>
      </c>
      <c r="B193" s="1">
        <v>241782.39</v>
      </c>
      <c r="C193">
        <v>196544.91</v>
      </c>
      <c r="D193" s="2">
        <v>43991</v>
      </c>
      <c r="E193" t="s">
        <v>51</v>
      </c>
      <c r="F193" t="s">
        <v>35</v>
      </c>
      <c r="G193" t="s">
        <v>216</v>
      </c>
      <c r="H193" t="s">
        <v>217</v>
      </c>
      <c r="I193" t="s">
        <v>28</v>
      </c>
      <c r="J193" t="s">
        <v>329</v>
      </c>
    </row>
    <row r="194" spans="1:10" x14ac:dyDescent="0.25">
      <c r="A194" t="s">
        <v>23</v>
      </c>
      <c r="B194" s="1">
        <v>211872.69</v>
      </c>
      <c r="C194">
        <v>177930.69</v>
      </c>
      <c r="D194" s="2">
        <v>43669</v>
      </c>
      <c r="E194" t="s">
        <v>18</v>
      </c>
      <c r="F194" t="s">
        <v>35</v>
      </c>
      <c r="G194" t="s">
        <v>26</v>
      </c>
      <c r="H194" t="s">
        <v>90</v>
      </c>
      <c r="I194" t="s">
        <v>15</v>
      </c>
      <c r="J194" t="s">
        <v>330</v>
      </c>
    </row>
    <row r="195" spans="1:10" x14ac:dyDescent="0.25">
      <c r="A195" t="s">
        <v>23</v>
      </c>
      <c r="B195" s="1">
        <v>170408.23</v>
      </c>
      <c r="C195">
        <v>143432.60999999999</v>
      </c>
      <c r="D195" s="2">
        <v>44138</v>
      </c>
      <c r="E195" t="s">
        <v>24</v>
      </c>
      <c r="F195" t="s">
        <v>302</v>
      </c>
      <c r="G195" t="s">
        <v>26</v>
      </c>
      <c r="H195" t="s">
        <v>32</v>
      </c>
      <c r="I195" t="s">
        <v>15</v>
      </c>
      <c r="J195" t="s">
        <v>331</v>
      </c>
    </row>
    <row r="196" spans="1:10" x14ac:dyDescent="0.25">
      <c r="A196" t="s">
        <v>10</v>
      </c>
      <c r="B196" s="1">
        <v>157683.41</v>
      </c>
      <c r="C196">
        <v>130624.94</v>
      </c>
      <c r="D196" s="2">
        <v>43624</v>
      </c>
      <c r="E196" t="s">
        <v>80</v>
      </c>
      <c r="F196" t="s">
        <v>166</v>
      </c>
      <c r="G196" t="s">
        <v>13</v>
      </c>
      <c r="H196" t="s">
        <v>82</v>
      </c>
      <c r="I196" t="s">
        <v>38</v>
      </c>
      <c r="J196" t="s">
        <v>332</v>
      </c>
    </row>
    <row r="197" spans="1:10" x14ac:dyDescent="0.25">
      <c r="A197" t="s">
        <v>23</v>
      </c>
      <c r="B197" s="1">
        <v>116157.89</v>
      </c>
      <c r="C197">
        <v>97166.07</v>
      </c>
      <c r="D197" s="2">
        <v>43783</v>
      </c>
      <c r="E197" t="s">
        <v>18</v>
      </c>
      <c r="F197" t="s">
        <v>333</v>
      </c>
      <c r="G197" t="s">
        <v>26</v>
      </c>
      <c r="H197" t="s">
        <v>90</v>
      </c>
      <c r="I197" t="s">
        <v>28</v>
      </c>
      <c r="J197" t="s">
        <v>334</v>
      </c>
    </row>
    <row r="198" spans="1:10" x14ac:dyDescent="0.25">
      <c r="A198" t="s">
        <v>53</v>
      </c>
      <c r="B198" s="1">
        <v>56106.13</v>
      </c>
      <c r="C198">
        <v>45081.27</v>
      </c>
      <c r="D198" s="2">
        <v>43902</v>
      </c>
      <c r="E198" t="s">
        <v>80</v>
      </c>
      <c r="F198" t="s">
        <v>71</v>
      </c>
      <c r="G198" t="s">
        <v>55</v>
      </c>
      <c r="H198" t="s">
        <v>72</v>
      </c>
      <c r="I198" t="s">
        <v>28</v>
      </c>
      <c r="J198" t="s">
        <v>335</v>
      </c>
    </row>
    <row r="199" spans="1:10" x14ac:dyDescent="0.25">
      <c r="A199" t="s">
        <v>10</v>
      </c>
      <c r="B199" s="1">
        <v>40385.449999999997</v>
      </c>
      <c r="C199">
        <v>32591.06</v>
      </c>
      <c r="D199" s="2">
        <v>44027</v>
      </c>
      <c r="E199" t="s">
        <v>60</v>
      </c>
      <c r="F199" t="s">
        <v>97</v>
      </c>
      <c r="G199" t="s">
        <v>13</v>
      </c>
      <c r="H199" t="s">
        <v>170</v>
      </c>
      <c r="I199" t="s">
        <v>28</v>
      </c>
      <c r="J199" t="s">
        <v>336</v>
      </c>
    </row>
    <row r="200" spans="1:10" x14ac:dyDescent="0.25">
      <c r="A200" t="s">
        <v>45</v>
      </c>
      <c r="B200" s="1">
        <v>112491.58</v>
      </c>
      <c r="C200">
        <v>92254.34</v>
      </c>
      <c r="D200" s="2">
        <v>43762</v>
      </c>
      <c r="E200" t="s">
        <v>51</v>
      </c>
      <c r="F200" t="s">
        <v>31</v>
      </c>
      <c r="G200" t="s">
        <v>48</v>
      </c>
      <c r="H200" t="s">
        <v>66</v>
      </c>
      <c r="I200" t="s">
        <v>15</v>
      </c>
      <c r="J200" t="s">
        <v>337</v>
      </c>
    </row>
    <row r="201" spans="1:10" x14ac:dyDescent="0.25">
      <c r="A201" t="s">
        <v>17</v>
      </c>
      <c r="B201" s="1">
        <v>200635.57</v>
      </c>
      <c r="C201">
        <v>172245.64</v>
      </c>
      <c r="D201" s="2">
        <v>43810</v>
      </c>
      <c r="E201" t="s">
        <v>24</v>
      </c>
      <c r="F201" t="s">
        <v>25</v>
      </c>
      <c r="G201" t="s">
        <v>20</v>
      </c>
      <c r="H201" t="s">
        <v>21</v>
      </c>
      <c r="I201" t="s">
        <v>28</v>
      </c>
      <c r="J201" t="s">
        <v>338</v>
      </c>
    </row>
    <row r="202" spans="1:10" x14ac:dyDescent="0.25">
      <c r="A202" t="s">
        <v>23</v>
      </c>
      <c r="B202" s="1">
        <v>243176.92</v>
      </c>
      <c r="C202">
        <v>202250.23999999999</v>
      </c>
      <c r="D202" s="2">
        <v>44015</v>
      </c>
      <c r="E202" t="s">
        <v>51</v>
      </c>
      <c r="F202" t="s">
        <v>54</v>
      </c>
      <c r="G202" t="s">
        <v>26</v>
      </c>
      <c r="H202" t="s">
        <v>90</v>
      </c>
      <c r="I202" t="s">
        <v>28</v>
      </c>
      <c r="J202" t="s">
        <v>339</v>
      </c>
    </row>
    <row r="203" spans="1:10" x14ac:dyDescent="0.25">
      <c r="A203" t="s">
        <v>23</v>
      </c>
      <c r="B203" s="1">
        <v>52227.07</v>
      </c>
      <c r="C203">
        <v>45124.19</v>
      </c>
      <c r="D203" s="2">
        <v>43538</v>
      </c>
      <c r="E203" t="s">
        <v>11</v>
      </c>
      <c r="F203" t="s">
        <v>40</v>
      </c>
      <c r="G203" t="s">
        <v>26</v>
      </c>
      <c r="H203" t="s">
        <v>76</v>
      </c>
      <c r="I203" t="s">
        <v>28</v>
      </c>
      <c r="J203" t="s">
        <v>340</v>
      </c>
    </row>
    <row r="204" spans="1:10" x14ac:dyDescent="0.25">
      <c r="A204" t="s">
        <v>101</v>
      </c>
      <c r="B204" s="1">
        <v>147672.87</v>
      </c>
      <c r="C204">
        <v>129110.39</v>
      </c>
      <c r="D204" s="2">
        <v>43753</v>
      </c>
      <c r="E204" t="s">
        <v>80</v>
      </c>
      <c r="F204" t="s">
        <v>341</v>
      </c>
      <c r="G204" t="s">
        <v>103</v>
      </c>
      <c r="H204" t="s">
        <v>162</v>
      </c>
      <c r="I204" t="s">
        <v>28</v>
      </c>
      <c r="J204" t="s">
        <v>342</v>
      </c>
    </row>
    <row r="205" spans="1:10" x14ac:dyDescent="0.25">
      <c r="A205" t="s">
        <v>53</v>
      </c>
      <c r="B205" s="1">
        <v>149500.60999999999</v>
      </c>
      <c r="C205">
        <v>125401.11</v>
      </c>
      <c r="D205" s="2">
        <v>44036</v>
      </c>
      <c r="E205" t="s">
        <v>18</v>
      </c>
      <c r="F205" t="s">
        <v>148</v>
      </c>
      <c r="G205" t="s">
        <v>55</v>
      </c>
      <c r="H205" t="s">
        <v>128</v>
      </c>
      <c r="I205" t="s">
        <v>28</v>
      </c>
      <c r="J205" t="s">
        <v>343</v>
      </c>
    </row>
    <row r="206" spans="1:10" x14ac:dyDescent="0.25">
      <c r="A206" t="s">
        <v>53</v>
      </c>
      <c r="B206" s="1">
        <v>53089.52</v>
      </c>
      <c r="C206">
        <v>44812.86</v>
      </c>
      <c r="D206" s="2">
        <v>43701</v>
      </c>
      <c r="E206" t="s">
        <v>30</v>
      </c>
      <c r="F206" t="s">
        <v>12</v>
      </c>
      <c r="G206" t="s">
        <v>55</v>
      </c>
      <c r="H206" t="s">
        <v>128</v>
      </c>
      <c r="I206" t="s">
        <v>28</v>
      </c>
      <c r="J206" t="s">
        <v>344</v>
      </c>
    </row>
    <row r="207" spans="1:10" x14ac:dyDescent="0.25">
      <c r="A207" t="s">
        <v>53</v>
      </c>
      <c r="B207" s="1">
        <v>85223.07</v>
      </c>
      <c r="C207">
        <v>73002.080000000002</v>
      </c>
      <c r="D207" s="2">
        <v>43723</v>
      </c>
      <c r="E207" t="s">
        <v>30</v>
      </c>
      <c r="F207" t="s">
        <v>135</v>
      </c>
      <c r="G207" t="s">
        <v>55</v>
      </c>
      <c r="H207" t="s">
        <v>56</v>
      </c>
      <c r="I207" t="s">
        <v>28</v>
      </c>
      <c r="J207" t="s">
        <v>345</v>
      </c>
    </row>
    <row r="208" spans="1:10" x14ac:dyDescent="0.25">
      <c r="A208" t="s">
        <v>346</v>
      </c>
      <c r="B208" s="1">
        <v>58948.52</v>
      </c>
      <c r="C208">
        <v>49416.54</v>
      </c>
      <c r="D208" s="2">
        <v>43971</v>
      </c>
      <c r="E208" t="s">
        <v>24</v>
      </c>
      <c r="F208" t="s">
        <v>64</v>
      </c>
      <c r="G208" t="s">
        <v>347</v>
      </c>
      <c r="H208" t="s">
        <v>348</v>
      </c>
      <c r="I208" t="s">
        <v>28</v>
      </c>
      <c r="J208" t="s">
        <v>349</v>
      </c>
    </row>
    <row r="209" spans="1:10" x14ac:dyDescent="0.25">
      <c r="A209" t="s">
        <v>23</v>
      </c>
      <c r="B209" s="1">
        <v>165696.9</v>
      </c>
      <c r="C209">
        <v>132275.84</v>
      </c>
      <c r="D209" s="2">
        <v>44126</v>
      </c>
      <c r="E209" t="s">
        <v>80</v>
      </c>
      <c r="F209" t="s">
        <v>92</v>
      </c>
      <c r="G209" t="s">
        <v>26</v>
      </c>
      <c r="H209" t="s">
        <v>32</v>
      </c>
      <c r="I209" t="s">
        <v>28</v>
      </c>
      <c r="J209" t="s">
        <v>350</v>
      </c>
    </row>
    <row r="210" spans="1:10" x14ac:dyDescent="0.25">
      <c r="A210" t="s">
        <v>10</v>
      </c>
      <c r="B210" s="1">
        <v>177993.88</v>
      </c>
      <c r="C210">
        <v>145029.41</v>
      </c>
      <c r="D210" s="2">
        <v>43801</v>
      </c>
      <c r="E210" t="s">
        <v>62</v>
      </c>
      <c r="F210" t="s">
        <v>35</v>
      </c>
      <c r="G210" t="s">
        <v>13</v>
      </c>
      <c r="H210" t="s">
        <v>82</v>
      </c>
      <c r="I210" t="s">
        <v>38</v>
      </c>
      <c r="J210" t="s">
        <v>351</v>
      </c>
    </row>
    <row r="211" spans="1:10" x14ac:dyDescent="0.25">
      <c r="A211" t="s">
        <v>53</v>
      </c>
      <c r="B211" s="1">
        <v>108713.83</v>
      </c>
      <c r="C211">
        <v>90341.19</v>
      </c>
      <c r="D211" s="2">
        <v>43899</v>
      </c>
      <c r="E211" t="s">
        <v>24</v>
      </c>
      <c r="F211" t="s">
        <v>31</v>
      </c>
      <c r="G211" t="s">
        <v>55</v>
      </c>
      <c r="H211" t="s">
        <v>72</v>
      </c>
      <c r="I211" t="s">
        <v>28</v>
      </c>
      <c r="J211" t="s">
        <v>352</v>
      </c>
    </row>
    <row r="212" spans="1:10" x14ac:dyDescent="0.25">
      <c r="A212" t="s">
        <v>17</v>
      </c>
      <c r="B212" s="1">
        <v>25816.05</v>
      </c>
      <c r="C212">
        <v>21447.97</v>
      </c>
      <c r="D212" s="2">
        <v>43716</v>
      </c>
      <c r="E212" t="s">
        <v>24</v>
      </c>
      <c r="F212" t="s">
        <v>174</v>
      </c>
      <c r="G212" t="s">
        <v>20</v>
      </c>
      <c r="H212" t="s">
        <v>353</v>
      </c>
      <c r="I212" t="s">
        <v>15</v>
      </c>
      <c r="J212" t="s">
        <v>354</v>
      </c>
    </row>
    <row r="213" spans="1:10" x14ac:dyDescent="0.25">
      <c r="A213" t="s">
        <v>23</v>
      </c>
      <c r="B213" s="1">
        <v>154072.89000000001</v>
      </c>
      <c r="C213">
        <v>121887.06</v>
      </c>
      <c r="D213" s="2">
        <v>44104</v>
      </c>
      <c r="E213" t="s">
        <v>30</v>
      </c>
      <c r="F213" t="s">
        <v>71</v>
      </c>
      <c r="G213" t="s">
        <v>26</v>
      </c>
      <c r="H213" t="s">
        <v>27</v>
      </c>
      <c r="I213" t="s">
        <v>28</v>
      </c>
      <c r="J213" t="s">
        <v>355</v>
      </c>
    </row>
    <row r="214" spans="1:10" x14ac:dyDescent="0.25">
      <c r="A214" t="s">
        <v>17</v>
      </c>
      <c r="B214" s="1">
        <v>194962.05</v>
      </c>
      <c r="C214">
        <v>154975.32999999999</v>
      </c>
      <c r="D214" s="2">
        <v>44017</v>
      </c>
      <c r="E214" t="s">
        <v>51</v>
      </c>
      <c r="F214" t="s">
        <v>71</v>
      </c>
      <c r="G214" t="s">
        <v>20</v>
      </c>
      <c r="H214" t="s">
        <v>353</v>
      </c>
      <c r="I214" t="s">
        <v>28</v>
      </c>
      <c r="J214" t="s">
        <v>356</v>
      </c>
    </row>
    <row r="215" spans="1:10" x14ac:dyDescent="0.25">
      <c r="A215" t="s">
        <v>23</v>
      </c>
      <c r="B215" s="1">
        <v>60744.83</v>
      </c>
      <c r="C215">
        <v>52805.48</v>
      </c>
      <c r="D215" s="2">
        <v>43909</v>
      </c>
      <c r="E215" t="s">
        <v>60</v>
      </c>
      <c r="F215" t="s">
        <v>54</v>
      </c>
      <c r="G215" t="s">
        <v>26</v>
      </c>
      <c r="H215" t="s">
        <v>219</v>
      </c>
      <c r="I215" t="s">
        <v>28</v>
      </c>
      <c r="J215" t="s">
        <v>357</v>
      </c>
    </row>
    <row r="216" spans="1:10" x14ac:dyDescent="0.25">
      <c r="A216" t="s">
        <v>10</v>
      </c>
      <c r="B216" s="1">
        <v>39313.39</v>
      </c>
      <c r="C216">
        <v>34273.410000000003</v>
      </c>
      <c r="D216" s="2">
        <v>44114</v>
      </c>
      <c r="E216" t="s">
        <v>30</v>
      </c>
      <c r="F216" t="s">
        <v>254</v>
      </c>
      <c r="G216" t="s">
        <v>13</v>
      </c>
      <c r="H216" t="s">
        <v>69</v>
      </c>
      <c r="I216" t="s">
        <v>15</v>
      </c>
      <c r="J216" t="s">
        <v>358</v>
      </c>
    </row>
    <row r="217" spans="1:10" x14ac:dyDescent="0.25">
      <c r="A217" t="s">
        <v>53</v>
      </c>
      <c r="B217" s="1">
        <v>119820.82</v>
      </c>
      <c r="C217">
        <v>98289.02</v>
      </c>
      <c r="D217" s="2">
        <v>43632</v>
      </c>
      <c r="E217" t="s">
        <v>51</v>
      </c>
      <c r="F217" t="s">
        <v>110</v>
      </c>
      <c r="G217" t="s">
        <v>55</v>
      </c>
      <c r="H217" t="s">
        <v>72</v>
      </c>
      <c r="I217" t="s">
        <v>28</v>
      </c>
      <c r="J217" t="s">
        <v>359</v>
      </c>
    </row>
    <row r="218" spans="1:10" x14ac:dyDescent="0.25">
      <c r="A218" t="s">
        <v>45</v>
      </c>
      <c r="B218" s="1">
        <v>129485.51</v>
      </c>
      <c r="C218">
        <v>112794.83</v>
      </c>
      <c r="D218" s="2">
        <v>43470</v>
      </c>
      <c r="E218" t="s">
        <v>51</v>
      </c>
      <c r="F218" t="s">
        <v>182</v>
      </c>
      <c r="G218" t="s">
        <v>48</v>
      </c>
      <c r="H218" t="s">
        <v>74</v>
      </c>
      <c r="I218" t="s">
        <v>28</v>
      </c>
      <c r="J218" t="s">
        <v>360</v>
      </c>
    </row>
    <row r="219" spans="1:10" x14ac:dyDescent="0.25">
      <c r="A219" t="s">
        <v>138</v>
      </c>
      <c r="B219" s="1">
        <v>163203.64000000001</v>
      </c>
      <c r="C219">
        <v>140893.70000000001</v>
      </c>
      <c r="D219" s="2">
        <v>43637</v>
      </c>
      <c r="E219" t="s">
        <v>60</v>
      </c>
      <c r="F219" t="s">
        <v>58</v>
      </c>
      <c r="G219" t="s">
        <v>140</v>
      </c>
      <c r="H219" t="s">
        <v>141</v>
      </c>
      <c r="I219" t="s">
        <v>28</v>
      </c>
      <c r="J219" t="s">
        <v>361</v>
      </c>
    </row>
    <row r="220" spans="1:10" x14ac:dyDescent="0.25">
      <c r="A220" t="s">
        <v>53</v>
      </c>
      <c r="B220" s="1">
        <v>62788.04</v>
      </c>
      <c r="C220">
        <v>53049.61</v>
      </c>
      <c r="D220" s="2">
        <v>43874</v>
      </c>
      <c r="E220" t="s">
        <v>51</v>
      </c>
      <c r="F220" t="s">
        <v>160</v>
      </c>
      <c r="G220" t="s">
        <v>55</v>
      </c>
      <c r="H220" t="s">
        <v>144</v>
      </c>
      <c r="I220" t="s">
        <v>28</v>
      </c>
      <c r="J220" t="s">
        <v>362</v>
      </c>
    </row>
    <row r="221" spans="1:10" x14ac:dyDescent="0.25">
      <c r="A221" t="s">
        <v>23</v>
      </c>
      <c r="B221" s="1">
        <v>148037.71</v>
      </c>
      <c r="C221">
        <v>117867.62</v>
      </c>
      <c r="D221" s="2">
        <v>43935</v>
      </c>
      <c r="E221" t="s">
        <v>80</v>
      </c>
      <c r="F221" t="s">
        <v>89</v>
      </c>
      <c r="G221" t="s">
        <v>26</v>
      </c>
      <c r="H221" t="s">
        <v>76</v>
      </c>
      <c r="I221" t="s">
        <v>28</v>
      </c>
      <c r="J221" t="s">
        <v>363</v>
      </c>
    </row>
    <row r="222" spans="1:10" x14ac:dyDescent="0.25">
      <c r="A222" t="s">
        <v>173</v>
      </c>
      <c r="B222" s="1">
        <v>55539.67</v>
      </c>
      <c r="C222">
        <v>45620.29</v>
      </c>
      <c r="D222" s="2">
        <v>43911</v>
      </c>
      <c r="E222" t="s">
        <v>80</v>
      </c>
      <c r="F222" t="s">
        <v>160</v>
      </c>
      <c r="G222" t="s">
        <v>175</v>
      </c>
      <c r="H222" t="s">
        <v>212</v>
      </c>
      <c r="I222" t="s">
        <v>28</v>
      </c>
      <c r="J222" t="s">
        <v>364</v>
      </c>
    </row>
    <row r="223" spans="1:10" x14ac:dyDescent="0.25">
      <c r="A223" t="s">
        <v>53</v>
      </c>
      <c r="B223" s="1">
        <v>150135</v>
      </c>
      <c r="C223">
        <v>131067.85</v>
      </c>
      <c r="D223" s="2">
        <v>44083</v>
      </c>
      <c r="E223" t="s">
        <v>60</v>
      </c>
      <c r="F223" t="s">
        <v>25</v>
      </c>
      <c r="G223" t="s">
        <v>55</v>
      </c>
      <c r="H223" t="s">
        <v>144</v>
      </c>
      <c r="I223" t="s">
        <v>28</v>
      </c>
      <c r="J223" t="s">
        <v>365</v>
      </c>
    </row>
    <row r="224" spans="1:10" x14ac:dyDescent="0.25">
      <c r="A224" t="s">
        <v>173</v>
      </c>
      <c r="B224" s="1">
        <v>85294.3</v>
      </c>
      <c r="C224">
        <v>72662.210000000006</v>
      </c>
      <c r="D224" s="2">
        <v>43915</v>
      </c>
      <c r="E224" t="s">
        <v>30</v>
      </c>
      <c r="F224" t="s">
        <v>178</v>
      </c>
      <c r="G224" t="s">
        <v>175</v>
      </c>
      <c r="H224" t="s">
        <v>176</v>
      </c>
      <c r="I224" t="s">
        <v>28</v>
      </c>
      <c r="J224" t="s">
        <v>366</v>
      </c>
    </row>
    <row r="225" spans="1:10" x14ac:dyDescent="0.25">
      <c r="A225" t="s">
        <v>106</v>
      </c>
      <c r="B225" s="1">
        <v>136079.62</v>
      </c>
      <c r="C225">
        <v>119178.53</v>
      </c>
      <c r="D225" s="2">
        <v>43706</v>
      </c>
      <c r="E225" t="s">
        <v>18</v>
      </c>
      <c r="F225" t="s">
        <v>188</v>
      </c>
      <c r="G225" t="s">
        <v>107</v>
      </c>
      <c r="H225" t="s">
        <v>108</v>
      </c>
      <c r="I225" t="s">
        <v>28</v>
      </c>
      <c r="J225" t="s">
        <v>367</v>
      </c>
    </row>
    <row r="226" spans="1:10" x14ac:dyDescent="0.25">
      <c r="A226" t="s">
        <v>17</v>
      </c>
      <c r="B226" s="1">
        <v>186397.6</v>
      </c>
      <c r="C226">
        <v>161233.92000000001</v>
      </c>
      <c r="D226" s="2">
        <v>44169</v>
      </c>
      <c r="E226" t="s">
        <v>51</v>
      </c>
      <c r="F226" t="s">
        <v>368</v>
      </c>
      <c r="G226" t="s">
        <v>20</v>
      </c>
      <c r="H226" t="s">
        <v>353</v>
      </c>
      <c r="I226" t="s">
        <v>15</v>
      </c>
      <c r="J226" t="s">
        <v>369</v>
      </c>
    </row>
    <row r="227" spans="1:10" x14ac:dyDescent="0.25">
      <c r="A227" t="s">
        <v>215</v>
      </c>
      <c r="B227" s="1">
        <v>32695.37</v>
      </c>
      <c r="C227">
        <v>26375.35</v>
      </c>
      <c r="D227" s="2">
        <v>44163</v>
      </c>
      <c r="E227" t="s">
        <v>46</v>
      </c>
      <c r="F227" t="s">
        <v>35</v>
      </c>
      <c r="G227" t="s">
        <v>216</v>
      </c>
      <c r="H227" t="s">
        <v>217</v>
      </c>
      <c r="I227" t="s">
        <v>15</v>
      </c>
      <c r="J227" t="s">
        <v>370</v>
      </c>
    </row>
    <row r="228" spans="1:10" x14ac:dyDescent="0.25">
      <c r="A228" t="s">
        <v>53</v>
      </c>
      <c r="B228" s="1">
        <v>86077.83</v>
      </c>
      <c r="C228">
        <v>72288.160000000003</v>
      </c>
      <c r="D228" s="2">
        <v>43772</v>
      </c>
      <c r="E228" t="s">
        <v>51</v>
      </c>
      <c r="F228" t="s">
        <v>35</v>
      </c>
      <c r="G228" t="s">
        <v>55</v>
      </c>
      <c r="H228" t="s">
        <v>72</v>
      </c>
      <c r="I228" t="s">
        <v>28</v>
      </c>
      <c r="J228" t="s">
        <v>371</v>
      </c>
    </row>
    <row r="229" spans="1:10" x14ac:dyDescent="0.25">
      <c r="A229" t="s">
        <v>10</v>
      </c>
      <c r="B229" s="1">
        <v>72885.55</v>
      </c>
      <c r="C229">
        <v>59773.440000000002</v>
      </c>
      <c r="D229" s="2">
        <v>44194</v>
      </c>
      <c r="E229" t="s">
        <v>24</v>
      </c>
      <c r="F229" t="s">
        <v>35</v>
      </c>
      <c r="G229" t="s">
        <v>13</v>
      </c>
      <c r="H229" t="s">
        <v>69</v>
      </c>
      <c r="I229" t="s">
        <v>28</v>
      </c>
      <c r="J229" t="s">
        <v>372</v>
      </c>
    </row>
    <row r="230" spans="1:10" x14ac:dyDescent="0.25">
      <c r="A230" t="s">
        <v>23</v>
      </c>
      <c r="B230" s="1">
        <v>100469.75</v>
      </c>
      <c r="C230">
        <v>82566.039999999994</v>
      </c>
      <c r="D230" s="2">
        <v>43602</v>
      </c>
      <c r="E230" t="s">
        <v>80</v>
      </c>
      <c r="F230" t="s">
        <v>35</v>
      </c>
      <c r="G230" t="s">
        <v>26</v>
      </c>
      <c r="H230" t="s">
        <v>32</v>
      </c>
      <c r="I230" t="s">
        <v>28</v>
      </c>
      <c r="J230" t="s">
        <v>373</v>
      </c>
    </row>
    <row r="231" spans="1:10" x14ac:dyDescent="0.25">
      <c r="A231" t="s">
        <v>10</v>
      </c>
      <c r="B231" s="1">
        <v>40831.519999999997</v>
      </c>
      <c r="C231">
        <v>34192.31</v>
      </c>
      <c r="D231" s="2">
        <v>43581</v>
      </c>
      <c r="E231" t="s">
        <v>51</v>
      </c>
      <c r="F231" t="s">
        <v>123</v>
      </c>
      <c r="G231" t="s">
        <v>13</v>
      </c>
      <c r="H231" t="s">
        <v>14</v>
      </c>
      <c r="I231" t="s">
        <v>28</v>
      </c>
      <c r="J231" t="s">
        <v>374</v>
      </c>
    </row>
    <row r="232" spans="1:10" x14ac:dyDescent="0.25">
      <c r="A232" t="s">
        <v>138</v>
      </c>
      <c r="B232" s="1">
        <v>142353.07</v>
      </c>
      <c r="C232">
        <v>116046.22</v>
      </c>
      <c r="D232" s="2">
        <v>43670</v>
      </c>
      <c r="E232" t="s">
        <v>11</v>
      </c>
      <c r="F232" t="s">
        <v>121</v>
      </c>
      <c r="G232" t="s">
        <v>140</v>
      </c>
      <c r="H232" t="s">
        <v>141</v>
      </c>
      <c r="I232" t="s">
        <v>28</v>
      </c>
      <c r="J232" t="s">
        <v>375</v>
      </c>
    </row>
    <row r="233" spans="1:10" x14ac:dyDescent="0.25">
      <c r="A233" t="s">
        <v>10</v>
      </c>
      <c r="B233" s="1">
        <v>250315.06</v>
      </c>
      <c r="C233">
        <v>218825.43</v>
      </c>
      <c r="D233" s="2">
        <v>43654</v>
      </c>
      <c r="E233" t="s">
        <v>30</v>
      </c>
      <c r="F233" t="s">
        <v>182</v>
      </c>
      <c r="G233" t="s">
        <v>13</v>
      </c>
      <c r="H233" t="s">
        <v>82</v>
      </c>
      <c r="I233" t="s">
        <v>28</v>
      </c>
      <c r="J233" t="s">
        <v>376</v>
      </c>
    </row>
    <row r="234" spans="1:10" x14ac:dyDescent="0.25">
      <c r="A234" t="s">
        <v>45</v>
      </c>
      <c r="B234" s="1">
        <v>100094.97</v>
      </c>
      <c r="C234">
        <v>84690.35</v>
      </c>
      <c r="D234" s="2">
        <v>44143</v>
      </c>
      <c r="E234" t="s">
        <v>18</v>
      </c>
      <c r="F234" t="s">
        <v>58</v>
      </c>
      <c r="G234" t="s">
        <v>48</v>
      </c>
      <c r="H234" t="s">
        <v>66</v>
      </c>
      <c r="I234" t="s">
        <v>28</v>
      </c>
      <c r="J234" t="s">
        <v>377</v>
      </c>
    </row>
    <row r="235" spans="1:10" x14ac:dyDescent="0.25">
      <c r="A235" t="s">
        <v>45</v>
      </c>
      <c r="B235" s="1">
        <v>77128.75</v>
      </c>
      <c r="C235">
        <v>65536.3</v>
      </c>
      <c r="D235" s="2">
        <v>44052</v>
      </c>
      <c r="E235" t="s">
        <v>11</v>
      </c>
      <c r="F235" t="s">
        <v>210</v>
      </c>
      <c r="G235" t="s">
        <v>48</v>
      </c>
      <c r="H235" t="s">
        <v>74</v>
      </c>
      <c r="I235" t="s">
        <v>15</v>
      </c>
      <c r="J235" t="s">
        <v>378</v>
      </c>
    </row>
    <row r="236" spans="1:10" x14ac:dyDescent="0.25">
      <c r="A236" t="s">
        <v>53</v>
      </c>
      <c r="B236" s="1">
        <v>176114.73</v>
      </c>
      <c r="C236">
        <v>149257.23000000001</v>
      </c>
      <c r="D236" s="2">
        <v>44159</v>
      </c>
      <c r="E236" t="s">
        <v>80</v>
      </c>
      <c r="F236" t="s">
        <v>35</v>
      </c>
      <c r="G236" t="s">
        <v>55</v>
      </c>
      <c r="H236" t="s">
        <v>56</v>
      </c>
      <c r="I236" t="s">
        <v>28</v>
      </c>
      <c r="J236" t="s">
        <v>379</v>
      </c>
    </row>
    <row r="237" spans="1:10" x14ac:dyDescent="0.25">
      <c r="A237" t="s">
        <v>53</v>
      </c>
      <c r="B237" s="1">
        <v>146325.53</v>
      </c>
      <c r="C237">
        <v>118333.46</v>
      </c>
      <c r="D237" s="2">
        <v>44052</v>
      </c>
      <c r="E237" t="s">
        <v>18</v>
      </c>
      <c r="F237" t="s">
        <v>380</v>
      </c>
      <c r="G237" t="s">
        <v>55</v>
      </c>
      <c r="H237" t="s">
        <v>128</v>
      </c>
      <c r="I237" t="s">
        <v>28</v>
      </c>
      <c r="J237" t="s">
        <v>381</v>
      </c>
    </row>
    <row r="238" spans="1:10" x14ac:dyDescent="0.25">
      <c r="A238" t="s">
        <v>215</v>
      </c>
      <c r="B238" s="1">
        <v>161823.46</v>
      </c>
      <c r="C238">
        <v>130494.44</v>
      </c>
      <c r="D238" s="2">
        <v>44032</v>
      </c>
      <c r="E238" t="s">
        <v>24</v>
      </c>
      <c r="F238" t="s">
        <v>114</v>
      </c>
      <c r="G238" t="s">
        <v>216</v>
      </c>
      <c r="H238" t="s">
        <v>217</v>
      </c>
      <c r="I238" t="s">
        <v>28</v>
      </c>
      <c r="J238" t="s">
        <v>382</v>
      </c>
    </row>
    <row r="239" spans="1:10" x14ac:dyDescent="0.25">
      <c r="A239" t="s">
        <v>10</v>
      </c>
      <c r="B239" s="1">
        <v>132632.97</v>
      </c>
      <c r="C239">
        <v>112035.07</v>
      </c>
      <c r="D239" s="2">
        <v>43578</v>
      </c>
      <c r="E239" t="s">
        <v>80</v>
      </c>
      <c r="F239" t="s">
        <v>116</v>
      </c>
      <c r="G239" t="s">
        <v>13</v>
      </c>
      <c r="H239" t="s">
        <v>69</v>
      </c>
      <c r="I239" t="s">
        <v>28</v>
      </c>
      <c r="J239" t="s">
        <v>383</v>
      </c>
    </row>
    <row r="240" spans="1:10" x14ac:dyDescent="0.25">
      <c r="A240" t="s">
        <v>23</v>
      </c>
      <c r="B240" s="1">
        <v>107232.99</v>
      </c>
      <c r="C240">
        <v>85207.33</v>
      </c>
      <c r="D240" s="2">
        <v>43898</v>
      </c>
      <c r="E240" t="s">
        <v>51</v>
      </c>
      <c r="F240" t="s">
        <v>31</v>
      </c>
      <c r="G240" t="s">
        <v>26</v>
      </c>
      <c r="H240" t="s">
        <v>27</v>
      </c>
      <c r="I240" t="s">
        <v>28</v>
      </c>
      <c r="J240" t="s">
        <v>384</v>
      </c>
    </row>
    <row r="241" spans="1:10" x14ac:dyDescent="0.25">
      <c r="A241" t="s">
        <v>10</v>
      </c>
      <c r="B241" s="1">
        <v>120763.23</v>
      </c>
      <c r="C241">
        <v>96719.27</v>
      </c>
      <c r="D241" s="2">
        <v>43935</v>
      </c>
      <c r="E241" t="s">
        <v>24</v>
      </c>
      <c r="F241" t="s">
        <v>102</v>
      </c>
      <c r="G241" t="s">
        <v>13</v>
      </c>
      <c r="H241" t="s">
        <v>69</v>
      </c>
      <c r="I241" t="s">
        <v>28</v>
      </c>
      <c r="J241" t="s">
        <v>385</v>
      </c>
    </row>
    <row r="242" spans="1:10" x14ac:dyDescent="0.25">
      <c r="A242" t="s">
        <v>101</v>
      </c>
      <c r="B242" s="1">
        <v>278731.90000000002</v>
      </c>
      <c r="C242">
        <v>221591.86</v>
      </c>
      <c r="D242" s="2">
        <v>43804</v>
      </c>
      <c r="E242" t="s">
        <v>51</v>
      </c>
      <c r="F242" t="s">
        <v>188</v>
      </c>
      <c r="G242" t="s">
        <v>103</v>
      </c>
      <c r="H242" t="s">
        <v>162</v>
      </c>
      <c r="I242" t="s">
        <v>28</v>
      </c>
      <c r="J242" t="s">
        <v>386</v>
      </c>
    </row>
    <row r="243" spans="1:10" x14ac:dyDescent="0.25">
      <c r="A243" t="s">
        <v>101</v>
      </c>
      <c r="B243" s="1">
        <v>138153.70000000001</v>
      </c>
      <c r="C243">
        <v>112926.83</v>
      </c>
      <c r="D243" s="2">
        <v>43510</v>
      </c>
      <c r="E243" t="s">
        <v>18</v>
      </c>
      <c r="F243" t="s">
        <v>148</v>
      </c>
      <c r="G243" t="s">
        <v>103</v>
      </c>
      <c r="H243" t="s">
        <v>162</v>
      </c>
      <c r="I243" t="s">
        <v>28</v>
      </c>
      <c r="J243" t="s">
        <v>387</v>
      </c>
    </row>
    <row r="244" spans="1:10" x14ac:dyDescent="0.25">
      <c r="A244" t="s">
        <v>173</v>
      </c>
      <c r="B244" s="1">
        <v>68802.13</v>
      </c>
      <c r="C244">
        <v>54635.77</v>
      </c>
      <c r="D244" s="2">
        <v>44089</v>
      </c>
      <c r="E244" t="s">
        <v>30</v>
      </c>
      <c r="F244" t="s">
        <v>112</v>
      </c>
      <c r="G244" t="s">
        <v>175</v>
      </c>
      <c r="H244" t="s">
        <v>176</v>
      </c>
      <c r="I244" t="s">
        <v>28</v>
      </c>
      <c r="J244" t="s">
        <v>388</v>
      </c>
    </row>
    <row r="245" spans="1:10" x14ac:dyDescent="0.25">
      <c r="A245" t="s">
        <v>17</v>
      </c>
      <c r="B245" s="1">
        <v>35619.279999999999</v>
      </c>
      <c r="C245">
        <v>28192.66</v>
      </c>
      <c r="D245" s="2">
        <v>43473</v>
      </c>
      <c r="E245" t="s">
        <v>80</v>
      </c>
      <c r="F245" t="s">
        <v>102</v>
      </c>
      <c r="G245" t="s">
        <v>20</v>
      </c>
      <c r="H245" t="s">
        <v>21</v>
      </c>
      <c r="I245" t="s">
        <v>28</v>
      </c>
      <c r="J245" t="s">
        <v>389</v>
      </c>
    </row>
    <row r="246" spans="1:10" x14ac:dyDescent="0.25">
      <c r="A246" t="s">
        <v>45</v>
      </c>
      <c r="B246" s="1">
        <v>65014.84</v>
      </c>
      <c r="C246">
        <v>53669.75</v>
      </c>
      <c r="D246" s="2">
        <v>43917</v>
      </c>
      <c r="E246" t="s">
        <v>62</v>
      </c>
      <c r="F246" t="s">
        <v>210</v>
      </c>
      <c r="G246" t="s">
        <v>48</v>
      </c>
      <c r="H246" t="s">
        <v>66</v>
      </c>
      <c r="I246" t="s">
        <v>15</v>
      </c>
      <c r="J246" t="s">
        <v>390</v>
      </c>
    </row>
    <row r="247" spans="1:10" x14ac:dyDescent="0.25">
      <c r="A247" t="s">
        <v>215</v>
      </c>
      <c r="B247" s="1">
        <v>48922.42</v>
      </c>
      <c r="C247">
        <v>39387.440000000002</v>
      </c>
      <c r="D247" s="2">
        <v>44123</v>
      </c>
      <c r="E247" t="s">
        <v>62</v>
      </c>
      <c r="F247" t="s">
        <v>102</v>
      </c>
      <c r="G247" t="s">
        <v>216</v>
      </c>
      <c r="H247" t="s">
        <v>217</v>
      </c>
      <c r="I247" t="s">
        <v>38</v>
      </c>
      <c r="J247" t="s">
        <v>391</v>
      </c>
    </row>
    <row r="248" spans="1:10" x14ac:dyDescent="0.25">
      <c r="A248" t="s">
        <v>53</v>
      </c>
      <c r="B248" s="1">
        <v>165262.34</v>
      </c>
      <c r="C248">
        <v>142621.4</v>
      </c>
      <c r="D248" s="2">
        <v>43970</v>
      </c>
      <c r="E248" t="s">
        <v>80</v>
      </c>
      <c r="F248" t="s">
        <v>160</v>
      </c>
      <c r="G248" t="s">
        <v>55</v>
      </c>
      <c r="H248" t="s">
        <v>72</v>
      </c>
      <c r="I248" t="s">
        <v>15</v>
      </c>
      <c r="J248" t="s">
        <v>392</v>
      </c>
    </row>
    <row r="249" spans="1:10" x14ac:dyDescent="0.25">
      <c r="A249" t="s">
        <v>23</v>
      </c>
      <c r="B249" s="1">
        <v>164117.24</v>
      </c>
      <c r="C249">
        <v>133509.37</v>
      </c>
      <c r="D249" s="2">
        <v>43979</v>
      </c>
      <c r="E249" t="s">
        <v>80</v>
      </c>
      <c r="F249" t="s">
        <v>178</v>
      </c>
      <c r="G249" t="s">
        <v>26</v>
      </c>
      <c r="H249" t="s">
        <v>76</v>
      </c>
      <c r="I249" t="s">
        <v>28</v>
      </c>
      <c r="J249" t="s">
        <v>393</v>
      </c>
    </row>
    <row r="250" spans="1:10" x14ac:dyDescent="0.25">
      <c r="A250" t="s">
        <v>23</v>
      </c>
      <c r="B250" s="1">
        <v>238085.99</v>
      </c>
      <c r="C250">
        <v>193587.72</v>
      </c>
      <c r="D250" s="2">
        <v>44028</v>
      </c>
      <c r="E250" t="s">
        <v>24</v>
      </c>
      <c r="F250" t="s">
        <v>71</v>
      </c>
      <c r="G250" t="s">
        <v>26</v>
      </c>
      <c r="H250" t="s">
        <v>90</v>
      </c>
      <c r="I250" t="s">
        <v>28</v>
      </c>
      <c r="J250" t="s">
        <v>394</v>
      </c>
    </row>
    <row r="251" spans="1:10" x14ac:dyDescent="0.25">
      <c r="A251" t="s">
        <v>10</v>
      </c>
      <c r="B251" s="1">
        <v>117733.51</v>
      </c>
      <c r="C251">
        <v>97294.97</v>
      </c>
      <c r="D251" s="2">
        <v>43659</v>
      </c>
      <c r="E251" t="s">
        <v>80</v>
      </c>
      <c r="F251" t="s">
        <v>395</v>
      </c>
      <c r="G251" t="s">
        <v>13</v>
      </c>
      <c r="H251" t="s">
        <v>170</v>
      </c>
      <c r="I251" t="s">
        <v>28</v>
      </c>
      <c r="J251" t="s">
        <v>396</v>
      </c>
    </row>
    <row r="252" spans="1:10" x14ac:dyDescent="0.25">
      <c r="A252" t="s">
        <v>53</v>
      </c>
      <c r="B252" s="1">
        <v>26713.46</v>
      </c>
      <c r="C252">
        <v>22043.95</v>
      </c>
      <c r="D252" s="2">
        <v>44116</v>
      </c>
      <c r="E252" t="s">
        <v>30</v>
      </c>
      <c r="F252" t="s">
        <v>64</v>
      </c>
      <c r="G252" t="s">
        <v>55</v>
      </c>
      <c r="H252" t="s">
        <v>133</v>
      </c>
      <c r="I252" t="s">
        <v>28</v>
      </c>
      <c r="J252" t="s">
        <v>397</v>
      </c>
    </row>
    <row r="253" spans="1:10" x14ac:dyDescent="0.25">
      <c r="A253" t="s">
        <v>53</v>
      </c>
      <c r="B253" s="1">
        <v>49664.17</v>
      </c>
      <c r="C253">
        <v>39244.629999999997</v>
      </c>
      <c r="D253" s="2">
        <v>43768</v>
      </c>
      <c r="E253" t="s">
        <v>11</v>
      </c>
      <c r="F253" t="s">
        <v>58</v>
      </c>
      <c r="G253" t="s">
        <v>55</v>
      </c>
      <c r="H253" t="s">
        <v>72</v>
      </c>
      <c r="I253" t="s">
        <v>28</v>
      </c>
      <c r="J253" t="s">
        <v>398</v>
      </c>
    </row>
    <row r="254" spans="1:10" x14ac:dyDescent="0.25">
      <c r="A254" t="s">
        <v>10</v>
      </c>
      <c r="B254" s="1">
        <v>162101.93</v>
      </c>
      <c r="C254">
        <v>133912.4</v>
      </c>
      <c r="D254" s="2">
        <v>43818</v>
      </c>
      <c r="E254" t="s">
        <v>60</v>
      </c>
      <c r="F254" t="s">
        <v>71</v>
      </c>
      <c r="G254" t="s">
        <v>13</v>
      </c>
      <c r="H254" t="s">
        <v>170</v>
      </c>
      <c r="I254" t="s">
        <v>28</v>
      </c>
      <c r="J254" t="s">
        <v>399</v>
      </c>
    </row>
    <row r="255" spans="1:10" x14ac:dyDescent="0.25">
      <c r="A255" t="s">
        <v>53</v>
      </c>
      <c r="B255" s="1">
        <v>118027.37</v>
      </c>
      <c r="C255">
        <v>96050.67</v>
      </c>
      <c r="D255" s="2">
        <v>43561</v>
      </c>
      <c r="E255" t="s">
        <v>30</v>
      </c>
      <c r="F255" t="s">
        <v>35</v>
      </c>
      <c r="G255" t="s">
        <v>55</v>
      </c>
      <c r="H255" t="s">
        <v>133</v>
      </c>
      <c r="I255" t="s">
        <v>28</v>
      </c>
      <c r="J255" t="s">
        <v>400</v>
      </c>
    </row>
    <row r="256" spans="1:10" x14ac:dyDescent="0.25">
      <c r="A256" t="s">
        <v>10</v>
      </c>
      <c r="B256" s="1">
        <v>147994.63</v>
      </c>
      <c r="C256">
        <v>129643.3</v>
      </c>
      <c r="D256" s="2">
        <v>43492</v>
      </c>
      <c r="E256" t="s">
        <v>18</v>
      </c>
      <c r="F256" t="s">
        <v>78</v>
      </c>
      <c r="G256" t="s">
        <v>13</v>
      </c>
      <c r="H256" t="s">
        <v>82</v>
      </c>
      <c r="I256" t="s">
        <v>28</v>
      </c>
      <c r="J256" t="s">
        <v>401</v>
      </c>
    </row>
    <row r="257" spans="1:10" x14ac:dyDescent="0.25">
      <c r="A257" t="s">
        <v>17</v>
      </c>
      <c r="B257" s="1">
        <v>48946.74</v>
      </c>
      <c r="C257">
        <v>38765.82</v>
      </c>
      <c r="D257" s="2">
        <v>43574</v>
      </c>
      <c r="E257" t="s">
        <v>46</v>
      </c>
      <c r="F257" t="s">
        <v>58</v>
      </c>
      <c r="G257" t="s">
        <v>20</v>
      </c>
      <c r="H257" t="s">
        <v>353</v>
      </c>
      <c r="I257" t="s">
        <v>28</v>
      </c>
      <c r="J257" t="s">
        <v>402</v>
      </c>
    </row>
    <row r="258" spans="1:10" x14ac:dyDescent="0.25">
      <c r="A258" t="s">
        <v>10</v>
      </c>
      <c r="B258" s="1">
        <v>73860.570000000007</v>
      </c>
      <c r="C258">
        <v>60336.7</v>
      </c>
      <c r="D258" s="2">
        <v>44148</v>
      </c>
      <c r="E258" t="s">
        <v>24</v>
      </c>
      <c r="F258" t="s">
        <v>182</v>
      </c>
      <c r="G258" t="s">
        <v>13</v>
      </c>
      <c r="H258" t="s">
        <v>14</v>
      </c>
      <c r="I258" t="s">
        <v>28</v>
      </c>
      <c r="J258" t="s">
        <v>403</v>
      </c>
    </row>
    <row r="259" spans="1:10" x14ac:dyDescent="0.25">
      <c r="A259" t="s">
        <v>23</v>
      </c>
      <c r="B259" s="1">
        <v>86083.27</v>
      </c>
      <c r="C259">
        <v>72309.95</v>
      </c>
      <c r="D259" s="2">
        <v>43799</v>
      </c>
      <c r="E259" t="s">
        <v>80</v>
      </c>
      <c r="F259" t="s">
        <v>395</v>
      </c>
      <c r="G259" t="s">
        <v>26</v>
      </c>
      <c r="H259" t="s">
        <v>90</v>
      </c>
      <c r="I259" t="s">
        <v>28</v>
      </c>
      <c r="J259" t="s">
        <v>404</v>
      </c>
    </row>
    <row r="260" spans="1:10" x14ac:dyDescent="0.25">
      <c r="A260" t="s">
        <v>17</v>
      </c>
      <c r="B260" s="1">
        <v>72385.53</v>
      </c>
      <c r="C260">
        <v>60181.33</v>
      </c>
      <c r="D260" s="2">
        <v>43718</v>
      </c>
      <c r="E260" t="s">
        <v>24</v>
      </c>
      <c r="F260" t="s">
        <v>35</v>
      </c>
      <c r="G260" t="s">
        <v>20</v>
      </c>
      <c r="H260" t="s">
        <v>21</v>
      </c>
      <c r="I260" t="s">
        <v>28</v>
      </c>
      <c r="J260" t="s">
        <v>405</v>
      </c>
    </row>
    <row r="261" spans="1:10" x14ac:dyDescent="0.25">
      <c r="A261" t="s">
        <v>23</v>
      </c>
      <c r="B261" s="1">
        <v>120332.26</v>
      </c>
      <c r="C261">
        <v>102282.42</v>
      </c>
      <c r="D261" s="2">
        <v>43844</v>
      </c>
      <c r="E261" t="s">
        <v>24</v>
      </c>
      <c r="F261" t="s">
        <v>333</v>
      </c>
      <c r="G261" t="s">
        <v>26</v>
      </c>
      <c r="H261" t="s">
        <v>90</v>
      </c>
      <c r="I261" t="s">
        <v>38</v>
      </c>
      <c r="J261" t="s">
        <v>406</v>
      </c>
    </row>
    <row r="262" spans="1:10" x14ac:dyDescent="0.25">
      <c r="A262" t="s">
        <v>10</v>
      </c>
      <c r="B262" s="1">
        <v>81262.34</v>
      </c>
      <c r="C262">
        <v>65326.8</v>
      </c>
      <c r="D262" s="2">
        <v>43714</v>
      </c>
      <c r="E262" t="s">
        <v>11</v>
      </c>
      <c r="F262" t="s">
        <v>35</v>
      </c>
      <c r="G262" t="s">
        <v>13</v>
      </c>
      <c r="H262" t="s">
        <v>69</v>
      </c>
      <c r="I262" t="s">
        <v>15</v>
      </c>
      <c r="J262" t="s">
        <v>407</v>
      </c>
    </row>
    <row r="263" spans="1:10" x14ac:dyDescent="0.25">
      <c r="A263" t="s">
        <v>408</v>
      </c>
      <c r="B263" s="1">
        <v>139075.59</v>
      </c>
      <c r="C263">
        <v>113708.2</v>
      </c>
      <c r="D263" s="2">
        <v>44181</v>
      </c>
      <c r="E263" t="s">
        <v>18</v>
      </c>
      <c r="F263" t="s">
        <v>102</v>
      </c>
      <c r="G263" t="s">
        <v>409</v>
      </c>
      <c r="H263" t="s">
        <v>410</v>
      </c>
      <c r="I263" t="s">
        <v>28</v>
      </c>
      <c r="J263" t="s">
        <v>411</v>
      </c>
    </row>
    <row r="264" spans="1:10" x14ac:dyDescent="0.25">
      <c r="A264" t="s">
        <v>53</v>
      </c>
      <c r="B264" s="1">
        <v>50516.2</v>
      </c>
      <c r="C264">
        <v>43918.78</v>
      </c>
      <c r="D264" s="2">
        <v>43546</v>
      </c>
      <c r="E264" t="s">
        <v>80</v>
      </c>
      <c r="F264" t="s">
        <v>126</v>
      </c>
      <c r="G264" t="s">
        <v>55</v>
      </c>
      <c r="H264" t="s">
        <v>56</v>
      </c>
      <c r="I264" t="s">
        <v>28</v>
      </c>
      <c r="J264" t="s">
        <v>412</v>
      </c>
    </row>
    <row r="265" spans="1:10" x14ac:dyDescent="0.25">
      <c r="A265" t="s">
        <v>10</v>
      </c>
      <c r="B265" s="1">
        <v>112228.82</v>
      </c>
      <c r="C265">
        <v>97470.73</v>
      </c>
      <c r="D265" s="2">
        <v>43723</v>
      </c>
      <c r="E265" t="s">
        <v>62</v>
      </c>
      <c r="F265" t="s">
        <v>54</v>
      </c>
      <c r="G265" t="s">
        <v>13</v>
      </c>
      <c r="H265" t="s">
        <v>14</v>
      </c>
      <c r="I265" t="s">
        <v>28</v>
      </c>
      <c r="J265" t="s">
        <v>413</v>
      </c>
    </row>
    <row r="266" spans="1:10" x14ac:dyDescent="0.25">
      <c r="A266" t="s">
        <v>53</v>
      </c>
      <c r="B266" s="1">
        <v>79833.600000000006</v>
      </c>
      <c r="C266">
        <v>63411.83</v>
      </c>
      <c r="D266" s="2">
        <v>43631</v>
      </c>
      <c r="E266" t="s">
        <v>51</v>
      </c>
      <c r="F266" t="s">
        <v>148</v>
      </c>
      <c r="G266" t="s">
        <v>55</v>
      </c>
      <c r="H266" t="s">
        <v>144</v>
      </c>
      <c r="I266" t="s">
        <v>28</v>
      </c>
      <c r="J266" t="s">
        <v>414</v>
      </c>
    </row>
    <row r="267" spans="1:10" x14ac:dyDescent="0.25">
      <c r="A267" t="s">
        <v>17</v>
      </c>
      <c r="B267" s="1">
        <v>135629.35999999999</v>
      </c>
      <c r="C267">
        <v>118526.5</v>
      </c>
      <c r="D267" s="2">
        <v>44055</v>
      </c>
      <c r="E267" t="s">
        <v>18</v>
      </c>
      <c r="F267" t="s">
        <v>68</v>
      </c>
      <c r="G267" t="s">
        <v>20</v>
      </c>
      <c r="H267" t="s">
        <v>353</v>
      </c>
      <c r="I267" t="s">
        <v>28</v>
      </c>
      <c r="J267" t="s">
        <v>415</v>
      </c>
    </row>
    <row r="268" spans="1:10" x14ac:dyDescent="0.25">
      <c r="A268" t="s">
        <v>106</v>
      </c>
      <c r="B268" s="1">
        <v>175332.04</v>
      </c>
      <c r="C268">
        <v>144999.6</v>
      </c>
      <c r="D268" s="2">
        <v>44098</v>
      </c>
      <c r="E268" t="s">
        <v>46</v>
      </c>
      <c r="F268" t="s">
        <v>166</v>
      </c>
      <c r="G268" t="s">
        <v>107</v>
      </c>
      <c r="H268" t="s">
        <v>108</v>
      </c>
      <c r="I268" t="s">
        <v>28</v>
      </c>
      <c r="J268" t="s">
        <v>416</v>
      </c>
    </row>
    <row r="269" spans="1:10" x14ac:dyDescent="0.25">
      <c r="A269" t="s">
        <v>23</v>
      </c>
      <c r="B269" s="1">
        <v>101923.36</v>
      </c>
      <c r="C269">
        <v>86115.05</v>
      </c>
      <c r="D269" s="2">
        <v>43484</v>
      </c>
      <c r="E269" t="s">
        <v>30</v>
      </c>
      <c r="F269" t="s">
        <v>201</v>
      </c>
      <c r="G269" t="s">
        <v>26</v>
      </c>
      <c r="H269" t="s">
        <v>219</v>
      </c>
      <c r="I269" t="s">
        <v>15</v>
      </c>
      <c r="J269" t="s">
        <v>417</v>
      </c>
    </row>
    <row r="270" spans="1:10" x14ac:dyDescent="0.25">
      <c r="A270" t="s">
        <v>215</v>
      </c>
      <c r="B270" s="1">
        <v>190100.96</v>
      </c>
      <c r="C270">
        <v>160749.37</v>
      </c>
      <c r="D270" s="2">
        <v>43819</v>
      </c>
      <c r="E270" t="s">
        <v>80</v>
      </c>
      <c r="F270" t="s">
        <v>155</v>
      </c>
      <c r="G270" t="s">
        <v>216</v>
      </c>
      <c r="H270" t="s">
        <v>217</v>
      </c>
      <c r="I270" t="s">
        <v>28</v>
      </c>
      <c r="J270" t="s">
        <v>418</v>
      </c>
    </row>
    <row r="271" spans="1:10" x14ac:dyDescent="0.25">
      <c r="A271" t="s">
        <v>84</v>
      </c>
      <c r="B271" s="1">
        <v>152771.9</v>
      </c>
      <c r="C271">
        <v>134423.99</v>
      </c>
      <c r="D271" s="2">
        <v>43953</v>
      </c>
      <c r="E271" t="s">
        <v>24</v>
      </c>
      <c r="F271" t="s">
        <v>224</v>
      </c>
      <c r="G271" t="s">
        <v>85</v>
      </c>
      <c r="H271" t="s">
        <v>86</v>
      </c>
      <c r="I271" t="s">
        <v>28</v>
      </c>
      <c r="J271" t="s">
        <v>419</v>
      </c>
    </row>
    <row r="272" spans="1:10" x14ac:dyDescent="0.25">
      <c r="A272" t="s">
        <v>53</v>
      </c>
      <c r="B272" s="1">
        <v>52805.94</v>
      </c>
      <c r="C272">
        <v>43791.97</v>
      </c>
      <c r="D272" s="2">
        <v>44004</v>
      </c>
      <c r="E272" t="s">
        <v>60</v>
      </c>
      <c r="F272" t="s">
        <v>234</v>
      </c>
      <c r="G272" t="s">
        <v>55</v>
      </c>
      <c r="H272" t="s">
        <v>72</v>
      </c>
      <c r="I272" t="s">
        <v>28</v>
      </c>
      <c r="J272" t="s">
        <v>420</v>
      </c>
    </row>
    <row r="273" spans="1:10" x14ac:dyDescent="0.25">
      <c r="A273" t="s">
        <v>23</v>
      </c>
      <c r="B273" s="1">
        <v>51416.24</v>
      </c>
      <c r="C273">
        <v>43338.75</v>
      </c>
      <c r="D273" s="2">
        <v>43936</v>
      </c>
      <c r="E273" t="s">
        <v>60</v>
      </c>
      <c r="F273" t="s">
        <v>150</v>
      </c>
      <c r="G273" t="s">
        <v>26</v>
      </c>
      <c r="H273" t="s">
        <v>32</v>
      </c>
      <c r="I273" t="s">
        <v>28</v>
      </c>
      <c r="J273" t="s">
        <v>421</v>
      </c>
    </row>
    <row r="274" spans="1:10" x14ac:dyDescent="0.25">
      <c r="A274" t="s">
        <v>106</v>
      </c>
      <c r="B274" s="1">
        <v>76426.539999999994</v>
      </c>
      <c r="C274">
        <v>66116.600000000006</v>
      </c>
      <c r="D274" s="2">
        <v>43540</v>
      </c>
      <c r="E274" t="s">
        <v>24</v>
      </c>
      <c r="F274" t="s">
        <v>185</v>
      </c>
      <c r="G274" t="s">
        <v>107</v>
      </c>
      <c r="H274" t="s">
        <v>108</v>
      </c>
      <c r="I274" t="s">
        <v>28</v>
      </c>
      <c r="J274" t="s">
        <v>422</v>
      </c>
    </row>
    <row r="275" spans="1:10" x14ac:dyDescent="0.25">
      <c r="A275" t="s">
        <v>53</v>
      </c>
      <c r="B275" s="1">
        <v>118021.59</v>
      </c>
      <c r="C275">
        <v>98229.37</v>
      </c>
      <c r="D275" s="2">
        <v>43576</v>
      </c>
      <c r="E275" t="s">
        <v>30</v>
      </c>
      <c r="F275" t="s">
        <v>203</v>
      </c>
      <c r="G275" t="s">
        <v>55</v>
      </c>
      <c r="H275" t="s">
        <v>56</v>
      </c>
      <c r="I275" t="s">
        <v>28</v>
      </c>
      <c r="J275" t="s">
        <v>423</v>
      </c>
    </row>
    <row r="276" spans="1:10" x14ac:dyDescent="0.25">
      <c r="A276" t="s">
        <v>23</v>
      </c>
      <c r="B276" s="1">
        <v>59378.97</v>
      </c>
      <c r="C276">
        <v>52176.3</v>
      </c>
      <c r="D276" s="2">
        <v>43946</v>
      </c>
      <c r="E276" t="s">
        <v>51</v>
      </c>
      <c r="F276" t="s">
        <v>43</v>
      </c>
      <c r="G276" t="s">
        <v>26</v>
      </c>
      <c r="H276" t="s">
        <v>76</v>
      </c>
      <c r="I276" t="s">
        <v>28</v>
      </c>
      <c r="J276" t="s">
        <v>424</v>
      </c>
    </row>
    <row r="277" spans="1:10" x14ac:dyDescent="0.25">
      <c r="A277" t="s">
        <v>34</v>
      </c>
      <c r="B277" s="1">
        <v>61325.25</v>
      </c>
      <c r="C277">
        <v>49379.09</v>
      </c>
      <c r="D277" s="2">
        <v>44041</v>
      </c>
      <c r="E277" t="s">
        <v>30</v>
      </c>
      <c r="F277" t="s">
        <v>31</v>
      </c>
      <c r="G277" t="s">
        <v>36</v>
      </c>
      <c r="H277" t="s">
        <v>425</v>
      </c>
      <c r="I277" t="s">
        <v>38</v>
      </c>
      <c r="J277" t="s">
        <v>426</v>
      </c>
    </row>
    <row r="278" spans="1:10" x14ac:dyDescent="0.25">
      <c r="A278" t="s">
        <v>53</v>
      </c>
      <c r="B278" s="1">
        <v>80431.34</v>
      </c>
      <c r="C278">
        <v>69774.19</v>
      </c>
      <c r="D278" s="2">
        <v>43668</v>
      </c>
      <c r="E278" t="s">
        <v>30</v>
      </c>
      <c r="F278" t="s">
        <v>31</v>
      </c>
      <c r="G278" t="s">
        <v>55</v>
      </c>
      <c r="H278" t="s">
        <v>128</v>
      </c>
      <c r="I278" t="s">
        <v>28</v>
      </c>
      <c r="J278" t="s">
        <v>427</v>
      </c>
    </row>
    <row r="279" spans="1:10" x14ac:dyDescent="0.25">
      <c r="A279" t="s">
        <v>23</v>
      </c>
      <c r="B279" s="1">
        <v>177919.14</v>
      </c>
      <c r="C279">
        <v>147370.42000000001</v>
      </c>
      <c r="D279" s="2">
        <v>43989</v>
      </c>
      <c r="E279" t="s">
        <v>30</v>
      </c>
      <c r="F279" t="s">
        <v>155</v>
      </c>
      <c r="G279" t="s">
        <v>26</v>
      </c>
      <c r="H279" t="s">
        <v>32</v>
      </c>
      <c r="I279" t="s">
        <v>28</v>
      </c>
      <c r="J279" t="s">
        <v>428</v>
      </c>
    </row>
    <row r="280" spans="1:10" x14ac:dyDescent="0.25">
      <c r="A280" t="s">
        <v>173</v>
      </c>
      <c r="B280" s="1">
        <v>37520.089999999997</v>
      </c>
      <c r="C280">
        <v>32781.300000000003</v>
      </c>
      <c r="D280" s="2">
        <v>43978</v>
      </c>
      <c r="E280" t="s">
        <v>24</v>
      </c>
      <c r="F280" t="s">
        <v>234</v>
      </c>
      <c r="G280" t="s">
        <v>175</v>
      </c>
      <c r="H280" t="s">
        <v>176</v>
      </c>
      <c r="I280" t="s">
        <v>15</v>
      </c>
      <c r="J280" t="s">
        <v>429</v>
      </c>
    </row>
    <row r="281" spans="1:10" x14ac:dyDescent="0.25">
      <c r="A281" t="s">
        <v>34</v>
      </c>
      <c r="B281" s="1">
        <v>68745.86</v>
      </c>
      <c r="C281">
        <v>58014.63</v>
      </c>
      <c r="D281" s="2">
        <v>43564</v>
      </c>
      <c r="E281" t="s">
        <v>80</v>
      </c>
      <c r="F281" t="s">
        <v>123</v>
      </c>
      <c r="G281" t="s">
        <v>36</v>
      </c>
      <c r="H281" t="s">
        <v>425</v>
      </c>
      <c r="I281" t="s">
        <v>28</v>
      </c>
      <c r="J281" t="s">
        <v>430</v>
      </c>
    </row>
    <row r="282" spans="1:10" x14ac:dyDescent="0.25">
      <c r="A282" t="s">
        <v>346</v>
      </c>
      <c r="B282" s="1">
        <v>69017.42</v>
      </c>
      <c r="C282">
        <v>55897.21</v>
      </c>
      <c r="D282" s="2">
        <v>43923</v>
      </c>
      <c r="E282" t="s">
        <v>80</v>
      </c>
      <c r="F282" t="s">
        <v>166</v>
      </c>
      <c r="G282" t="s">
        <v>347</v>
      </c>
      <c r="H282" t="s">
        <v>348</v>
      </c>
      <c r="I282" t="s">
        <v>28</v>
      </c>
      <c r="J282" t="s">
        <v>431</v>
      </c>
    </row>
    <row r="283" spans="1:10" x14ac:dyDescent="0.25">
      <c r="A283" t="s">
        <v>53</v>
      </c>
      <c r="B283" s="1">
        <v>48850.38</v>
      </c>
      <c r="C283">
        <v>39788.629999999997</v>
      </c>
      <c r="D283" s="2">
        <v>43555</v>
      </c>
      <c r="E283" t="s">
        <v>51</v>
      </c>
      <c r="F283" t="s">
        <v>150</v>
      </c>
      <c r="G283" t="s">
        <v>55</v>
      </c>
      <c r="H283" t="s">
        <v>128</v>
      </c>
      <c r="I283" t="s">
        <v>28</v>
      </c>
      <c r="J283" t="s">
        <v>432</v>
      </c>
    </row>
    <row r="284" spans="1:10" x14ac:dyDescent="0.25">
      <c r="A284" t="s">
        <v>84</v>
      </c>
      <c r="B284" s="1">
        <v>253291.55</v>
      </c>
      <c r="C284">
        <v>219502.46</v>
      </c>
      <c r="D284" s="2">
        <v>43994</v>
      </c>
      <c r="E284" t="s">
        <v>11</v>
      </c>
      <c r="F284" t="s">
        <v>160</v>
      </c>
      <c r="G284" t="s">
        <v>85</v>
      </c>
      <c r="H284" t="s">
        <v>86</v>
      </c>
      <c r="I284" t="s">
        <v>28</v>
      </c>
      <c r="J284" t="s">
        <v>433</v>
      </c>
    </row>
    <row r="285" spans="1:10" x14ac:dyDescent="0.25">
      <c r="A285" t="s">
        <v>23</v>
      </c>
      <c r="B285" s="1">
        <v>47186.74</v>
      </c>
      <c r="C285">
        <v>38112.730000000003</v>
      </c>
      <c r="D285" s="2">
        <v>43674</v>
      </c>
      <c r="E285" t="s">
        <v>80</v>
      </c>
      <c r="F285" t="s">
        <v>434</v>
      </c>
      <c r="G285" t="s">
        <v>26</v>
      </c>
      <c r="H285" t="s">
        <v>32</v>
      </c>
      <c r="I285" t="s">
        <v>28</v>
      </c>
      <c r="J285" t="s">
        <v>435</v>
      </c>
    </row>
    <row r="286" spans="1:10" x14ac:dyDescent="0.25">
      <c r="A286" t="s">
        <v>23</v>
      </c>
      <c r="B286" s="1">
        <v>59670.68</v>
      </c>
      <c r="C286">
        <v>51269.05</v>
      </c>
      <c r="D286" s="2">
        <v>43718</v>
      </c>
      <c r="E286" t="s">
        <v>51</v>
      </c>
      <c r="F286" t="s">
        <v>201</v>
      </c>
      <c r="G286" t="s">
        <v>26</v>
      </c>
      <c r="H286" t="s">
        <v>32</v>
      </c>
      <c r="I286" t="s">
        <v>28</v>
      </c>
      <c r="J286" t="s">
        <v>436</v>
      </c>
    </row>
    <row r="287" spans="1:10" x14ac:dyDescent="0.25">
      <c r="A287" t="s">
        <v>23</v>
      </c>
      <c r="B287" s="1">
        <v>228961.3</v>
      </c>
      <c r="C287">
        <v>183764.34</v>
      </c>
      <c r="D287" s="2">
        <v>43983</v>
      </c>
      <c r="E287" t="s">
        <v>51</v>
      </c>
      <c r="F287" t="s">
        <v>35</v>
      </c>
      <c r="G287" t="s">
        <v>26</v>
      </c>
      <c r="H287" t="s">
        <v>90</v>
      </c>
      <c r="I287" t="s">
        <v>28</v>
      </c>
      <c r="J287" t="s">
        <v>437</v>
      </c>
    </row>
    <row r="288" spans="1:10" x14ac:dyDescent="0.25">
      <c r="A288" t="s">
        <v>53</v>
      </c>
      <c r="B288" s="1">
        <v>165259.57999999999</v>
      </c>
      <c r="C288">
        <v>130703.8</v>
      </c>
      <c r="D288" s="2">
        <v>44008</v>
      </c>
      <c r="E288" t="s">
        <v>62</v>
      </c>
      <c r="F288" t="s">
        <v>97</v>
      </c>
      <c r="G288" t="s">
        <v>55</v>
      </c>
      <c r="H288" t="s">
        <v>128</v>
      </c>
      <c r="I288" t="s">
        <v>28</v>
      </c>
      <c r="J288" t="s">
        <v>438</v>
      </c>
    </row>
    <row r="289" spans="1:10" x14ac:dyDescent="0.25">
      <c r="A289" t="s">
        <v>53</v>
      </c>
      <c r="B289" s="1">
        <v>219911.81</v>
      </c>
      <c r="C289">
        <v>179426.05</v>
      </c>
      <c r="D289" s="2">
        <v>43651</v>
      </c>
      <c r="E289" t="s">
        <v>24</v>
      </c>
      <c r="F289" t="s">
        <v>174</v>
      </c>
      <c r="G289" t="s">
        <v>55</v>
      </c>
      <c r="H289" t="s">
        <v>128</v>
      </c>
      <c r="I289" t="s">
        <v>28</v>
      </c>
      <c r="J289" t="s">
        <v>439</v>
      </c>
    </row>
    <row r="290" spans="1:10" x14ac:dyDescent="0.25">
      <c r="A290" t="s">
        <v>17</v>
      </c>
      <c r="B290" s="1">
        <v>55882.12</v>
      </c>
      <c r="C290">
        <v>48561.56</v>
      </c>
      <c r="D290" s="2">
        <v>43971</v>
      </c>
      <c r="E290" t="s">
        <v>24</v>
      </c>
      <c r="F290" t="s">
        <v>102</v>
      </c>
      <c r="G290" t="s">
        <v>20</v>
      </c>
      <c r="H290" t="s">
        <v>353</v>
      </c>
      <c r="I290" t="s">
        <v>28</v>
      </c>
      <c r="J290" t="s">
        <v>440</v>
      </c>
    </row>
    <row r="291" spans="1:10" x14ac:dyDescent="0.25">
      <c r="A291" t="s">
        <v>53</v>
      </c>
      <c r="B291" s="1">
        <v>16388.900000000001</v>
      </c>
      <c r="C291">
        <v>13430.7</v>
      </c>
      <c r="D291" s="2">
        <v>43905</v>
      </c>
      <c r="E291" t="s">
        <v>80</v>
      </c>
      <c r="F291" t="s">
        <v>188</v>
      </c>
      <c r="G291" t="s">
        <v>55</v>
      </c>
      <c r="H291" t="s">
        <v>128</v>
      </c>
      <c r="I291" t="s">
        <v>28</v>
      </c>
      <c r="J291" t="s">
        <v>441</v>
      </c>
    </row>
    <row r="292" spans="1:10" x14ac:dyDescent="0.25">
      <c r="A292" t="s">
        <v>34</v>
      </c>
      <c r="B292" s="1">
        <v>85927.37</v>
      </c>
      <c r="C292">
        <v>74490.44</v>
      </c>
      <c r="D292" s="2">
        <v>43570</v>
      </c>
      <c r="E292" t="s">
        <v>24</v>
      </c>
      <c r="F292" t="s">
        <v>434</v>
      </c>
      <c r="G292" t="s">
        <v>36</v>
      </c>
      <c r="H292" t="s">
        <v>41</v>
      </c>
      <c r="I292" t="s">
        <v>28</v>
      </c>
      <c r="J292" t="s">
        <v>442</v>
      </c>
    </row>
    <row r="293" spans="1:10" x14ac:dyDescent="0.25">
      <c r="A293" t="s">
        <v>53</v>
      </c>
      <c r="B293" s="1">
        <v>161212.39000000001</v>
      </c>
      <c r="C293">
        <v>138046.17000000001</v>
      </c>
      <c r="D293" s="2">
        <v>44016</v>
      </c>
      <c r="E293" t="s">
        <v>46</v>
      </c>
      <c r="F293" t="s">
        <v>19</v>
      </c>
      <c r="G293" t="s">
        <v>55</v>
      </c>
      <c r="H293" t="s">
        <v>128</v>
      </c>
      <c r="I293" t="s">
        <v>28</v>
      </c>
      <c r="J293" t="s">
        <v>443</v>
      </c>
    </row>
    <row r="294" spans="1:10" x14ac:dyDescent="0.25">
      <c r="A294" t="s">
        <v>53</v>
      </c>
      <c r="B294" s="1">
        <v>66678.38</v>
      </c>
      <c r="C294">
        <v>53009.31</v>
      </c>
      <c r="D294" s="2">
        <v>43528</v>
      </c>
      <c r="E294" t="s">
        <v>60</v>
      </c>
      <c r="F294" t="s">
        <v>155</v>
      </c>
      <c r="G294" t="s">
        <v>55</v>
      </c>
      <c r="H294" t="s">
        <v>72</v>
      </c>
      <c r="I294" t="s">
        <v>28</v>
      </c>
      <c r="J294" t="s">
        <v>444</v>
      </c>
    </row>
    <row r="295" spans="1:10" x14ac:dyDescent="0.25">
      <c r="A295" t="s">
        <v>10</v>
      </c>
      <c r="B295" s="1">
        <v>148243.04999999999</v>
      </c>
      <c r="C295">
        <v>120566.07</v>
      </c>
      <c r="D295" s="2">
        <v>44172</v>
      </c>
      <c r="E295" t="s">
        <v>30</v>
      </c>
      <c r="F295" t="s">
        <v>35</v>
      </c>
      <c r="G295" t="s">
        <v>13</v>
      </c>
      <c r="H295" t="s">
        <v>14</v>
      </c>
      <c r="I295" t="s">
        <v>28</v>
      </c>
      <c r="J295" t="s">
        <v>445</v>
      </c>
    </row>
    <row r="296" spans="1:10" x14ac:dyDescent="0.25">
      <c r="A296" t="s">
        <v>173</v>
      </c>
      <c r="B296" s="1">
        <v>126523.36</v>
      </c>
      <c r="C296">
        <v>106368.19</v>
      </c>
      <c r="D296" s="2">
        <v>43965</v>
      </c>
      <c r="E296" t="s">
        <v>18</v>
      </c>
      <c r="F296" t="s">
        <v>446</v>
      </c>
      <c r="G296" t="s">
        <v>175</v>
      </c>
      <c r="H296" t="s">
        <v>176</v>
      </c>
      <c r="I296" t="s">
        <v>28</v>
      </c>
      <c r="J296" t="s">
        <v>447</v>
      </c>
    </row>
    <row r="297" spans="1:10" x14ac:dyDescent="0.25">
      <c r="A297" t="s">
        <v>173</v>
      </c>
      <c r="B297" s="1">
        <v>63373.72</v>
      </c>
      <c r="C297">
        <v>55572.41</v>
      </c>
      <c r="D297" s="2">
        <v>43893</v>
      </c>
      <c r="E297" t="s">
        <v>24</v>
      </c>
      <c r="F297" t="s">
        <v>210</v>
      </c>
      <c r="G297" t="s">
        <v>175</v>
      </c>
      <c r="H297" t="s">
        <v>176</v>
      </c>
      <c r="I297" t="s">
        <v>28</v>
      </c>
      <c r="J297" t="s">
        <v>448</v>
      </c>
    </row>
    <row r="298" spans="1:10" x14ac:dyDescent="0.25">
      <c r="A298" t="s">
        <v>173</v>
      </c>
      <c r="B298" s="1">
        <v>76767.77</v>
      </c>
      <c r="C298">
        <v>64500.28</v>
      </c>
      <c r="D298" s="2">
        <v>43852</v>
      </c>
      <c r="E298" t="s">
        <v>18</v>
      </c>
      <c r="F298" t="s">
        <v>150</v>
      </c>
      <c r="G298" t="s">
        <v>175</v>
      </c>
      <c r="H298" t="s">
        <v>176</v>
      </c>
      <c r="I298" t="s">
        <v>28</v>
      </c>
      <c r="J298" t="s">
        <v>449</v>
      </c>
    </row>
    <row r="299" spans="1:10" x14ac:dyDescent="0.25">
      <c r="A299" t="s">
        <v>23</v>
      </c>
      <c r="B299" s="1">
        <v>78938.820000000007</v>
      </c>
      <c r="C299">
        <v>65471.86</v>
      </c>
      <c r="D299" s="2">
        <v>43579</v>
      </c>
      <c r="E299" t="s">
        <v>18</v>
      </c>
      <c r="F299" t="s">
        <v>146</v>
      </c>
      <c r="G299" t="s">
        <v>26</v>
      </c>
      <c r="H299" t="s">
        <v>219</v>
      </c>
      <c r="I299" t="s">
        <v>28</v>
      </c>
      <c r="J299" t="s">
        <v>450</v>
      </c>
    </row>
    <row r="300" spans="1:10" x14ac:dyDescent="0.25">
      <c r="A300" t="s">
        <v>53</v>
      </c>
      <c r="B300" s="1">
        <v>131864.04</v>
      </c>
      <c r="C300">
        <v>110277.9</v>
      </c>
      <c r="D300" s="2">
        <v>43564</v>
      </c>
      <c r="E300" t="s">
        <v>51</v>
      </c>
      <c r="F300" t="s">
        <v>102</v>
      </c>
      <c r="G300" t="s">
        <v>55</v>
      </c>
      <c r="H300" t="s">
        <v>133</v>
      </c>
      <c r="I300" t="s">
        <v>28</v>
      </c>
      <c r="J300" t="s">
        <v>451</v>
      </c>
    </row>
    <row r="301" spans="1:10" x14ac:dyDescent="0.25">
      <c r="A301" t="s">
        <v>23</v>
      </c>
      <c r="B301" s="1">
        <v>116774.43</v>
      </c>
      <c r="C301">
        <v>98954.65</v>
      </c>
      <c r="D301" s="2">
        <v>43576</v>
      </c>
      <c r="E301" t="s">
        <v>46</v>
      </c>
      <c r="F301" t="s">
        <v>123</v>
      </c>
      <c r="G301" t="s">
        <v>26</v>
      </c>
      <c r="H301" t="s">
        <v>90</v>
      </c>
      <c r="I301" t="s">
        <v>15</v>
      </c>
      <c r="J301" t="s">
        <v>452</v>
      </c>
    </row>
    <row r="302" spans="1:10" x14ac:dyDescent="0.25">
      <c r="A302" t="s">
        <v>53</v>
      </c>
      <c r="B302" s="1">
        <v>141112.84</v>
      </c>
      <c r="C302">
        <v>120044.69</v>
      </c>
      <c r="D302" s="2">
        <v>44051</v>
      </c>
      <c r="E302" t="s">
        <v>80</v>
      </c>
      <c r="F302" t="s">
        <v>54</v>
      </c>
      <c r="G302" t="s">
        <v>55</v>
      </c>
      <c r="H302" t="s">
        <v>144</v>
      </c>
      <c r="I302" t="s">
        <v>15</v>
      </c>
      <c r="J302" t="s">
        <v>453</v>
      </c>
    </row>
    <row r="303" spans="1:10" x14ac:dyDescent="0.25">
      <c r="A303" t="s">
        <v>101</v>
      </c>
      <c r="B303" s="1">
        <v>33210.559999999998</v>
      </c>
      <c r="C303">
        <v>29109.06</v>
      </c>
      <c r="D303" s="2">
        <v>44155</v>
      </c>
      <c r="E303" t="s">
        <v>11</v>
      </c>
      <c r="F303" t="s">
        <v>31</v>
      </c>
      <c r="G303" t="s">
        <v>103</v>
      </c>
      <c r="H303" t="s">
        <v>162</v>
      </c>
      <c r="I303" t="s">
        <v>28</v>
      </c>
      <c r="J303" t="s">
        <v>454</v>
      </c>
    </row>
    <row r="304" spans="1:10" x14ac:dyDescent="0.25">
      <c r="A304" t="s">
        <v>53</v>
      </c>
      <c r="B304" s="1">
        <v>174392.33</v>
      </c>
      <c r="C304">
        <v>141449.62</v>
      </c>
      <c r="D304" s="2">
        <v>44046</v>
      </c>
      <c r="E304" t="s">
        <v>60</v>
      </c>
      <c r="F304" t="s">
        <v>123</v>
      </c>
      <c r="G304" t="s">
        <v>55</v>
      </c>
      <c r="H304" t="s">
        <v>133</v>
      </c>
      <c r="I304" t="s">
        <v>28</v>
      </c>
      <c r="J304" t="s">
        <v>455</v>
      </c>
    </row>
    <row r="305" spans="1:10" x14ac:dyDescent="0.25">
      <c r="A305" t="s">
        <v>10</v>
      </c>
      <c r="B305" s="1">
        <v>204484.61</v>
      </c>
      <c r="C305">
        <v>177308.61</v>
      </c>
      <c r="D305" s="2">
        <v>43632</v>
      </c>
      <c r="E305" t="s">
        <v>18</v>
      </c>
      <c r="F305" t="s">
        <v>47</v>
      </c>
      <c r="G305" t="s">
        <v>13</v>
      </c>
      <c r="H305" t="s">
        <v>118</v>
      </c>
      <c r="I305" t="s">
        <v>38</v>
      </c>
      <c r="J305" t="s">
        <v>456</v>
      </c>
    </row>
    <row r="306" spans="1:10" x14ac:dyDescent="0.25">
      <c r="A306" t="s">
        <v>215</v>
      </c>
      <c r="B306" s="1">
        <v>80986.100000000006</v>
      </c>
      <c r="C306">
        <v>64124.79</v>
      </c>
      <c r="D306" s="2">
        <v>43801</v>
      </c>
      <c r="E306" t="s">
        <v>51</v>
      </c>
      <c r="F306" t="s">
        <v>210</v>
      </c>
      <c r="G306" t="s">
        <v>216</v>
      </c>
      <c r="H306" t="s">
        <v>217</v>
      </c>
      <c r="I306" t="s">
        <v>15</v>
      </c>
      <c r="J306" t="s">
        <v>457</v>
      </c>
    </row>
    <row r="307" spans="1:10" x14ac:dyDescent="0.25">
      <c r="A307" t="s">
        <v>10</v>
      </c>
      <c r="B307" s="1">
        <v>179179.73</v>
      </c>
      <c r="C307">
        <v>154936.71</v>
      </c>
      <c r="D307" s="2">
        <v>43760</v>
      </c>
      <c r="E307" t="s">
        <v>11</v>
      </c>
      <c r="F307" t="s">
        <v>178</v>
      </c>
      <c r="G307" t="s">
        <v>13</v>
      </c>
      <c r="H307" t="s">
        <v>69</v>
      </c>
      <c r="I307" t="s">
        <v>28</v>
      </c>
      <c r="J307" t="s">
        <v>458</v>
      </c>
    </row>
    <row r="308" spans="1:10" x14ac:dyDescent="0.25">
      <c r="A308" t="s">
        <v>84</v>
      </c>
      <c r="B308" s="1">
        <v>99731.4</v>
      </c>
      <c r="C308">
        <v>84731.8</v>
      </c>
      <c r="D308" s="2">
        <v>43842</v>
      </c>
      <c r="E308" t="s">
        <v>80</v>
      </c>
      <c r="F308" t="s">
        <v>174</v>
      </c>
      <c r="G308" t="s">
        <v>85</v>
      </c>
      <c r="H308" t="s">
        <v>86</v>
      </c>
      <c r="I308" t="s">
        <v>28</v>
      </c>
      <c r="J308" t="s">
        <v>459</v>
      </c>
    </row>
    <row r="309" spans="1:10" x14ac:dyDescent="0.25">
      <c r="A309" t="s">
        <v>53</v>
      </c>
      <c r="B309" s="1">
        <v>32661.62</v>
      </c>
      <c r="C309">
        <v>27922.42</v>
      </c>
      <c r="D309" s="2">
        <v>43869</v>
      </c>
      <c r="E309" t="s">
        <v>80</v>
      </c>
      <c r="F309" t="s">
        <v>178</v>
      </c>
      <c r="G309" t="s">
        <v>55</v>
      </c>
      <c r="H309" t="s">
        <v>72</v>
      </c>
      <c r="I309" t="s">
        <v>28</v>
      </c>
      <c r="J309" t="s">
        <v>460</v>
      </c>
    </row>
    <row r="310" spans="1:10" x14ac:dyDescent="0.25">
      <c r="A310" t="s">
        <v>10</v>
      </c>
      <c r="B310" s="1">
        <v>30166.93</v>
      </c>
      <c r="C310">
        <v>24658.45</v>
      </c>
      <c r="D310" s="2">
        <v>43798</v>
      </c>
      <c r="E310" t="s">
        <v>51</v>
      </c>
      <c r="F310" t="s">
        <v>254</v>
      </c>
      <c r="G310" t="s">
        <v>13</v>
      </c>
      <c r="H310" t="s">
        <v>170</v>
      </c>
      <c r="I310" t="s">
        <v>28</v>
      </c>
      <c r="J310" t="s">
        <v>461</v>
      </c>
    </row>
    <row r="311" spans="1:10" x14ac:dyDescent="0.25">
      <c r="A311" t="s">
        <v>215</v>
      </c>
      <c r="B311" s="1">
        <v>36747.24</v>
      </c>
      <c r="C311">
        <v>31900.28</v>
      </c>
      <c r="D311" s="2">
        <v>43484</v>
      </c>
      <c r="E311" t="s">
        <v>46</v>
      </c>
      <c r="F311" t="s">
        <v>35</v>
      </c>
      <c r="G311" t="s">
        <v>216</v>
      </c>
      <c r="H311" t="s">
        <v>217</v>
      </c>
      <c r="I311" t="s">
        <v>28</v>
      </c>
      <c r="J311" t="s">
        <v>462</v>
      </c>
    </row>
    <row r="312" spans="1:10" x14ac:dyDescent="0.25">
      <c r="A312" t="s">
        <v>53</v>
      </c>
      <c r="B312" s="1">
        <v>66884.7</v>
      </c>
      <c r="C312">
        <v>58544.18</v>
      </c>
      <c r="D312" s="2">
        <v>43849</v>
      </c>
      <c r="E312" t="s">
        <v>60</v>
      </c>
      <c r="F312" t="s">
        <v>64</v>
      </c>
      <c r="G312" t="s">
        <v>55</v>
      </c>
      <c r="H312" t="s">
        <v>128</v>
      </c>
      <c r="I312" t="s">
        <v>28</v>
      </c>
      <c r="J312" t="s">
        <v>463</v>
      </c>
    </row>
    <row r="313" spans="1:10" x14ac:dyDescent="0.25">
      <c r="A313" t="s">
        <v>23</v>
      </c>
      <c r="B313" s="1">
        <v>165305.70000000001</v>
      </c>
      <c r="C313">
        <v>134757.21</v>
      </c>
      <c r="D313" s="2">
        <v>43659</v>
      </c>
      <c r="E313" t="s">
        <v>18</v>
      </c>
      <c r="F313" t="s">
        <v>158</v>
      </c>
      <c r="G313" t="s">
        <v>26</v>
      </c>
      <c r="H313" t="s">
        <v>32</v>
      </c>
      <c r="I313" t="s">
        <v>28</v>
      </c>
      <c r="J313" t="s">
        <v>464</v>
      </c>
    </row>
    <row r="314" spans="1:10" x14ac:dyDescent="0.25">
      <c r="A314" t="s">
        <v>10</v>
      </c>
      <c r="B314" s="1">
        <v>50618.21</v>
      </c>
      <c r="C314">
        <v>41835.949999999997</v>
      </c>
      <c r="D314" s="2">
        <v>43529</v>
      </c>
      <c r="E314" t="s">
        <v>30</v>
      </c>
      <c r="F314" t="s">
        <v>166</v>
      </c>
      <c r="G314" t="s">
        <v>13</v>
      </c>
      <c r="H314" t="s">
        <v>170</v>
      </c>
      <c r="I314" t="s">
        <v>28</v>
      </c>
      <c r="J314" t="s">
        <v>465</v>
      </c>
    </row>
    <row r="315" spans="1:10" x14ac:dyDescent="0.25">
      <c r="A315" t="s">
        <v>10</v>
      </c>
      <c r="B315" s="1">
        <v>82116.31</v>
      </c>
      <c r="C315">
        <v>70652.87</v>
      </c>
      <c r="D315" s="2">
        <v>43981</v>
      </c>
      <c r="E315" t="s">
        <v>30</v>
      </c>
      <c r="F315" t="s">
        <v>178</v>
      </c>
      <c r="G315" t="s">
        <v>13</v>
      </c>
      <c r="H315" t="s">
        <v>118</v>
      </c>
      <c r="I315" t="s">
        <v>38</v>
      </c>
      <c r="J315" t="s">
        <v>466</v>
      </c>
    </row>
    <row r="316" spans="1:10" x14ac:dyDescent="0.25">
      <c r="A316" t="s">
        <v>10</v>
      </c>
      <c r="B316" s="1">
        <v>106142.65</v>
      </c>
      <c r="C316">
        <v>88151.47</v>
      </c>
      <c r="D316" s="2">
        <v>43620</v>
      </c>
      <c r="E316" t="s">
        <v>18</v>
      </c>
      <c r="F316" t="s">
        <v>467</v>
      </c>
      <c r="G316" t="s">
        <v>13</v>
      </c>
      <c r="H316" t="s">
        <v>69</v>
      </c>
      <c r="I316" t="s">
        <v>28</v>
      </c>
      <c r="J316" t="s">
        <v>468</v>
      </c>
    </row>
    <row r="317" spans="1:10" x14ac:dyDescent="0.25">
      <c r="A317" t="s">
        <v>23</v>
      </c>
      <c r="B317" s="1">
        <v>149514</v>
      </c>
      <c r="C317">
        <v>122646.33</v>
      </c>
      <c r="D317" s="2">
        <v>44122</v>
      </c>
      <c r="E317" t="s">
        <v>18</v>
      </c>
      <c r="F317" t="s">
        <v>180</v>
      </c>
      <c r="G317" t="s">
        <v>26</v>
      </c>
      <c r="H317" t="s">
        <v>27</v>
      </c>
      <c r="I317" t="s">
        <v>15</v>
      </c>
      <c r="J317" t="s">
        <v>469</v>
      </c>
    </row>
    <row r="318" spans="1:10" x14ac:dyDescent="0.25">
      <c r="A318" t="s">
        <v>10</v>
      </c>
      <c r="B318" s="1">
        <v>30975.79</v>
      </c>
      <c r="C318">
        <v>27072.84</v>
      </c>
      <c r="D318" s="2">
        <v>43905</v>
      </c>
      <c r="E318" t="s">
        <v>24</v>
      </c>
      <c r="F318" t="s">
        <v>148</v>
      </c>
      <c r="G318" t="s">
        <v>13</v>
      </c>
      <c r="H318" t="s">
        <v>170</v>
      </c>
      <c r="I318" t="s">
        <v>28</v>
      </c>
      <c r="J318" t="s">
        <v>470</v>
      </c>
    </row>
    <row r="319" spans="1:10" x14ac:dyDescent="0.25">
      <c r="A319" t="s">
        <v>53</v>
      </c>
      <c r="B319" s="1">
        <v>165118.74</v>
      </c>
      <c r="C319">
        <v>137527.4</v>
      </c>
      <c r="D319" s="2">
        <v>43771</v>
      </c>
      <c r="E319" t="s">
        <v>24</v>
      </c>
      <c r="F319" t="s">
        <v>174</v>
      </c>
      <c r="G319" t="s">
        <v>55</v>
      </c>
      <c r="H319" t="s">
        <v>72</v>
      </c>
      <c r="I319" t="s">
        <v>28</v>
      </c>
      <c r="J319" t="s">
        <v>471</v>
      </c>
    </row>
    <row r="320" spans="1:10" x14ac:dyDescent="0.25">
      <c r="A320" t="s">
        <v>215</v>
      </c>
      <c r="B320" s="1">
        <v>76652.73</v>
      </c>
      <c r="C320">
        <v>64311.64</v>
      </c>
      <c r="D320" s="2">
        <v>44047</v>
      </c>
      <c r="E320" t="s">
        <v>46</v>
      </c>
      <c r="F320" t="s">
        <v>40</v>
      </c>
      <c r="G320" t="s">
        <v>216</v>
      </c>
      <c r="H320" t="s">
        <v>217</v>
      </c>
      <c r="I320" t="s">
        <v>28</v>
      </c>
      <c r="J320" t="s">
        <v>472</v>
      </c>
    </row>
    <row r="321" spans="1:10" x14ac:dyDescent="0.25">
      <c r="A321" t="s">
        <v>45</v>
      </c>
      <c r="B321" s="1">
        <v>151632.32999999999</v>
      </c>
      <c r="C321">
        <v>120744.82</v>
      </c>
      <c r="D321" s="2">
        <v>44026</v>
      </c>
      <c r="E321" t="s">
        <v>24</v>
      </c>
      <c r="F321" t="s">
        <v>97</v>
      </c>
      <c r="G321" t="s">
        <v>48</v>
      </c>
      <c r="H321" t="s">
        <v>49</v>
      </c>
      <c r="I321" t="s">
        <v>28</v>
      </c>
      <c r="J321" t="s">
        <v>473</v>
      </c>
    </row>
    <row r="322" spans="1:10" x14ac:dyDescent="0.25">
      <c r="A322" t="s">
        <v>53</v>
      </c>
      <c r="B322" s="1">
        <v>35289.75</v>
      </c>
      <c r="C322">
        <v>29424.59</v>
      </c>
      <c r="D322" s="2">
        <v>43522</v>
      </c>
      <c r="E322" t="s">
        <v>60</v>
      </c>
      <c r="F322" t="s">
        <v>97</v>
      </c>
      <c r="G322" t="s">
        <v>55</v>
      </c>
      <c r="H322" t="s">
        <v>56</v>
      </c>
      <c r="I322" t="s">
        <v>28</v>
      </c>
      <c r="J322" t="s">
        <v>474</v>
      </c>
    </row>
    <row r="323" spans="1:10" x14ac:dyDescent="0.25">
      <c r="A323" t="s">
        <v>53</v>
      </c>
      <c r="B323" s="1">
        <v>77043.839999999997</v>
      </c>
      <c r="C323">
        <v>63245.29</v>
      </c>
      <c r="D323" s="2">
        <v>43869</v>
      </c>
      <c r="E323" t="s">
        <v>62</v>
      </c>
      <c r="F323" t="s">
        <v>97</v>
      </c>
      <c r="G323" t="s">
        <v>55</v>
      </c>
      <c r="H323" t="s">
        <v>144</v>
      </c>
      <c r="I323" t="s">
        <v>28</v>
      </c>
      <c r="J323" t="s">
        <v>475</v>
      </c>
    </row>
    <row r="324" spans="1:10" x14ac:dyDescent="0.25">
      <c r="A324" t="s">
        <v>23</v>
      </c>
      <c r="B324" s="1">
        <v>59691.71</v>
      </c>
      <c r="C324">
        <v>49239.69</v>
      </c>
      <c r="D324" s="2">
        <v>43633</v>
      </c>
      <c r="E324" t="s">
        <v>139</v>
      </c>
      <c r="F324" t="s">
        <v>155</v>
      </c>
      <c r="G324" t="s">
        <v>26</v>
      </c>
      <c r="H324" t="s">
        <v>90</v>
      </c>
      <c r="I324" t="s">
        <v>28</v>
      </c>
      <c r="J324" t="s">
        <v>476</v>
      </c>
    </row>
    <row r="325" spans="1:10" x14ac:dyDescent="0.25">
      <c r="A325" t="s">
        <v>23</v>
      </c>
      <c r="B325" s="1">
        <v>181882.43</v>
      </c>
      <c r="C325">
        <v>149834.75</v>
      </c>
      <c r="D325" s="2">
        <v>43674</v>
      </c>
      <c r="E325" t="s">
        <v>11</v>
      </c>
      <c r="F325" t="s">
        <v>224</v>
      </c>
      <c r="G325" t="s">
        <v>26</v>
      </c>
      <c r="H325" t="s">
        <v>76</v>
      </c>
      <c r="I325" t="s">
        <v>28</v>
      </c>
      <c r="J325" t="s">
        <v>477</v>
      </c>
    </row>
    <row r="326" spans="1:10" x14ac:dyDescent="0.25">
      <c r="A326" t="s">
        <v>23</v>
      </c>
      <c r="B326" s="1">
        <v>50796.04</v>
      </c>
      <c r="C326">
        <v>44090.96</v>
      </c>
      <c r="D326" s="2">
        <v>43729</v>
      </c>
      <c r="E326" t="s">
        <v>11</v>
      </c>
      <c r="F326" t="s">
        <v>40</v>
      </c>
      <c r="G326" t="s">
        <v>26</v>
      </c>
      <c r="H326" t="s">
        <v>90</v>
      </c>
      <c r="I326" t="s">
        <v>28</v>
      </c>
      <c r="J326" t="s">
        <v>478</v>
      </c>
    </row>
    <row r="327" spans="1:10" x14ac:dyDescent="0.25">
      <c r="A327" t="s">
        <v>84</v>
      </c>
      <c r="B327" s="1">
        <v>73981.77</v>
      </c>
      <c r="C327">
        <v>61959.73</v>
      </c>
      <c r="D327" s="2">
        <v>43787</v>
      </c>
      <c r="E327" t="s">
        <v>24</v>
      </c>
      <c r="F327" t="s">
        <v>135</v>
      </c>
      <c r="G327" t="s">
        <v>85</v>
      </c>
      <c r="H327" t="s">
        <v>86</v>
      </c>
      <c r="I327" t="s">
        <v>28</v>
      </c>
      <c r="J327" t="s">
        <v>479</v>
      </c>
    </row>
    <row r="328" spans="1:10" x14ac:dyDescent="0.25">
      <c r="A328" t="s">
        <v>45</v>
      </c>
      <c r="B328" s="1">
        <v>105686.13</v>
      </c>
      <c r="C328">
        <v>86694.33</v>
      </c>
      <c r="D328" s="2">
        <v>43751</v>
      </c>
      <c r="E328" t="s">
        <v>62</v>
      </c>
      <c r="F328" t="s">
        <v>35</v>
      </c>
      <c r="G328" t="s">
        <v>48</v>
      </c>
      <c r="H328" t="s">
        <v>66</v>
      </c>
      <c r="I328" t="s">
        <v>28</v>
      </c>
      <c r="J328" t="s">
        <v>480</v>
      </c>
    </row>
    <row r="329" spans="1:10" x14ac:dyDescent="0.25">
      <c r="A329" t="s">
        <v>10</v>
      </c>
      <c r="B329" s="1">
        <v>149376.26</v>
      </c>
      <c r="C329">
        <v>123653.67</v>
      </c>
      <c r="D329" s="2">
        <v>43861</v>
      </c>
      <c r="E329" t="s">
        <v>139</v>
      </c>
      <c r="F329" t="s">
        <v>146</v>
      </c>
      <c r="G329" t="s">
        <v>13</v>
      </c>
      <c r="H329" t="s">
        <v>82</v>
      </c>
      <c r="I329" t="s">
        <v>28</v>
      </c>
      <c r="J329" t="s">
        <v>481</v>
      </c>
    </row>
    <row r="330" spans="1:10" x14ac:dyDescent="0.25">
      <c r="A330" t="s">
        <v>84</v>
      </c>
      <c r="B330" s="1">
        <v>85237.91</v>
      </c>
      <c r="C330">
        <v>72384.03</v>
      </c>
      <c r="D330" s="2">
        <v>43908</v>
      </c>
      <c r="E330" t="s">
        <v>60</v>
      </c>
      <c r="F330" t="s">
        <v>97</v>
      </c>
      <c r="G330" t="s">
        <v>85</v>
      </c>
      <c r="H330" t="s">
        <v>86</v>
      </c>
      <c r="I330" t="s">
        <v>28</v>
      </c>
      <c r="J330" t="s">
        <v>482</v>
      </c>
    </row>
    <row r="331" spans="1:10" x14ac:dyDescent="0.25">
      <c r="A331" t="s">
        <v>106</v>
      </c>
      <c r="B331" s="1">
        <v>104743.22</v>
      </c>
      <c r="C331">
        <v>83281.33</v>
      </c>
      <c r="D331" s="2">
        <v>43548</v>
      </c>
      <c r="E331" t="s">
        <v>80</v>
      </c>
      <c r="F331" t="s">
        <v>35</v>
      </c>
      <c r="G331" t="s">
        <v>107</v>
      </c>
      <c r="H331" t="s">
        <v>108</v>
      </c>
      <c r="I331" t="s">
        <v>15</v>
      </c>
      <c r="J331" t="s">
        <v>483</v>
      </c>
    </row>
    <row r="332" spans="1:10" x14ac:dyDescent="0.25">
      <c r="A332" t="s">
        <v>23</v>
      </c>
      <c r="B332" s="1">
        <v>290551.74</v>
      </c>
      <c r="C332">
        <v>239530.86</v>
      </c>
      <c r="D332" s="2">
        <v>44179</v>
      </c>
      <c r="E332" t="s">
        <v>139</v>
      </c>
      <c r="F332" t="s">
        <v>31</v>
      </c>
      <c r="G332" t="s">
        <v>26</v>
      </c>
      <c r="H332" t="s">
        <v>219</v>
      </c>
      <c r="I332" t="s">
        <v>28</v>
      </c>
      <c r="J332" t="s">
        <v>484</v>
      </c>
    </row>
    <row r="333" spans="1:10" x14ac:dyDescent="0.25">
      <c r="A333" t="s">
        <v>53</v>
      </c>
      <c r="B333" s="1">
        <v>72314.73</v>
      </c>
      <c r="C333">
        <v>57309.42</v>
      </c>
      <c r="D333" s="2">
        <v>43704</v>
      </c>
      <c r="E333" t="s">
        <v>51</v>
      </c>
      <c r="F333" t="s">
        <v>35</v>
      </c>
      <c r="G333" t="s">
        <v>55</v>
      </c>
      <c r="H333" t="s">
        <v>133</v>
      </c>
      <c r="I333" t="s">
        <v>28</v>
      </c>
      <c r="J333" t="s">
        <v>485</v>
      </c>
    </row>
    <row r="334" spans="1:10" x14ac:dyDescent="0.25">
      <c r="A334" t="s">
        <v>84</v>
      </c>
      <c r="B334" s="1">
        <v>119858.15</v>
      </c>
      <c r="C334">
        <v>99997.65</v>
      </c>
      <c r="D334" s="2">
        <v>44154</v>
      </c>
      <c r="E334" t="s">
        <v>80</v>
      </c>
      <c r="F334" t="s">
        <v>182</v>
      </c>
      <c r="G334" t="s">
        <v>85</v>
      </c>
      <c r="H334" t="s">
        <v>86</v>
      </c>
      <c r="I334" t="s">
        <v>28</v>
      </c>
      <c r="J334" t="s">
        <v>486</v>
      </c>
    </row>
    <row r="335" spans="1:10" x14ac:dyDescent="0.25">
      <c r="A335" t="s">
        <v>23</v>
      </c>
      <c r="B335" s="1">
        <v>119937.47</v>
      </c>
      <c r="C335">
        <v>98720.53</v>
      </c>
      <c r="D335" s="2">
        <v>43690</v>
      </c>
      <c r="E335" t="s">
        <v>18</v>
      </c>
      <c r="F335" t="s">
        <v>434</v>
      </c>
      <c r="G335" t="s">
        <v>26</v>
      </c>
      <c r="H335" t="s">
        <v>32</v>
      </c>
      <c r="I335" t="s">
        <v>28</v>
      </c>
      <c r="J335" t="s">
        <v>487</v>
      </c>
    </row>
    <row r="336" spans="1:10" x14ac:dyDescent="0.25">
      <c r="A336" t="s">
        <v>53</v>
      </c>
      <c r="B336" s="1">
        <v>60592.4</v>
      </c>
      <c r="C336">
        <v>52363.95</v>
      </c>
      <c r="D336" s="2">
        <v>43518</v>
      </c>
      <c r="E336" t="s">
        <v>46</v>
      </c>
      <c r="F336" t="s">
        <v>71</v>
      </c>
      <c r="G336" t="s">
        <v>55</v>
      </c>
      <c r="H336" t="s">
        <v>128</v>
      </c>
      <c r="I336" t="s">
        <v>28</v>
      </c>
      <c r="J336" t="s">
        <v>488</v>
      </c>
    </row>
    <row r="337" spans="1:10" x14ac:dyDescent="0.25">
      <c r="A337" t="s">
        <v>173</v>
      </c>
      <c r="B337" s="1">
        <v>31966.82</v>
      </c>
      <c r="C337">
        <v>26593.200000000001</v>
      </c>
      <c r="D337" s="2">
        <v>44067</v>
      </c>
      <c r="E337" t="s">
        <v>51</v>
      </c>
      <c r="F337" t="s">
        <v>35</v>
      </c>
      <c r="G337" t="s">
        <v>175</v>
      </c>
      <c r="H337" t="s">
        <v>212</v>
      </c>
      <c r="I337" t="s">
        <v>28</v>
      </c>
      <c r="J337" t="s">
        <v>489</v>
      </c>
    </row>
    <row r="338" spans="1:10" x14ac:dyDescent="0.25">
      <c r="A338" t="s">
        <v>23</v>
      </c>
      <c r="B338" s="1">
        <v>83226.45</v>
      </c>
      <c r="C338">
        <v>71699.59</v>
      </c>
      <c r="D338" s="2">
        <v>44157</v>
      </c>
      <c r="E338" t="s">
        <v>30</v>
      </c>
      <c r="F338" t="s">
        <v>58</v>
      </c>
      <c r="G338" t="s">
        <v>26</v>
      </c>
      <c r="H338" t="s">
        <v>76</v>
      </c>
      <c r="I338" t="s">
        <v>28</v>
      </c>
      <c r="J338" t="s">
        <v>490</v>
      </c>
    </row>
    <row r="339" spans="1:10" x14ac:dyDescent="0.25">
      <c r="A339" t="s">
        <v>215</v>
      </c>
      <c r="B339" s="1">
        <v>51407.3</v>
      </c>
      <c r="C339">
        <v>44292.53</v>
      </c>
      <c r="D339" s="2">
        <v>43587</v>
      </c>
      <c r="E339" t="s">
        <v>24</v>
      </c>
      <c r="F339" t="s">
        <v>160</v>
      </c>
      <c r="G339" t="s">
        <v>216</v>
      </c>
      <c r="H339" t="s">
        <v>217</v>
      </c>
      <c r="I339" t="s">
        <v>38</v>
      </c>
      <c r="J339" t="s">
        <v>491</v>
      </c>
    </row>
    <row r="340" spans="1:10" x14ac:dyDescent="0.25">
      <c r="A340" t="s">
        <v>215</v>
      </c>
      <c r="B340" s="1">
        <v>61968.26</v>
      </c>
      <c r="C340">
        <v>50690.04</v>
      </c>
      <c r="D340" s="2">
        <v>44192</v>
      </c>
      <c r="E340" t="s">
        <v>80</v>
      </c>
      <c r="F340" t="s">
        <v>89</v>
      </c>
      <c r="G340" t="s">
        <v>216</v>
      </c>
      <c r="H340" t="s">
        <v>217</v>
      </c>
      <c r="I340" t="s">
        <v>28</v>
      </c>
      <c r="J340" t="s">
        <v>492</v>
      </c>
    </row>
    <row r="341" spans="1:10" x14ac:dyDescent="0.25">
      <c r="A341" t="s">
        <v>173</v>
      </c>
      <c r="B341" s="1">
        <v>271465.15000000002</v>
      </c>
      <c r="C341">
        <v>217959.37</v>
      </c>
      <c r="D341" s="2">
        <v>43649</v>
      </c>
      <c r="E341" t="s">
        <v>80</v>
      </c>
      <c r="F341" t="s">
        <v>254</v>
      </c>
      <c r="G341" t="s">
        <v>175</v>
      </c>
      <c r="H341" t="s">
        <v>176</v>
      </c>
      <c r="I341" t="s">
        <v>15</v>
      </c>
      <c r="J341" t="s">
        <v>493</v>
      </c>
    </row>
    <row r="342" spans="1:10" x14ac:dyDescent="0.25">
      <c r="A342" t="s">
        <v>10</v>
      </c>
      <c r="B342" s="1">
        <v>86854.64</v>
      </c>
      <c r="C342">
        <v>72219.63</v>
      </c>
      <c r="D342" s="2">
        <v>43865</v>
      </c>
      <c r="E342" t="s">
        <v>11</v>
      </c>
      <c r="F342" t="s">
        <v>68</v>
      </c>
      <c r="G342" t="s">
        <v>13</v>
      </c>
      <c r="H342" t="s">
        <v>170</v>
      </c>
      <c r="I342" t="s">
        <v>28</v>
      </c>
      <c r="J342" t="s">
        <v>494</v>
      </c>
    </row>
    <row r="343" spans="1:10" x14ac:dyDescent="0.25">
      <c r="A343" t="s">
        <v>173</v>
      </c>
      <c r="B343" s="1">
        <v>119819.37</v>
      </c>
      <c r="C343">
        <v>105441.05</v>
      </c>
      <c r="D343" s="2">
        <v>44172</v>
      </c>
      <c r="E343" t="s">
        <v>60</v>
      </c>
      <c r="F343" t="s">
        <v>121</v>
      </c>
      <c r="G343" t="s">
        <v>175</v>
      </c>
      <c r="H343" t="s">
        <v>212</v>
      </c>
      <c r="I343" t="s">
        <v>28</v>
      </c>
      <c r="J343" t="s">
        <v>495</v>
      </c>
    </row>
    <row r="344" spans="1:10" x14ac:dyDescent="0.25">
      <c r="A344" t="s">
        <v>45</v>
      </c>
      <c r="B344" s="1">
        <v>160763.9</v>
      </c>
      <c r="C344">
        <v>131102.96</v>
      </c>
      <c r="D344" s="2">
        <v>43573</v>
      </c>
      <c r="E344" t="s">
        <v>51</v>
      </c>
      <c r="F344" t="s">
        <v>182</v>
      </c>
      <c r="G344" t="s">
        <v>48</v>
      </c>
      <c r="H344" t="s">
        <v>66</v>
      </c>
      <c r="I344" t="s">
        <v>28</v>
      </c>
      <c r="J344" t="s">
        <v>496</v>
      </c>
    </row>
    <row r="345" spans="1:10" x14ac:dyDescent="0.25">
      <c r="A345" t="s">
        <v>10</v>
      </c>
      <c r="B345" s="1">
        <v>44029.07</v>
      </c>
      <c r="C345">
        <v>38344.92</v>
      </c>
      <c r="D345" s="2">
        <v>43717</v>
      </c>
      <c r="E345" t="s">
        <v>139</v>
      </c>
      <c r="F345" t="s">
        <v>148</v>
      </c>
      <c r="G345" t="s">
        <v>13</v>
      </c>
      <c r="H345" t="s">
        <v>82</v>
      </c>
      <c r="I345" t="s">
        <v>28</v>
      </c>
      <c r="J345" t="s">
        <v>497</v>
      </c>
    </row>
    <row r="346" spans="1:10" x14ac:dyDescent="0.25">
      <c r="A346" t="s">
        <v>53</v>
      </c>
      <c r="B346" s="1">
        <v>86628.32</v>
      </c>
      <c r="C346">
        <v>72464.59</v>
      </c>
      <c r="D346" s="2">
        <v>43775</v>
      </c>
      <c r="E346" t="s">
        <v>51</v>
      </c>
      <c r="F346" t="s">
        <v>234</v>
      </c>
      <c r="G346" t="s">
        <v>55</v>
      </c>
      <c r="H346" t="s">
        <v>128</v>
      </c>
      <c r="I346" t="s">
        <v>28</v>
      </c>
      <c r="J346" t="s">
        <v>498</v>
      </c>
    </row>
    <row r="347" spans="1:10" x14ac:dyDescent="0.25">
      <c r="A347" t="s">
        <v>23</v>
      </c>
      <c r="B347" s="1">
        <v>97641.25</v>
      </c>
      <c r="C347">
        <v>83414.92</v>
      </c>
      <c r="D347" s="2">
        <v>44121</v>
      </c>
      <c r="E347" t="s">
        <v>11</v>
      </c>
      <c r="F347" t="s">
        <v>282</v>
      </c>
      <c r="G347" t="s">
        <v>26</v>
      </c>
      <c r="H347" t="s">
        <v>219</v>
      </c>
      <c r="I347" t="s">
        <v>28</v>
      </c>
      <c r="J347" t="s">
        <v>499</v>
      </c>
    </row>
    <row r="348" spans="1:10" x14ac:dyDescent="0.25">
      <c r="A348" t="s">
        <v>23</v>
      </c>
      <c r="B348" s="1">
        <v>98746.66</v>
      </c>
      <c r="C348">
        <v>80399.53</v>
      </c>
      <c r="D348" s="2">
        <v>43871</v>
      </c>
      <c r="E348" t="s">
        <v>51</v>
      </c>
      <c r="F348" t="s">
        <v>110</v>
      </c>
      <c r="G348" t="s">
        <v>26</v>
      </c>
      <c r="H348" t="s">
        <v>27</v>
      </c>
      <c r="I348" t="s">
        <v>28</v>
      </c>
      <c r="J348" t="s">
        <v>500</v>
      </c>
    </row>
    <row r="349" spans="1:10" x14ac:dyDescent="0.25">
      <c r="A349" t="s">
        <v>53</v>
      </c>
      <c r="B349" s="1">
        <v>109562.5</v>
      </c>
      <c r="C349">
        <v>89917.94</v>
      </c>
      <c r="D349" s="2">
        <v>44048</v>
      </c>
      <c r="E349" t="s">
        <v>51</v>
      </c>
      <c r="F349" t="s">
        <v>210</v>
      </c>
      <c r="G349" t="s">
        <v>55</v>
      </c>
      <c r="H349" t="s">
        <v>56</v>
      </c>
      <c r="I349" t="s">
        <v>28</v>
      </c>
      <c r="J349" t="s">
        <v>501</v>
      </c>
    </row>
    <row r="350" spans="1:10" x14ac:dyDescent="0.25">
      <c r="A350" t="s">
        <v>45</v>
      </c>
      <c r="B350" s="1">
        <v>60301.96</v>
      </c>
      <c r="C350">
        <v>48820.47</v>
      </c>
      <c r="D350" s="2">
        <v>43504</v>
      </c>
      <c r="E350" t="s">
        <v>30</v>
      </c>
      <c r="F350" t="s">
        <v>126</v>
      </c>
      <c r="G350" t="s">
        <v>48</v>
      </c>
      <c r="H350" t="s">
        <v>74</v>
      </c>
      <c r="I350" t="s">
        <v>28</v>
      </c>
      <c r="J350" t="s">
        <v>502</v>
      </c>
    </row>
    <row r="351" spans="1:10" x14ac:dyDescent="0.25">
      <c r="A351" t="s">
        <v>53</v>
      </c>
      <c r="B351" s="1">
        <v>80781.62</v>
      </c>
      <c r="C351">
        <v>68971.350000000006</v>
      </c>
      <c r="D351" s="2">
        <v>43484</v>
      </c>
      <c r="E351" t="s">
        <v>60</v>
      </c>
      <c r="F351" t="s">
        <v>182</v>
      </c>
      <c r="G351" t="s">
        <v>55</v>
      </c>
      <c r="H351" t="s">
        <v>133</v>
      </c>
      <c r="I351" t="s">
        <v>15</v>
      </c>
      <c r="J351" t="s">
        <v>503</v>
      </c>
    </row>
    <row r="352" spans="1:10" x14ac:dyDescent="0.25">
      <c r="A352" t="s">
        <v>53</v>
      </c>
      <c r="B352" s="1">
        <v>238659.41</v>
      </c>
      <c r="C352">
        <v>204507.25</v>
      </c>
      <c r="D352" s="2">
        <v>43822</v>
      </c>
      <c r="E352" t="s">
        <v>51</v>
      </c>
      <c r="F352" t="s">
        <v>254</v>
      </c>
      <c r="G352" t="s">
        <v>55</v>
      </c>
      <c r="H352" t="s">
        <v>72</v>
      </c>
      <c r="I352" t="s">
        <v>38</v>
      </c>
      <c r="J352" t="s">
        <v>504</v>
      </c>
    </row>
    <row r="353" spans="1:10" x14ac:dyDescent="0.25">
      <c r="A353" t="s">
        <v>45</v>
      </c>
      <c r="B353" s="1">
        <v>165631.75</v>
      </c>
      <c r="C353">
        <v>139114.10999999999</v>
      </c>
      <c r="D353" s="2">
        <v>43711</v>
      </c>
      <c r="E353" t="s">
        <v>51</v>
      </c>
      <c r="F353" t="s">
        <v>35</v>
      </c>
      <c r="G353" t="s">
        <v>48</v>
      </c>
      <c r="H353" t="s">
        <v>74</v>
      </c>
      <c r="I353" t="s">
        <v>28</v>
      </c>
      <c r="J353" t="s">
        <v>505</v>
      </c>
    </row>
    <row r="354" spans="1:10" x14ac:dyDescent="0.25">
      <c r="A354" t="s">
        <v>10</v>
      </c>
      <c r="B354" s="1">
        <v>126682.79</v>
      </c>
      <c r="C354">
        <v>106514.89</v>
      </c>
      <c r="D354" s="2">
        <v>43627</v>
      </c>
      <c r="E354" t="s">
        <v>60</v>
      </c>
      <c r="F354" t="s">
        <v>102</v>
      </c>
      <c r="G354" t="s">
        <v>13</v>
      </c>
      <c r="H354" t="s">
        <v>14</v>
      </c>
      <c r="I354" t="s">
        <v>28</v>
      </c>
      <c r="J354" t="s">
        <v>506</v>
      </c>
    </row>
    <row r="355" spans="1:10" x14ac:dyDescent="0.25">
      <c r="A355" t="s">
        <v>10</v>
      </c>
      <c r="B355" s="1">
        <v>145558</v>
      </c>
      <c r="C355">
        <v>116257.18</v>
      </c>
      <c r="D355" s="2">
        <v>43819</v>
      </c>
      <c r="E355" t="s">
        <v>24</v>
      </c>
      <c r="F355" t="s">
        <v>311</v>
      </c>
      <c r="G355" t="s">
        <v>13</v>
      </c>
      <c r="H355" t="s">
        <v>170</v>
      </c>
      <c r="I355" t="s">
        <v>38</v>
      </c>
      <c r="J355" t="s">
        <v>507</v>
      </c>
    </row>
    <row r="356" spans="1:10" x14ac:dyDescent="0.25">
      <c r="A356" t="s">
        <v>34</v>
      </c>
      <c r="B356" s="1">
        <v>59163.79</v>
      </c>
      <c r="C356">
        <v>50419.38</v>
      </c>
      <c r="D356" s="2">
        <v>43535</v>
      </c>
      <c r="E356" t="s">
        <v>60</v>
      </c>
      <c r="F356" t="s">
        <v>224</v>
      </c>
      <c r="G356" t="s">
        <v>36</v>
      </c>
      <c r="H356" t="s">
        <v>41</v>
      </c>
      <c r="I356" t="s">
        <v>15</v>
      </c>
      <c r="J356" t="s">
        <v>508</v>
      </c>
    </row>
    <row r="357" spans="1:10" x14ac:dyDescent="0.25">
      <c r="A357" t="s">
        <v>10</v>
      </c>
      <c r="B357" s="1">
        <v>140352.81</v>
      </c>
      <c r="C357">
        <v>122303.44</v>
      </c>
      <c r="D357" s="2">
        <v>43800</v>
      </c>
      <c r="E357" t="s">
        <v>60</v>
      </c>
      <c r="F357" t="s">
        <v>19</v>
      </c>
      <c r="G357" t="s">
        <v>13</v>
      </c>
      <c r="H357" t="s">
        <v>118</v>
      </c>
      <c r="I357" t="s">
        <v>28</v>
      </c>
      <c r="J357" t="s">
        <v>509</v>
      </c>
    </row>
    <row r="358" spans="1:10" x14ac:dyDescent="0.25">
      <c r="A358" t="s">
        <v>53</v>
      </c>
      <c r="B358" s="1">
        <v>163401.23000000001</v>
      </c>
      <c r="C358">
        <v>139413.93</v>
      </c>
      <c r="D358" s="2">
        <v>43577</v>
      </c>
      <c r="E358" t="s">
        <v>24</v>
      </c>
      <c r="F358" t="s">
        <v>64</v>
      </c>
      <c r="G358" t="s">
        <v>55</v>
      </c>
      <c r="H358" t="s">
        <v>144</v>
      </c>
      <c r="I358" t="s">
        <v>28</v>
      </c>
      <c r="J358" t="s">
        <v>510</v>
      </c>
    </row>
    <row r="359" spans="1:10" x14ac:dyDescent="0.25">
      <c r="A359" t="s">
        <v>10</v>
      </c>
      <c r="B359" s="1">
        <v>177867.3</v>
      </c>
      <c r="C359">
        <v>140675.25</v>
      </c>
      <c r="D359" s="2">
        <v>44107</v>
      </c>
      <c r="E359" t="s">
        <v>60</v>
      </c>
      <c r="F359" t="s">
        <v>155</v>
      </c>
      <c r="G359" t="s">
        <v>13</v>
      </c>
      <c r="H359" t="s">
        <v>69</v>
      </c>
      <c r="I359" t="s">
        <v>28</v>
      </c>
      <c r="J359" t="s">
        <v>511</v>
      </c>
    </row>
    <row r="360" spans="1:10" x14ac:dyDescent="0.25">
      <c r="A360" t="s">
        <v>215</v>
      </c>
      <c r="B360" s="1">
        <v>58416.81</v>
      </c>
      <c r="C360">
        <v>46745.13</v>
      </c>
      <c r="D360" s="2">
        <v>43503</v>
      </c>
      <c r="E360" t="s">
        <v>24</v>
      </c>
      <c r="F360" t="s">
        <v>282</v>
      </c>
      <c r="G360" t="s">
        <v>216</v>
      </c>
      <c r="H360" t="s">
        <v>217</v>
      </c>
      <c r="I360" t="s">
        <v>28</v>
      </c>
      <c r="J360" t="s">
        <v>512</v>
      </c>
    </row>
    <row r="361" spans="1:10" x14ac:dyDescent="0.25">
      <c r="A361" t="s">
        <v>215</v>
      </c>
      <c r="B361" s="1">
        <v>169544.95</v>
      </c>
      <c r="C361">
        <v>137568.76999999999</v>
      </c>
      <c r="D361" s="2">
        <v>43933</v>
      </c>
      <c r="E361" t="s">
        <v>51</v>
      </c>
      <c r="F361" t="s">
        <v>116</v>
      </c>
      <c r="G361" t="s">
        <v>216</v>
      </c>
      <c r="H361" t="s">
        <v>217</v>
      </c>
      <c r="I361" t="s">
        <v>15</v>
      </c>
      <c r="J361" t="s">
        <v>513</v>
      </c>
    </row>
    <row r="362" spans="1:10" x14ac:dyDescent="0.25">
      <c r="A362" t="s">
        <v>106</v>
      </c>
      <c r="B362" s="1">
        <v>74732.789999999994</v>
      </c>
      <c r="C362">
        <v>64098.31</v>
      </c>
      <c r="D362" s="2">
        <v>43885</v>
      </c>
      <c r="E362" t="s">
        <v>30</v>
      </c>
      <c r="F362" t="s">
        <v>224</v>
      </c>
      <c r="G362" t="s">
        <v>107</v>
      </c>
      <c r="H362" t="s">
        <v>108</v>
      </c>
      <c r="I362" t="s">
        <v>28</v>
      </c>
      <c r="J362" t="s">
        <v>514</v>
      </c>
    </row>
    <row r="363" spans="1:10" x14ac:dyDescent="0.25">
      <c r="A363" t="s">
        <v>23</v>
      </c>
      <c r="B363" s="1">
        <v>55166.78</v>
      </c>
      <c r="C363">
        <v>47443.43</v>
      </c>
      <c r="D363" s="2">
        <v>43934</v>
      </c>
      <c r="E363" t="s">
        <v>11</v>
      </c>
      <c r="F363" t="s">
        <v>54</v>
      </c>
      <c r="G363" t="s">
        <v>26</v>
      </c>
      <c r="H363" t="s">
        <v>90</v>
      </c>
      <c r="I363" t="s">
        <v>28</v>
      </c>
      <c r="J363" t="s">
        <v>515</v>
      </c>
    </row>
    <row r="364" spans="1:10" x14ac:dyDescent="0.25">
      <c r="A364" t="s">
        <v>53</v>
      </c>
      <c r="B364" s="1">
        <v>99319.33</v>
      </c>
      <c r="C364">
        <v>79127.710000000006</v>
      </c>
      <c r="D364" s="2">
        <v>43977</v>
      </c>
      <c r="E364" t="s">
        <v>18</v>
      </c>
      <c r="F364" t="s">
        <v>31</v>
      </c>
      <c r="G364" t="s">
        <v>55</v>
      </c>
      <c r="H364" t="s">
        <v>72</v>
      </c>
      <c r="I364" t="s">
        <v>28</v>
      </c>
      <c r="J364" t="s">
        <v>516</v>
      </c>
    </row>
    <row r="365" spans="1:10" x14ac:dyDescent="0.25">
      <c r="A365" t="s">
        <v>10</v>
      </c>
      <c r="B365" s="1">
        <v>118982.14</v>
      </c>
      <c r="C365">
        <v>95506.96</v>
      </c>
      <c r="D365" s="2">
        <v>43845</v>
      </c>
      <c r="E365" t="s">
        <v>24</v>
      </c>
      <c r="F365" t="s">
        <v>380</v>
      </c>
      <c r="G365" t="s">
        <v>13</v>
      </c>
      <c r="H365" t="s">
        <v>118</v>
      </c>
      <c r="I365" t="s">
        <v>15</v>
      </c>
      <c r="J365" t="s">
        <v>517</v>
      </c>
    </row>
    <row r="366" spans="1:10" x14ac:dyDescent="0.25">
      <c r="A366" t="s">
        <v>173</v>
      </c>
      <c r="B366" s="1">
        <v>157007.51999999999</v>
      </c>
      <c r="C366">
        <v>126940.58</v>
      </c>
      <c r="D366" s="2">
        <v>43708</v>
      </c>
      <c r="E366" t="s">
        <v>30</v>
      </c>
      <c r="F366" t="s">
        <v>114</v>
      </c>
      <c r="G366" t="s">
        <v>175</v>
      </c>
      <c r="H366" t="s">
        <v>176</v>
      </c>
      <c r="I366" t="s">
        <v>28</v>
      </c>
      <c r="J366" t="s">
        <v>518</v>
      </c>
    </row>
    <row r="367" spans="1:10" x14ac:dyDescent="0.25">
      <c r="A367" t="s">
        <v>53</v>
      </c>
      <c r="B367" s="1">
        <v>49374.25</v>
      </c>
      <c r="C367">
        <v>39208.089999999997</v>
      </c>
      <c r="D367" s="2">
        <v>43606</v>
      </c>
      <c r="E367" t="s">
        <v>11</v>
      </c>
      <c r="F367" t="s">
        <v>327</v>
      </c>
      <c r="G367" t="s">
        <v>55</v>
      </c>
      <c r="H367" t="s">
        <v>133</v>
      </c>
      <c r="I367" t="s">
        <v>28</v>
      </c>
      <c r="J367" t="s">
        <v>519</v>
      </c>
    </row>
    <row r="368" spans="1:10" x14ac:dyDescent="0.25">
      <c r="A368" t="s">
        <v>23</v>
      </c>
      <c r="B368" s="1">
        <v>123891.6</v>
      </c>
      <c r="C368">
        <v>104118.5</v>
      </c>
      <c r="D368" s="2">
        <v>43669</v>
      </c>
      <c r="E368" t="s">
        <v>18</v>
      </c>
      <c r="F368" t="s">
        <v>166</v>
      </c>
      <c r="G368" t="s">
        <v>26</v>
      </c>
      <c r="H368" t="s">
        <v>27</v>
      </c>
      <c r="I368" t="s">
        <v>28</v>
      </c>
      <c r="J368" t="s">
        <v>520</v>
      </c>
    </row>
    <row r="369" spans="1:10" x14ac:dyDescent="0.25">
      <c r="A369" t="s">
        <v>53</v>
      </c>
      <c r="B369" s="1">
        <v>234340.31</v>
      </c>
      <c r="C369">
        <v>204438.49</v>
      </c>
      <c r="D369" s="2">
        <v>44178</v>
      </c>
      <c r="E369" t="s">
        <v>24</v>
      </c>
      <c r="F369" t="s">
        <v>31</v>
      </c>
      <c r="G369" t="s">
        <v>55</v>
      </c>
      <c r="H369" t="s">
        <v>144</v>
      </c>
      <c r="I369" t="s">
        <v>28</v>
      </c>
      <c r="J369" t="s">
        <v>521</v>
      </c>
    </row>
    <row r="370" spans="1:10" x14ac:dyDescent="0.25">
      <c r="A370" t="s">
        <v>84</v>
      </c>
      <c r="B370" s="1">
        <v>95575.75</v>
      </c>
      <c r="C370">
        <v>75504.84</v>
      </c>
      <c r="D370" s="2">
        <v>44188</v>
      </c>
      <c r="E370" t="s">
        <v>11</v>
      </c>
      <c r="F370" t="s">
        <v>31</v>
      </c>
      <c r="G370" t="s">
        <v>85</v>
      </c>
      <c r="H370" t="s">
        <v>86</v>
      </c>
      <c r="I370" t="s">
        <v>28</v>
      </c>
      <c r="J370" t="s">
        <v>522</v>
      </c>
    </row>
    <row r="371" spans="1:10" x14ac:dyDescent="0.25">
      <c r="A371" t="s">
        <v>17</v>
      </c>
      <c r="B371" s="1">
        <v>125280.28</v>
      </c>
      <c r="C371">
        <v>99372.32</v>
      </c>
      <c r="D371" s="2">
        <v>43756</v>
      </c>
      <c r="E371" t="s">
        <v>30</v>
      </c>
      <c r="F371" t="s">
        <v>89</v>
      </c>
      <c r="G371" t="s">
        <v>20</v>
      </c>
      <c r="H371" t="s">
        <v>21</v>
      </c>
      <c r="I371" t="s">
        <v>28</v>
      </c>
      <c r="J371" t="s">
        <v>523</v>
      </c>
    </row>
    <row r="372" spans="1:10" x14ac:dyDescent="0.25">
      <c r="A372" t="s">
        <v>23</v>
      </c>
      <c r="B372" s="1">
        <v>127482.28</v>
      </c>
      <c r="C372">
        <v>108614.9</v>
      </c>
      <c r="D372" s="2">
        <v>44069</v>
      </c>
      <c r="E372" t="s">
        <v>30</v>
      </c>
      <c r="F372" t="s">
        <v>19</v>
      </c>
      <c r="G372" t="s">
        <v>26</v>
      </c>
      <c r="H372" t="s">
        <v>32</v>
      </c>
      <c r="I372" t="s">
        <v>28</v>
      </c>
      <c r="J372" t="s">
        <v>524</v>
      </c>
    </row>
    <row r="373" spans="1:10" x14ac:dyDescent="0.25">
      <c r="A373" t="s">
        <v>23</v>
      </c>
      <c r="B373" s="1">
        <v>120453.52</v>
      </c>
      <c r="C373">
        <v>97218.04</v>
      </c>
      <c r="D373" s="2">
        <v>43507</v>
      </c>
      <c r="E373" t="s">
        <v>30</v>
      </c>
      <c r="F373" t="s">
        <v>237</v>
      </c>
      <c r="G373" t="s">
        <v>26</v>
      </c>
      <c r="H373" t="s">
        <v>219</v>
      </c>
      <c r="I373" t="s">
        <v>28</v>
      </c>
      <c r="J373" t="s">
        <v>525</v>
      </c>
    </row>
    <row r="374" spans="1:10" x14ac:dyDescent="0.25">
      <c r="A374" t="s">
        <v>23</v>
      </c>
      <c r="B374" s="1">
        <v>120152.33</v>
      </c>
      <c r="C374">
        <v>97527.65</v>
      </c>
      <c r="D374" s="2">
        <v>43737</v>
      </c>
      <c r="E374" t="s">
        <v>62</v>
      </c>
      <c r="F374" t="s">
        <v>89</v>
      </c>
      <c r="G374" t="s">
        <v>26</v>
      </c>
      <c r="H374" t="s">
        <v>27</v>
      </c>
      <c r="I374" t="s">
        <v>28</v>
      </c>
      <c r="J374" t="s">
        <v>526</v>
      </c>
    </row>
    <row r="375" spans="1:10" x14ac:dyDescent="0.25">
      <c r="A375" t="s">
        <v>23</v>
      </c>
      <c r="B375" s="1">
        <v>95410.97</v>
      </c>
      <c r="C375">
        <v>80593.649999999994</v>
      </c>
      <c r="D375" s="2">
        <v>44096</v>
      </c>
      <c r="E375" t="s">
        <v>11</v>
      </c>
      <c r="F375" t="s">
        <v>102</v>
      </c>
      <c r="G375" t="s">
        <v>26</v>
      </c>
      <c r="H375" t="s">
        <v>90</v>
      </c>
      <c r="I375" t="s">
        <v>15</v>
      </c>
      <c r="J375" t="s">
        <v>527</v>
      </c>
    </row>
    <row r="376" spans="1:10" x14ac:dyDescent="0.25">
      <c r="A376" t="s">
        <v>53</v>
      </c>
      <c r="B376" s="1">
        <v>128804.51</v>
      </c>
      <c r="C376">
        <v>105709.86</v>
      </c>
      <c r="D376" s="2">
        <v>43721</v>
      </c>
      <c r="E376" t="s">
        <v>51</v>
      </c>
      <c r="F376" t="s">
        <v>395</v>
      </c>
      <c r="G376" t="s">
        <v>55</v>
      </c>
      <c r="H376" t="s">
        <v>72</v>
      </c>
      <c r="I376" t="s">
        <v>38</v>
      </c>
      <c r="J376" t="s">
        <v>528</v>
      </c>
    </row>
    <row r="377" spans="1:10" x14ac:dyDescent="0.25">
      <c r="A377" t="s">
        <v>138</v>
      </c>
      <c r="B377" s="1">
        <v>26899.97</v>
      </c>
      <c r="C377">
        <v>23198.53</v>
      </c>
      <c r="D377" s="2">
        <v>43543</v>
      </c>
      <c r="E377" t="s">
        <v>18</v>
      </c>
      <c r="F377" t="s">
        <v>31</v>
      </c>
      <c r="G377" t="s">
        <v>140</v>
      </c>
      <c r="H377" t="s">
        <v>141</v>
      </c>
      <c r="I377" t="s">
        <v>28</v>
      </c>
      <c r="J377" t="s">
        <v>529</v>
      </c>
    </row>
    <row r="378" spans="1:10" x14ac:dyDescent="0.25">
      <c r="A378" t="s">
        <v>45</v>
      </c>
      <c r="B378" s="1">
        <v>123751.91</v>
      </c>
      <c r="C378">
        <v>102590.33</v>
      </c>
      <c r="D378" s="2">
        <v>43787</v>
      </c>
      <c r="E378" t="s">
        <v>60</v>
      </c>
      <c r="F378" t="s">
        <v>35</v>
      </c>
      <c r="G378" t="s">
        <v>48</v>
      </c>
      <c r="H378" t="s">
        <v>74</v>
      </c>
      <c r="I378" t="s">
        <v>28</v>
      </c>
      <c r="J378" t="s">
        <v>530</v>
      </c>
    </row>
    <row r="379" spans="1:10" x14ac:dyDescent="0.25">
      <c r="A379" t="s">
        <v>10</v>
      </c>
      <c r="B379" s="1">
        <v>37081.31</v>
      </c>
      <c r="C379">
        <v>31304.04</v>
      </c>
      <c r="D379" s="2">
        <v>43535</v>
      </c>
      <c r="E379" t="s">
        <v>30</v>
      </c>
      <c r="F379" t="s">
        <v>182</v>
      </c>
      <c r="G379" t="s">
        <v>13</v>
      </c>
      <c r="H379" t="s">
        <v>69</v>
      </c>
      <c r="I379" t="s">
        <v>28</v>
      </c>
      <c r="J379" t="s">
        <v>531</v>
      </c>
    </row>
    <row r="380" spans="1:10" x14ac:dyDescent="0.25">
      <c r="A380" t="s">
        <v>53</v>
      </c>
      <c r="B380" s="1">
        <v>133905.54999999999</v>
      </c>
      <c r="C380">
        <v>116886.15</v>
      </c>
      <c r="D380" s="2">
        <v>44044</v>
      </c>
      <c r="E380" t="s">
        <v>11</v>
      </c>
      <c r="F380" t="s">
        <v>116</v>
      </c>
      <c r="G380" t="s">
        <v>55</v>
      </c>
      <c r="H380" t="s">
        <v>144</v>
      </c>
      <c r="I380" t="s">
        <v>15</v>
      </c>
      <c r="J380" t="s">
        <v>532</v>
      </c>
    </row>
    <row r="381" spans="1:10" x14ac:dyDescent="0.25">
      <c r="A381" t="s">
        <v>53</v>
      </c>
      <c r="B381" s="1">
        <v>63298.61</v>
      </c>
      <c r="C381">
        <v>53645.57</v>
      </c>
      <c r="D381" s="2">
        <v>43931</v>
      </c>
      <c r="E381" t="s">
        <v>51</v>
      </c>
      <c r="F381" t="s">
        <v>237</v>
      </c>
      <c r="G381" t="s">
        <v>55</v>
      </c>
      <c r="H381" t="s">
        <v>144</v>
      </c>
      <c r="I381" t="s">
        <v>15</v>
      </c>
      <c r="J381" t="s">
        <v>533</v>
      </c>
    </row>
    <row r="382" spans="1:10" x14ac:dyDescent="0.25">
      <c r="A382" t="s">
        <v>53</v>
      </c>
      <c r="B382" s="1">
        <v>274242.36</v>
      </c>
      <c r="C382">
        <v>227950.25</v>
      </c>
      <c r="D382" s="2">
        <v>44174</v>
      </c>
      <c r="E382" t="s">
        <v>62</v>
      </c>
      <c r="F382" t="s">
        <v>31</v>
      </c>
      <c r="G382" t="s">
        <v>55</v>
      </c>
      <c r="H382" t="s">
        <v>72</v>
      </c>
      <c r="I382" t="s">
        <v>15</v>
      </c>
      <c r="J382" t="s">
        <v>534</v>
      </c>
    </row>
    <row r="383" spans="1:10" x14ac:dyDescent="0.25">
      <c r="A383" t="s">
        <v>106</v>
      </c>
      <c r="B383" s="1">
        <v>312928.71999999997</v>
      </c>
      <c r="C383">
        <v>270401.71000000002</v>
      </c>
      <c r="D383" s="2">
        <v>43811</v>
      </c>
      <c r="E383" t="s">
        <v>30</v>
      </c>
      <c r="F383" t="s">
        <v>160</v>
      </c>
      <c r="G383" t="s">
        <v>107</v>
      </c>
      <c r="H383" t="s">
        <v>108</v>
      </c>
      <c r="I383" t="s">
        <v>38</v>
      </c>
      <c r="J383" t="s">
        <v>535</v>
      </c>
    </row>
    <row r="384" spans="1:10" x14ac:dyDescent="0.25">
      <c r="A384" t="s">
        <v>53</v>
      </c>
      <c r="B384" s="1">
        <v>119156.18</v>
      </c>
      <c r="C384">
        <v>100710.8</v>
      </c>
      <c r="D384" s="2">
        <v>43697</v>
      </c>
      <c r="E384" t="s">
        <v>30</v>
      </c>
      <c r="F384" t="s">
        <v>35</v>
      </c>
      <c r="G384" t="s">
        <v>55</v>
      </c>
      <c r="H384" t="s">
        <v>133</v>
      </c>
      <c r="I384" t="s">
        <v>28</v>
      </c>
      <c r="J384" t="s">
        <v>536</v>
      </c>
    </row>
    <row r="385" spans="1:10" x14ac:dyDescent="0.25">
      <c r="A385" t="s">
        <v>53</v>
      </c>
      <c r="B385" s="1">
        <v>162123.74</v>
      </c>
      <c r="C385">
        <v>133979.06</v>
      </c>
      <c r="D385" s="2">
        <v>43935</v>
      </c>
      <c r="E385" t="s">
        <v>30</v>
      </c>
      <c r="F385" t="s">
        <v>35</v>
      </c>
      <c r="G385" t="s">
        <v>55</v>
      </c>
      <c r="H385" t="s">
        <v>56</v>
      </c>
      <c r="I385" t="s">
        <v>28</v>
      </c>
      <c r="J385" t="s">
        <v>537</v>
      </c>
    </row>
    <row r="386" spans="1:10" x14ac:dyDescent="0.25">
      <c r="A386" t="s">
        <v>173</v>
      </c>
      <c r="B386" s="1">
        <v>65831.42</v>
      </c>
      <c r="C386">
        <v>52487.39</v>
      </c>
      <c r="D386" s="2">
        <v>43477</v>
      </c>
      <c r="E386" t="s">
        <v>80</v>
      </c>
      <c r="F386" t="s">
        <v>158</v>
      </c>
      <c r="G386" t="s">
        <v>175</v>
      </c>
      <c r="H386" t="s">
        <v>212</v>
      </c>
      <c r="I386" t="s">
        <v>28</v>
      </c>
      <c r="J386" t="s">
        <v>538</v>
      </c>
    </row>
    <row r="387" spans="1:10" x14ac:dyDescent="0.25">
      <c r="A387" t="s">
        <v>53</v>
      </c>
      <c r="B387" s="1">
        <v>180515.09</v>
      </c>
      <c r="C387">
        <v>148852.74</v>
      </c>
      <c r="D387" s="2">
        <v>43825</v>
      </c>
      <c r="E387" t="s">
        <v>11</v>
      </c>
      <c r="F387" t="s">
        <v>92</v>
      </c>
      <c r="G387" t="s">
        <v>55</v>
      </c>
      <c r="H387" t="s">
        <v>72</v>
      </c>
      <c r="I387" t="s">
        <v>28</v>
      </c>
      <c r="J387" t="s">
        <v>539</v>
      </c>
    </row>
    <row r="388" spans="1:10" x14ac:dyDescent="0.25">
      <c r="A388" t="s">
        <v>45</v>
      </c>
      <c r="B388" s="1">
        <v>99114.91</v>
      </c>
      <c r="C388">
        <v>84217.94</v>
      </c>
      <c r="D388" s="2">
        <v>43925</v>
      </c>
      <c r="E388" t="s">
        <v>24</v>
      </c>
      <c r="F388" t="s">
        <v>35</v>
      </c>
      <c r="G388" t="s">
        <v>48</v>
      </c>
      <c r="H388" t="s">
        <v>49</v>
      </c>
      <c r="I388" t="s">
        <v>28</v>
      </c>
      <c r="J388" t="s">
        <v>540</v>
      </c>
    </row>
    <row r="389" spans="1:10" x14ac:dyDescent="0.25">
      <c r="A389" t="s">
        <v>23</v>
      </c>
      <c r="B389" s="1">
        <v>171884</v>
      </c>
      <c r="C389">
        <v>146702.99</v>
      </c>
      <c r="D389" s="2">
        <v>43751</v>
      </c>
      <c r="E389" t="s">
        <v>18</v>
      </c>
      <c r="F389" t="s">
        <v>35</v>
      </c>
      <c r="G389" t="s">
        <v>26</v>
      </c>
      <c r="H389" t="s">
        <v>27</v>
      </c>
      <c r="I389" t="s">
        <v>28</v>
      </c>
      <c r="J389" t="s">
        <v>541</v>
      </c>
    </row>
    <row r="390" spans="1:10" x14ac:dyDescent="0.25">
      <c r="A390" t="s">
        <v>346</v>
      </c>
      <c r="B390" s="1">
        <v>26745.94</v>
      </c>
      <c r="C390">
        <v>22600.32</v>
      </c>
      <c r="D390" s="2">
        <v>43779</v>
      </c>
      <c r="E390" t="s">
        <v>51</v>
      </c>
      <c r="F390" t="s">
        <v>25</v>
      </c>
      <c r="G390" t="s">
        <v>347</v>
      </c>
      <c r="H390" t="s">
        <v>348</v>
      </c>
      <c r="I390" t="s">
        <v>28</v>
      </c>
      <c r="J390" t="s">
        <v>542</v>
      </c>
    </row>
    <row r="391" spans="1:10" x14ac:dyDescent="0.25">
      <c r="A391" t="s">
        <v>23</v>
      </c>
      <c r="B391" s="1">
        <v>77087.839999999997</v>
      </c>
      <c r="C391">
        <v>65894.69</v>
      </c>
      <c r="D391" s="2">
        <v>43968</v>
      </c>
      <c r="E391" t="s">
        <v>139</v>
      </c>
      <c r="F391" t="s">
        <v>71</v>
      </c>
      <c r="G391" t="s">
        <v>26</v>
      </c>
      <c r="H391" t="s">
        <v>32</v>
      </c>
      <c r="I391" t="s">
        <v>28</v>
      </c>
      <c r="J391" t="s">
        <v>543</v>
      </c>
    </row>
    <row r="392" spans="1:10" x14ac:dyDescent="0.25">
      <c r="A392" t="s">
        <v>53</v>
      </c>
      <c r="B392" s="1">
        <v>87404</v>
      </c>
      <c r="C392">
        <v>69363.81</v>
      </c>
      <c r="D392" s="2">
        <v>43825</v>
      </c>
      <c r="E392" t="s">
        <v>80</v>
      </c>
      <c r="F392" t="s">
        <v>35</v>
      </c>
      <c r="G392" t="s">
        <v>55</v>
      </c>
      <c r="H392" t="s">
        <v>56</v>
      </c>
      <c r="I392" t="s">
        <v>28</v>
      </c>
      <c r="J392" t="s">
        <v>544</v>
      </c>
    </row>
    <row r="393" spans="1:10" x14ac:dyDescent="0.25">
      <c r="A393" t="s">
        <v>53</v>
      </c>
      <c r="B393" s="1">
        <v>47680.2</v>
      </c>
      <c r="C393">
        <v>40575.85</v>
      </c>
      <c r="D393" s="2">
        <v>43654</v>
      </c>
      <c r="E393" t="s">
        <v>24</v>
      </c>
      <c r="F393" t="s">
        <v>121</v>
      </c>
      <c r="G393" t="s">
        <v>55</v>
      </c>
      <c r="H393" t="s">
        <v>128</v>
      </c>
      <c r="I393" t="s">
        <v>28</v>
      </c>
      <c r="J393" t="s">
        <v>545</v>
      </c>
    </row>
    <row r="394" spans="1:10" x14ac:dyDescent="0.25">
      <c r="A394" t="s">
        <v>17</v>
      </c>
      <c r="B394" s="1">
        <v>27824.83</v>
      </c>
      <c r="C394">
        <v>23517.55</v>
      </c>
      <c r="D394" s="2">
        <v>43714</v>
      </c>
      <c r="E394" t="s">
        <v>18</v>
      </c>
      <c r="F394" t="s">
        <v>224</v>
      </c>
      <c r="G394" t="s">
        <v>20</v>
      </c>
      <c r="H394" t="s">
        <v>21</v>
      </c>
      <c r="I394" t="s">
        <v>28</v>
      </c>
      <c r="J394" t="s">
        <v>546</v>
      </c>
    </row>
    <row r="395" spans="1:10" x14ac:dyDescent="0.25">
      <c r="A395" t="s">
        <v>23</v>
      </c>
      <c r="B395" s="1">
        <v>106516.4</v>
      </c>
      <c r="C395">
        <v>86928.03</v>
      </c>
      <c r="D395" s="2">
        <v>43545</v>
      </c>
      <c r="E395" t="s">
        <v>24</v>
      </c>
      <c r="F395" t="s">
        <v>434</v>
      </c>
      <c r="G395" t="s">
        <v>26</v>
      </c>
      <c r="H395" t="s">
        <v>27</v>
      </c>
      <c r="I395" t="s">
        <v>28</v>
      </c>
      <c r="J395" t="s">
        <v>547</v>
      </c>
    </row>
    <row r="396" spans="1:10" x14ac:dyDescent="0.25">
      <c r="A396" t="s">
        <v>53</v>
      </c>
      <c r="B396" s="1">
        <v>141948.10999999999</v>
      </c>
      <c r="C396">
        <v>112948.11</v>
      </c>
      <c r="D396" s="2">
        <v>43946</v>
      </c>
      <c r="E396" t="s">
        <v>11</v>
      </c>
      <c r="F396" t="s">
        <v>327</v>
      </c>
      <c r="G396" t="s">
        <v>55</v>
      </c>
      <c r="H396" t="s">
        <v>56</v>
      </c>
      <c r="I396" t="s">
        <v>28</v>
      </c>
      <c r="J396" t="s">
        <v>548</v>
      </c>
    </row>
    <row r="397" spans="1:10" x14ac:dyDescent="0.25">
      <c r="A397" t="s">
        <v>173</v>
      </c>
      <c r="B397" s="1">
        <v>226021.18</v>
      </c>
      <c r="C397">
        <v>180455.31</v>
      </c>
      <c r="D397" s="2">
        <v>43664</v>
      </c>
      <c r="E397" t="s">
        <v>46</v>
      </c>
      <c r="F397" t="s">
        <v>237</v>
      </c>
      <c r="G397" t="s">
        <v>175</v>
      </c>
      <c r="H397" t="s">
        <v>212</v>
      </c>
      <c r="I397" t="s">
        <v>28</v>
      </c>
      <c r="J397" t="s">
        <v>549</v>
      </c>
    </row>
    <row r="398" spans="1:10" x14ac:dyDescent="0.25">
      <c r="A398" t="s">
        <v>138</v>
      </c>
      <c r="B398" s="1">
        <v>44232.84</v>
      </c>
      <c r="C398">
        <v>38880.67</v>
      </c>
      <c r="D398" s="2">
        <v>43881</v>
      </c>
      <c r="E398" t="s">
        <v>11</v>
      </c>
      <c r="F398" t="s">
        <v>35</v>
      </c>
      <c r="G398" t="s">
        <v>140</v>
      </c>
      <c r="H398" t="s">
        <v>141</v>
      </c>
      <c r="I398" t="s">
        <v>38</v>
      </c>
      <c r="J398" t="s">
        <v>550</v>
      </c>
    </row>
    <row r="399" spans="1:10" x14ac:dyDescent="0.25">
      <c r="A399" t="s">
        <v>173</v>
      </c>
      <c r="B399" s="1">
        <v>135344.51999999999</v>
      </c>
      <c r="C399">
        <v>117492.58</v>
      </c>
      <c r="D399" s="2">
        <v>43482</v>
      </c>
      <c r="E399" t="s">
        <v>18</v>
      </c>
      <c r="F399" t="s">
        <v>68</v>
      </c>
      <c r="G399" t="s">
        <v>175</v>
      </c>
      <c r="H399" t="s">
        <v>212</v>
      </c>
      <c r="I399" t="s">
        <v>28</v>
      </c>
      <c r="J399" t="s">
        <v>551</v>
      </c>
    </row>
    <row r="400" spans="1:10" x14ac:dyDescent="0.25">
      <c r="A400" t="s">
        <v>53</v>
      </c>
      <c r="B400" s="1">
        <v>271411.92</v>
      </c>
      <c r="C400">
        <v>231514.37</v>
      </c>
      <c r="D400" s="2">
        <v>43808</v>
      </c>
      <c r="E400" t="s">
        <v>24</v>
      </c>
      <c r="F400" t="s">
        <v>31</v>
      </c>
      <c r="G400" t="s">
        <v>55</v>
      </c>
      <c r="H400" t="s">
        <v>72</v>
      </c>
      <c r="I400" t="s">
        <v>38</v>
      </c>
      <c r="J400" t="s">
        <v>552</v>
      </c>
    </row>
    <row r="401" spans="1:10" x14ac:dyDescent="0.25">
      <c r="A401" t="s">
        <v>23</v>
      </c>
      <c r="B401" s="1">
        <v>125253.59</v>
      </c>
      <c r="C401">
        <v>108269.2</v>
      </c>
      <c r="D401" s="2">
        <v>43878</v>
      </c>
      <c r="E401" t="s">
        <v>60</v>
      </c>
      <c r="F401" t="s">
        <v>102</v>
      </c>
      <c r="G401" t="s">
        <v>26</v>
      </c>
      <c r="H401" t="s">
        <v>76</v>
      </c>
      <c r="I401" t="s">
        <v>28</v>
      </c>
      <c r="J401" t="s">
        <v>553</v>
      </c>
    </row>
    <row r="402" spans="1:10" x14ac:dyDescent="0.25">
      <c r="A402" t="s">
        <v>10</v>
      </c>
      <c r="B402" s="1">
        <v>15100.57</v>
      </c>
      <c r="C402">
        <v>12113.68</v>
      </c>
      <c r="D402" s="2">
        <v>43516</v>
      </c>
      <c r="E402" t="s">
        <v>18</v>
      </c>
      <c r="F402" t="s">
        <v>102</v>
      </c>
      <c r="G402" t="s">
        <v>13</v>
      </c>
      <c r="H402" t="s">
        <v>170</v>
      </c>
      <c r="I402" t="s">
        <v>28</v>
      </c>
      <c r="J402" t="s">
        <v>554</v>
      </c>
    </row>
    <row r="403" spans="1:10" x14ac:dyDescent="0.25">
      <c r="A403" t="s">
        <v>53</v>
      </c>
      <c r="B403" s="1">
        <v>157932.84</v>
      </c>
      <c r="C403">
        <v>134148.15</v>
      </c>
      <c r="D403" s="2">
        <v>43861</v>
      </c>
      <c r="E403" t="s">
        <v>18</v>
      </c>
      <c r="F403" t="s">
        <v>237</v>
      </c>
      <c r="G403" t="s">
        <v>55</v>
      </c>
      <c r="H403" t="s">
        <v>72</v>
      </c>
      <c r="I403" t="s">
        <v>28</v>
      </c>
      <c r="J403" t="s">
        <v>555</v>
      </c>
    </row>
    <row r="404" spans="1:10" x14ac:dyDescent="0.25">
      <c r="A404" t="s">
        <v>23</v>
      </c>
      <c r="B404" s="1">
        <v>64192.86</v>
      </c>
      <c r="C404">
        <v>52837.14</v>
      </c>
      <c r="D404" s="2">
        <v>43933</v>
      </c>
      <c r="E404" t="s">
        <v>51</v>
      </c>
      <c r="F404" t="s">
        <v>35</v>
      </c>
      <c r="G404" t="s">
        <v>26</v>
      </c>
      <c r="H404" t="s">
        <v>219</v>
      </c>
      <c r="I404" t="s">
        <v>28</v>
      </c>
      <c r="J404" t="s">
        <v>556</v>
      </c>
    </row>
    <row r="405" spans="1:10" x14ac:dyDescent="0.25">
      <c r="A405" t="s">
        <v>10</v>
      </c>
      <c r="B405" s="1">
        <v>156453.01</v>
      </c>
      <c r="C405">
        <v>128494.86</v>
      </c>
      <c r="D405" s="2">
        <v>44108</v>
      </c>
      <c r="E405" t="s">
        <v>24</v>
      </c>
      <c r="F405" t="s">
        <v>35</v>
      </c>
      <c r="G405" t="s">
        <v>13</v>
      </c>
      <c r="H405" t="s">
        <v>14</v>
      </c>
      <c r="I405" t="s">
        <v>28</v>
      </c>
      <c r="J405" t="s">
        <v>557</v>
      </c>
    </row>
    <row r="406" spans="1:10" x14ac:dyDescent="0.25">
      <c r="A406" t="s">
        <v>17</v>
      </c>
      <c r="B406" s="1">
        <v>53616.06</v>
      </c>
      <c r="C406">
        <v>45589.74</v>
      </c>
      <c r="D406" s="2">
        <v>43833</v>
      </c>
      <c r="E406" t="s">
        <v>51</v>
      </c>
      <c r="F406" t="s">
        <v>234</v>
      </c>
      <c r="G406" t="s">
        <v>20</v>
      </c>
      <c r="H406" t="s">
        <v>21</v>
      </c>
      <c r="I406" t="s">
        <v>28</v>
      </c>
      <c r="J406" t="s">
        <v>558</v>
      </c>
    </row>
    <row r="407" spans="1:10" x14ac:dyDescent="0.25">
      <c r="A407" t="s">
        <v>17</v>
      </c>
      <c r="B407" s="1">
        <v>163967.89000000001</v>
      </c>
      <c r="C407">
        <v>138208.53</v>
      </c>
      <c r="D407" s="2">
        <v>43615</v>
      </c>
      <c r="E407" t="s">
        <v>51</v>
      </c>
      <c r="F407" t="s">
        <v>114</v>
      </c>
      <c r="G407" t="s">
        <v>20</v>
      </c>
      <c r="H407" t="s">
        <v>21</v>
      </c>
      <c r="I407" t="s">
        <v>38</v>
      </c>
      <c r="J407" t="s">
        <v>559</v>
      </c>
    </row>
    <row r="408" spans="1:10" x14ac:dyDescent="0.25">
      <c r="A408" t="s">
        <v>10</v>
      </c>
      <c r="B408" s="1">
        <v>171748.56</v>
      </c>
      <c r="C408">
        <v>136574.45000000001</v>
      </c>
      <c r="D408" s="2">
        <v>44155</v>
      </c>
      <c r="E408" t="s">
        <v>18</v>
      </c>
      <c r="F408" t="s">
        <v>155</v>
      </c>
      <c r="G408" t="s">
        <v>13</v>
      </c>
      <c r="H408" t="s">
        <v>14</v>
      </c>
      <c r="I408" t="s">
        <v>28</v>
      </c>
      <c r="J408" t="s">
        <v>560</v>
      </c>
    </row>
    <row r="409" spans="1:10" x14ac:dyDescent="0.25">
      <c r="A409" t="s">
        <v>53</v>
      </c>
      <c r="B409" s="1">
        <v>26103.94</v>
      </c>
      <c r="C409">
        <v>22339.75</v>
      </c>
      <c r="D409" s="2">
        <v>44074</v>
      </c>
      <c r="E409" t="s">
        <v>51</v>
      </c>
      <c r="F409" t="s">
        <v>146</v>
      </c>
      <c r="G409" t="s">
        <v>55</v>
      </c>
      <c r="H409" t="s">
        <v>133</v>
      </c>
      <c r="I409" t="s">
        <v>38</v>
      </c>
      <c r="J409" t="s">
        <v>561</v>
      </c>
    </row>
    <row r="410" spans="1:10" x14ac:dyDescent="0.25">
      <c r="A410" t="s">
        <v>23</v>
      </c>
      <c r="B410" s="1">
        <v>140337.34</v>
      </c>
      <c r="C410">
        <v>115708.14</v>
      </c>
      <c r="D410" s="2">
        <v>44078</v>
      </c>
      <c r="E410" t="s">
        <v>51</v>
      </c>
      <c r="F410" t="s">
        <v>166</v>
      </c>
      <c r="G410" t="s">
        <v>26</v>
      </c>
      <c r="H410" t="s">
        <v>76</v>
      </c>
      <c r="I410" t="s">
        <v>28</v>
      </c>
      <c r="J410" t="s">
        <v>562</v>
      </c>
    </row>
    <row r="411" spans="1:10" x14ac:dyDescent="0.25">
      <c r="A411" t="s">
        <v>10</v>
      </c>
      <c r="B411" s="1">
        <v>33617.03</v>
      </c>
      <c r="C411">
        <v>26614.6</v>
      </c>
      <c r="D411" s="2">
        <v>43928</v>
      </c>
      <c r="E411" t="s">
        <v>51</v>
      </c>
      <c r="F411" t="s">
        <v>160</v>
      </c>
      <c r="G411" t="s">
        <v>13</v>
      </c>
      <c r="H411" t="s">
        <v>14</v>
      </c>
      <c r="I411" t="s">
        <v>28</v>
      </c>
      <c r="J411" t="s">
        <v>563</v>
      </c>
    </row>
    <row r="412" spans="1:10" x14ac:dyDescent="0.25">
      <c r="A412" t="s">
        <v>23</v>
      </c>
      <c r="B412" s="1">
        <v>187874.45</v>
      </c>
      <c r="C412">
        <v>160031.46</v>
      </c>
      <c r="D412" s="2">
        <v>43642</v>
      </c>
      <c r="E412" t="s">
        <v>46</v>
      </c>
      <c r="F412" t="s">
        <v>35</v>
      </c>
      <c r="G412" t="s">
        <v>26</v>
      </c>
      <c r="H412" t="s">
        <v>90</v>
      </c>
      <c r="I412" t="s">
        <v>28</v>
      </c>
      <c r="J412" t="s">
        <v>564</v>
      </c>
    </row>
    <row r="413" spans="1:10" x14ac:dyDescent="0.25">
      <c r="A413" t="s">
        <v>17</v>
      </c>
      <c r="B413" s="1">
        <v>41675.01</v>
      </c>
      <c r="C413">
        <v>33765.089999999997</v>
      </c>
      <c r="D413" s="2">
        <v>43641</v>
      </c>
      <c r="E413" t="s">
        <v>30</v>
      </c>
      <c r="F413" t="s">
        <v>135</v>
      </c>
      <c r="G413" t="s">
        <v>20</v>
      </c>
      <c r="H413" t="s">
        <v>21</v>
      </c>
      <c r="I413" t="s">
        <v>28</v>
      </c>
      <c r="J413" t="s">
        <v>565</v>
      </c>
    </row>
    <row r="414" spans="1:10" x14ac:dyDescent="0.25">
      <c r="A414" t="s">
        <v>23</v>
      </c>
      <c r="B414" s="1">
        <v>34930.080000000002</v>
      </c>
      <c r="C414">
        <v>28017.42</v>
      </c>
      <c r="D414" s="2">
        <v>43770</v>
      </c>
      <c r="E414" t="s">
        <v>51</v>
      </c>
      <c r="F414" t="s">
        <v>234</v>
      </c>
      <c r="G414" t="s">
        <v>26</v>
      </c>
      <c r="H414" t="s">
        <v>27</v>
      </c>
      <c r="I414" t="s">
        <v>28</v>
      </c>
      <c r="J414" t="s">
        <v>566</v>
      </c>
    </row>
    <row r="415" spans="1:10" x14ac:dyDescent="0.25">
      <c r="A415" t="s">
        <v>17</v>
      </c>
      <c r="B415" s="1">
        <v>127994.87</v>
      </c>
      <c r="C415">
        <v>105800.56</v>
      </c>
      <c r="D415" s="2">
        <v>44075</v>
      </c>
      <c r="E415" t="s">
        <v>11</v>
      </c>
      <c r="F415" t="s">
        <v>166</v>
      </c>
      <c r="G415" t="s">
        <v>20</v>
      </c>
      <c r="H415" t="s">
        <v>353</v>
      </c>
      <c r="I415" t="s">
        <v>28</v>
      </c>
      <c r="J415" t="s">
        <v>567</v>
      </c>
    </row>
    <row r="416" spans="1:10" x14ac:dyDescent="0.25">
      <c r="A416" t="s">
        <v>23</v>
      </c>
      <c r="B416" s="1">
        <v>162637.68</v>
      </c>
      <c r="C416">
        <v>130402.89</v>
      </c>
      <c r="D416" s="2">
        <v>43735</v>
      </c>
      <c r="E416" t="s">
        <v>24</v>
      </c>
      <c r="F416" t="s">
        <v>25</v>
      </c>
      <c r="G416" t="s">
        <v>26</v>
      </c>
      <c r="H416" t="s">
        <v>76</v>
      </c>
      <c r="I416" t="s">
        <v>28</v>
      </c>
      <c r="J416" t="s">
        <v>568</v>
      </c>
    </row>
    <row r="417" spans="1:10" x14ac:dyDescent="0.25">
      <c r="A417" t="s">
        <v>23</v>
      </c>
      <c r="B417" s="1">
        <v>40728.28</v>
      </c>
      <c r="C417">
        <v>35669.83</v>
      </c>
      <c r="D417" s="2">
        <v>43730</v>
      </c>
      <c r="E417" t="s">
        <v>30</v>
      </c>
      <c r="F417" t="s">
        <v>302</v>
      </c>
      <c r="G417" t="s">
        <v>26</v>
      </c>
      <c r="H417" t="s">
        <v>90</v>
      </c>
      <c r="I417" t="s">
        <v>15</v>
      </c>
      <c r="J417" t="s">
        <v>569</v>
      </c>
    </row>
    <row r="418" spans="1:10" x14ac:dyDescent="0.25">
      <c r="A418" t="s">
        <v>17</v>
      </c>
      <c r="B418" s="1">
        <v>293767.28000000003</v>
      </c>
      <c r="C418">
        <v>254079.32</v>
      </c>
      <c r="D418" s="2">
        <v>43987</v>
      </c>
      <c r="E418" t="s">
        <v>18</v>
      </c>
      <c r="F418" t="s">
        <v>188</v>
      </c>
      <c r="G418" t="s">
        <v>20</v>
      </c>
      <c r="H418" t="s">
        <v>21</v>
      </c>
      <c r="I418" t="s">
        <v>28</v>
      </c>
      <c r="J418" t="s">
        <v>570</v>
      </c>
    </row>
    <row r="419" spans="1:10" x14ac:dyDescent="0.25">
      <c r="A419" t="s">
        <v>10</v>
      </c>
      <c r="B419" s="1">
        <v>57913.36</v>
      </c>
      <c r="C419">
        <v>48693.55</v>
      </c>
      <c r="D419" s="2">
        <v>43719</v>
      </c>
      <c r="E419" t="s">
        <v>18</v>
      </c>
      <c r="F419" t="s">
        <v>102</v>
      </c>
      <c r="G419" t="s">
        <v>13</v>
      </c>
      <c r="H419" t="s">
        <v>82</v>
      </c>
      <c r="I419" t="s">
        <v>28</v>
      </c>
      <c r="J419" t="s">
        <v>571</v>
      </c>
    </row>
    <row r="420" spans="1:10" x14ac:dyDescent="0.25">
      <c r="A420" t="s">
        <v>45</v>
      </c>
      <c r="B420" s="1">
        <v>63979.040000000001</v>
      </c>
      <c r="C420">
        <v>56032.84</v>
      </c>
      <c r="D420" s="2">
        <v>43760</v>
      </c>
      <c r="E420" t="s">
        <v>18</v>
      </c>
      <c r="F420" t="s">
        <v>43</v>
      </c>
      <c r="G420" t="s">
        <v>48</v>
      </c>
      <c r="H420" t="s">
        <v>66</v>
      </c>
      <c r="I420" t="s">
        <v>28</v>
      </c>
      <c r="J420" t="s">
        <v>572</v>
      </c>
    </row>
    <row r="421" spans="1:10" x14ac:dyDescent="0.25">
      <c r="A421" t="s">
        <v>53</v>
      </c>
      <c r="B421" s="1">
        <v>102255.86</v>
      </c>
      <c r="C421">
        <v>83379.429999999993</v>
      </c>
      <c r="D421" s="2">
        <v>44147</v>
      </c>
      <c r="E421" t="s">
        <v>60</v>
      </c>
      <c r="F421" t="s">
        <v>205</v>
      </c>
      <c r="G421" t="s">
        <v>55</v>
      </c>
      <c r="H421" t="s">
        <v>144</v>
      </c>
      <c r="I421" t="s">
        <v>28</v>
      </c>
      <c r="J421" t="s">
        <v>573</v>
      </c>
    </row>
    <row r="422" spans="1:10" x14ac:dyDescent="0.25">
      <c r="A422" t="s">
        <v>17</v>
      </c>
      <c r="B422" s="1">
        <v>107271.94</v>
      </c>
      <c r="C422">
        <v>86665</v>
      </c>
      <c r="D422" s="2">
        <v>44066</v>
      </c>
      <c r="E422" t="s">
        <v>18</v>
      </c>
      <c r="F422" t="s">
        <v>35</v>
      </c>
      <c r="G422" t="s">
        <v>20</v>
      </c>
      <c r="H422" t="s">
        <v>21</v>
      </c>
      <c r="I422" t="s">
        <v>28</v>
      </c>
      <c r="J422" t="s">
        <v>574</v>
      </c>
    </row>
    <row r="423" spans="1:10" x14ac:dyDescent="0.25">
      <c r="A423" t="s">
        <v>408</v>
      </c>
      <c r="B423" s="1">
        <v>51090.76</v>
      </c>
      <c r="C423">
        <v>40739.769999999997</v>
      </c>
      <c r="D423" s="2">
        <v>43902</v>
      </c>
      <c r="E423" t="s">
        <v>80</v>
      </c>
      <c r="F423" t="s">
        <v>174</v>
      </c>
      <c r="G423" t="s">
        <v>409</v>
      </c>
      <c r="H423" t="s">
        <v>410</v>
      </c>
      <c r="I423" t="s">
        <v>28</v>
      </c>
      <c r="J423" t="s">
        <v>575</v>
      </c>
    </row>
    <row r="424" spans="1:10" x14ac:dyDescent="0.25">
      <c r="A424" t="s">
        <v>10</v>
      </c>
      <c r="B424" s="1">
        <v>102299.92</v>
      </c>
      <c r="C424">
        <v>81706.95</v>
      </c>
      <c r="D424" s="2">
        <v>43699</v>
      </c>
      <c r="E424" t="s">
        <v>30</v>
      </c>
      <c r="F424" t="s">
        <v>71</v>
      </c>
      <c r="G424" t="s">
        <v>13</v>
      </c>
      <c r="H424" t="s">
        <v>82</v>
      </c>
      <c r="I424" t="s">
        <v>28</v>
      </c>
      <c r="J424" t="s">
        <v>576</v>
      </c>
    </row>
    <row r="425" spans="1:10" x14ac:dyDescent="0.25">
      <c r="A425" t="s">
        <v>53</v>
      </c>
      <c r="B425" s="1">
        <v>144204.85999999999</v>
      </c>
      <c r="C425">
        <v>115262.94</v>
      </c>
      <c r="D425" s="2">
        <v>44143</v>
      </c>
      <c r="E425" t="s">
        <v>11</v>
      </c>
      <c r="F425" t="s">
        <v>224</v>
      </c>
      <c r="G425" t="s">
        <v>55</v>
      </c>
      <c r="H425" t="s">
        <v>72</v>
      </c>
      <c r="I425" t="s">
        <v>28</v>
      </c>
      <c r="J425" t="s">
        <v>577</v>
      </c>
    </row>
    <row r="426" spans="1:10" x14ac:dyDescent="0.25">
      <c r="A426" t="s">
        <v>53</v>
      </c>
      <c r="B426" s="1">
        <v>36183.97</v>
      </c>
      <c r="C426">
        <v>30579.07</v>
      </c>
      <c r="D426" s="2">
        <v>44052</v>
      </c>
      <c r="E426" t="s">
        <v>11</v>
      </c>
      <c r="F426" t="s">
        <v>180</v>
      </c>
      <c r="G426" t="s">
        <v>55</v>
      </c>
      <c r="H426" t="s">
        <v>144</v>
      </c>
      <c r="I426" t="s">
        <v>15</v>
      </c>
      <c r="J426" t="s">
        <v>578</v>
      </c>
    </row>
    <row r="427" spans="1:10" x14ac:dyDescent="0.25">
      <c r="A427" t="s">
        <v>45</v>
      </c>
      <c r="B427" s="1">
        <v>47771.76</v>
      </c>
      <c r="C427">
        <v>39234.949999999997</v>
      </c>
      <c r="D427" s="2">
        <v>43614</v>
      </c>
      <c r="E427" t="s">
        <v>30</v>
      </c>
      <c r="F427" t="s">
        <v>121</v>
      </c>
      <c r="G427" t="s">
        <v>48</v>
      </c>
      <c r="H427" t="s">
        <v>66</v>
      </c>
      <c r="I427" t="s">
        <v>28</v>
      </c>
      <c r="J427" t="s">
        <v>579</v>
      </c>
    </row>
    <row r="428" spans="1:10" x14ac:dyDescent="0.25">
      <c r="A428" t="s">
        <v>34</v>
      </c>
      <c r="B428" s="1">
        <v>44038.31</v>
      </c>
      <c r="C428">
        <v>36252.339999999997</v>
      </c>
      <c r="D428" s="2">
        <v>43854</v>
      </c>
      <c r="E428" t="s">
        <v>80</v>
      </c>
      <c r="F428" t="s">
        <v>254</v>
      </c>
      <c r="G428" t="s">
        <v>36</v>
      </c>
      <c r="H428" t="s">
        <v>425</v>
      </c>
      <c r="I428" t="s">
        <v>28</v>
      </c>
      <c r="J428" t="s">
        <v>580</v>
      </c>
    </row>
    <row r="429" spans="1:10" x14ac:dyDescent="0.25">
      <c r="A429" t="s">
        <v>10</v>
      </c>
      <c r="B429" s="1">
        <v>116469.33</v>
      </c>
      <c r="C429">
        <v>95190.38</v>
      </c>
      <c r="D429" s="2">
        <v>43861</v>
      </c>
      <c r="E429" t="s">
        <v>62</v>
      </c>
      <c r="F429" t="s">
        <v>47</v>
      </c>
      <c r="G429" t="s">
        <v>13</v>
      </c>
      <c r="H429" t="s">
        <v>118</v>
      </c>
      <c r="I429" t="s">
        <v>28</v>
      </c>
      <c r="J429" t="s">
        <v>581</v>
      </c>
    </row>
    <row r="430" spans="1:10" x14ac:dyDescent="0.25">
      <c r="A430" t="s">
        <v>45</v>
      </c>
      <c r="B430" s="1">
        <v>227856.66</v>
      </c>
      <c r="C430">
        <v>199010.01</v>
      </c>
      <c r="D430" s="2">
        <v>44032</v>
      </c>
      <c r="E430" t="s">
        <v>80</v>
      </c>
      <c r="F430" t="s">
        <v>116</v>
      </c>
      <c r="G430" t="s">
        <v>48</v>
      </c>
      <c r="H430" t="s">
        <v>74</v>
      </c>
      <c r="I430" t="s">
        <v>28</v>
      </c>
      <c r="J430" t="s">
        <v>582</v>
      </c>
    </row>
    <row r="431" spans="1:10" x14ac:dyDescent="0.25">
      <c r="A431" t="s">
        <v>10</v>
      </c>
      <c r="B431" s="1">
        <v>67161.990000000005</v>
      </c>
      <c r="C431">
        <v>55764.6</v>
      </c>
      <c r="D431" s="2">
        <v>43728</v>
      </c>
      <c r="E431" t="s">
        <v>80</v>
      </c>
      <c r="F431" t="s">
        <v>203</v>
      </c>
      <c r="G431" t="s">
        <v>13</v>
      </c>
      <c r="H431" t="s">
        <v>170</v>
      </c>
      <c r="I431" t="s">
        <v>28</v>
      </c>
      <c r="J431" t="s">
        <v>583</v>
      </c>
    </row>
    <row r="432" spans="1:10" x14ac:dyDescent="0.25">
      <c r="A432" t="s">
        <v>173</v>
      </c>
      <c r="B432" s="1">
        <v>168178.03</v>
      </c>
      <c r="C432">
        <v>142665.42000000001</v>
      </c>
      <c r="D432" s="2">
        <v>43950</v>
      </c>
      <c r="E432" t="s">
        <v>24</v>
      </c>
      <c r="F432" t="s">
        <v>155</v>
      </c>
      <c r="G432" t="s">
        <v>175</v>
      </c>
      <c r="H432" t="s">
        <v>176</v>
      </c>
      <c r="I432" t="s">
        <v>28</v>
      </c>
      <c r="J432" t="s">
        <v>584</v>
      </c>
    </row>
    <row r="433" spans="1:10" x14ac:dyDescent="0.25">
      <c r="A433" t="s">
        <v>10</v>
      </c>
      <c r="B433" s="1">
        <v>42611.78</v>
      </c>
      <c r="C433">
        <v>35755.54</v>
      </c>
      <c r="D433" s="2">
        <v>43902</v>
      </c>
      <c r="E433" t="s">
        <v>24</v>
      </c>
      <c r="F433" t="s">
        <v>155</v>
      </c>
      <c r="G433" t="s">
        <v>13</v>
      </c>
      <c r="H433" t="s">
        <v>170</v>
      </c>
      <c r="I433" t="s">
        <v>15</v>
      </c>
      <c r="J433" t="s">
        <v>585</v>
      </c>
    </row>
    <row r="434" spans="1:10" x14ac:dyDescent="0.25">
      <c r="A434" t="s">
        <v>10</v>
      </c>
      <c r="B434" s="1">
        <v>166507.76</v>
      </c>
      <c r="C434">
        <v>143896.01</v>
      </c>
      <c r="D434" s="2">
        <v>44070</v>
      </c>
      <c r="E434" t="s">
        <v>46</v>
      </c>
      <c r="F434" t="s">
        <v>123</v>
      </c>
      <c r="G434" t="s">
        <v>13</v>
      </c>
      <c r="H434" t="s">
        <v>14</v>
      </c>
      <c r="I434" t="s">
        <v>28</v>
      </c>
      <c r="J434" t="s">
        <v>586</v>
      </c>
    </row>
    <row r="435" spans="1:10" x14ac:dyDescent="0.25">
      <c r="A435" t="s">
        <v>34</v>
      </c>
      <c r="B435" s="1">
        <v>131409.9</v>
      </c>
      <c r="C435">
        <v>115325.33</v>
      </c>
      <c r="D435" s="2">
        <v>44150</v>
      </c>
      <c r="E435" t="s">
        <v>80</v>
      </c>
      <c r="F435" t="s">
        <v>224</v>
      </c>
      <c r="G435" t="s">
        <v>36</v>
      </c>
      <c r="H435" t="s">
        <v>37</v>
      </c>
      <c r="I435" t="s">
        <v>28</v>
      </c>
      <c r="J435" t="s">
        <v>587</v>
      </c>
    </row>
    <row r="436" spans="1:10" x14ac:dyDescent="0.25">
      <c r="A436" t="s">
        <v>23</v>
      </c>
      <c r="B436" s="1">
        <v>133072</v>
      </c>
      <c r="C436">
        <v>108600.06</v>
      </c>
      <c r="D436" s="2">
        <v>44132</v>
      </c>
      <c r="E436" t="s">
        <v>62</v>
      </c>
      <c r="F436" t="s">
        <v>185</v>
      </c>
      <c r="G436" t="s">
        <v>26</v>
      </c>
      <c r="H436" t="s">
        <v>76</v>
      </c>
      <c r="I436" t="s">
        <v>28</v>
      </c>
      <c r="J436" t="s">
        <v>588</v>
      </c>
    </row>
    <row r="437" spans="1:10" x14ac:dyDescent="0.25">
      <c r="A437" t="s">
        <v>17</v>
      </c>
      <c r="B437" s="1">
        <v>180250.02</v>
      </c>
      <c r="C437">
        <v>147354.39000000001</v>
      </c>
      <c r="D437" s="2">
        <v>43619</v>
      </c>
      <c r="E437" t="s">
        <v>80</v>
      </c>
      <c r="F437" t="s">
        <v>434</v>
      </c>
      <c r="G437" t="s">
        <v>20</v>
      </c>
      <c r="H437" t="s">
        <v>353</v>
      </c>
      <c r="I437" t="s">
        <v>28</v>
      </c>
      <c r="J437" t="s">
        <v>589</v>
      </c>
    </row>
    <row r="438" spans="1:10" x14ac:dyDescent="0.25">
      <c r="A438" t="s">
        <v>23</v>
      </c>
      <c r="B438" s="1">
        <v>48090.78</v>
      </c>
      <c r="C438">
        <v>42040.959999999999</v>
      </c>
      <c r="D438" s="2">
        <v>43909</v>
      </c>
      <c r="E438" t="s">
        <v>11</v>
      </c>
      <c r="F438" t="s">
        <v>234</v>
      </c>
      <c r="G438" t="s">
        <v>26</v>
      </c>
      <c r="H438" t="s">
        <v>76</v>
      </c>
      <c r="I438" t="s">
        <v>28</v>
      </c>
      <c r="J438" t="s">
        <v>590</v>
      </c>
    </row>
    <row r="439" spans="1:10" x14ac:dyDescent="0.25">
      <c r="A439" t="s">
        <v>10</v>
      </c>
      <c r="B439" s="1">
        <v>168530.22</v>
      </c>
      <c r="C439">
        <v>136981.35999999999</v>
      </c>
      <c r="D439" s="2">
        <v>43967</v>
      </c>
      <c r="E439" t="s">
        <v>51</v>
      </c>
      <c r="F439" t="s">
        <v>188</v>
      </c>
      <c r="G439" t="s">
        <v>13</v>
      </c>
      <c r="H439" t="s">
        <v>170</v>
      </c>
      <c r="I439" t="s">
        <v>28</v>
      </c>
      <c r="J439" t="s">
        <v>591</v>
      </c>
    </row>
    <row r="440" spans="1:10" x14ac:dyDescent="0.25">
      <c r="A440" t="s">
        <v>10</v>
      </c>
      <c r="B440" s="1">
        <v>36785.279999999999</v>
      </c>
      <c r="C440">
        <v>30546.5</v>
      </c>
      <c r="D440" s="2">
        <v>43708</v>
      </c>
      <c r="E440" t="s">
        <v>51</v>
      </c>
      <c r="F440" t="s">
        <v>35</v>
      </c>
      <c r="G440" t="s">
        <v>13</v>
      </c>
      <c r="H440" t="s">
        <v>69</v>
      </c>
      <c r="I440" t="s">
        <v>28</v>
      </c>
      <c r="J440" t="s">
        <v>592</v>
      </c>
    </row>
    <row r="441" spans="1:10" x14ac:dyDescent="0.25">
      <c r="A441" t="s">
        <v>173</v>
      </c>
      <c r="B441" s="1">
        <v>126409.18</v>
      </c>
      <c r="C441">
        <v>104692.08</v>
      </c>
      <c r="D441" s="2">
        <v>44108</v>
      </c>
      <c r="E441" t="s">
        <v>60</v>
      </c>
      <c r="F441" t="s">
        <v>121</v>
      </c>
      <c r="G441" t="s">
        <v>175</v>
      </c>
      <c r="H441" t="s">
        <v>176</v>
      </c>
      <c r="I441" t="s">
        <v>28</v>
      </c>
      <c r="J441" t="s">
        <v>593</v>
      </c>
    </row>
    <row r="442" spans="1:10" x14ac:dyDescent="0.25">
      <c r="A442" t="s">
        <v>23</v>
      </c>
      <c r="B442" s="1">
        <v>49990.720000000001</v>
      </c>
      <c r="C442">
        <v>42927.03</v>
      </c>
      <c r="D442" s="2">
        <v>43834</v>
      </c>
      <c r="E442" t="s">
        <v>80</v>
      </c>
      <c r="F442" t="s">
        <v>71</v>
      </c>
      <c r="G442" t="s">
        <v>26</v>
      </c>
      <c r="H442" t="s">
        <v>27</v>
      </c>
      <c r="I442" t="s">
        <v>28</v>
      </c>
      <c r="J442" t="s">
        <v>594</v>
      </c>
    </row>
    <row r="443" spans="1:10" x14ac:dyDescent="0.25">
      <c r="A443" t="s">
        <v>10</v>
      </c>
      <c r="B443" s="1">
        <v>36644.050000000003</v>
      </c>
      <c r="C443">
        <v>30491.51</v>
      </c>
      <c r="D443" s="2">
        <v>44155</v>
      </c>
      <c r="E443" t="s">
        <v>24</v>
      </c>
      <c r="F443" t="s">
        <v>25</v>
      </c>
      <c r="G443" t="s">
        <v>13</v>
      </c>
      <c r="H443" t="s">
        <v>118</v>
      </c>
      <c r="I443" t="s">
        <v>28</v>
      </c>
      <c r="J443" t="s">
        <v>595</v>
      </c>
    </row>
    <row r="444" spans="1:10" x14ac:dyDescent="0.25">
      <c r="A444" t="s">
        <v>10</v>
      </c>
      <c r="B444" s="1">
        <v>115226.8</v>
      </c>
      <c r="C444">
        <v>94336.18</v>
      </c>
      <c r="D444" s="2">
        <v>43600</v>
      </c>
      <c r="E444" t="s">
        <v>30</v>
      </c>
      <c r="F444" t="s">
        <v>64</v>
      </c>
      <c r="G444" t="s">
        <v>13</v>
      </c>
      <c r="H444" t="s">
        <v>170</v>
      </c>
      <c r="I444" t="s">
        <v>28</v>
      </c>
      <c r="J444" t="s">
        <v>596</v>
      </c>
    </row>
    <row r="445" spans="1:10" x14ac:dyDescent="0.25">
      <c r="A445" t="s">
        <v>17</v>
      </c>
      <c r="B445" s="1">
        <v>154078.75</v>
      </c>
      <c r="C445">
        <v>131336.73000000001</v>
      </c>
      <c r="D445" s="2">
        <v>44079</v>
      </c>
      <c r="E445" t="s">
        <v>11</v>
      </c>
      <c r="F445" t="s">
        <v>265</v>
      </c>
      <c r="G445" t="s">
        <v>20</v>
      </c>
      <c r="H445" t="s">
        <v>21</v>
      </c>
      <c r="I445" t="s">
        <v>28</v>
      </c>
      <c r="J445" t="s">
        <v>597</v>
      </c>
    </row>
    <row r="446" spans="1:10" x14ac:dyDescent="0.25">
      <c r="A446" t="s">
        <v>101</v>
      </c>
      <c r="B446" s="1">
        <v>80328.160000000003</v>
      </c>
      <c r="C446">
        <v>65836.960000000006</v>
      </c>
      <c r="D446" s="2">
        <v>44097</v>
      </c>
      <c r="E446" t="s">
        <v>18</v>
      </c>
      <c r="F446" t="s">
        <v>47</v>
      </c>
      <c r="G446" t="s">
        <v>103</v>
      </c>
      <c r="H446" t="s">
        <v>162</v>
      </c>
      <c r="I446" t="s">
        <v>28</v>
      </c>
      <c r="J446" t="s">
        <v>598</v>
      </c>
    </row>
    <row r="447" spans="1:10" x14ac:dyDescent="0.25">
      <c r="A447" t="s">
        <v>23</v>
      </c>
      <c r="B447" s="1">
        <v>99832.12</v>
      </c>
      <c r="C447">
        <v>84128.53</v>
      </c>
      <c r="D447" s="2">
        <v>43600</v>
      </c>
      <c r="E447" t="s">
        <v>51</v>
      </c>
      <c r="F447" t="s">
        <v>302</v>
      </c>
      <c r="G447" t="s">
        <v>26</v>
      </c>
      <c r="H447" t="s">
        <v>32</v>
      </c>
      <c r="I447" t="s">
        <v>28</v>
      </c>
      <c r="J447" t="s">
        <v>599</v>
      </c>
    </row>
    <row r="448" spans="1:10" x14ac:dyDescent="0.25">
      <c r="A448" t="s">
        <v>17</v>
      </c>
      <c r="B448" s="1">
        <v>133057.07</v>
      </c>
      <c r="C448">
        <v>113351.32</v>
      </c>
      <c r="D448" s="2">
        <v>43954</v>
      </c>
      <c r="E448" t="s">
        <v>139</v>
      </c>
      <c r="F448" t="s">
        <v>89</v>
      </c>
      <c r="G448" t="s">
        <v>20</v>
      </c>
      <c r="H448" t="s">
        <v>21</v>
      </c>
      <c r="I448" t="s">
        <v>28</v>
      </c>
      <c r="J448" t="s">
        <v>600</v>
      </c>
    </row>
    <row r="449" spans="1:10" x14ac:dyDescent="0.25">
      <c r="A449" t="s">
        <v>173</v>
      </c>
      <c r="B449" s="1">
        <v>80719.44</v>
      </c>
      <c r="C449">
        <v>64422.19</v>
      </c>
      <c r="D449" s="2">
        <v>43505</v>
      </c>
      <c r="E449" t="s">
        <v>51</v>
      </c>
      <c r="F449" t="s">
        <v>35</v>
      </c>
      <c r="G449" t="s">
        <v>175</v>
      </c>
      <c r="H449" t="s">
        <v>176</v>
      </c>
      <c r="I449" t="s">
        <v>28</v>
      </c>
      <c r="J449" t="s">
        <v>601</v>
      </c>
    </row>
    <row r="450" spans="1:10" x14ac:dyDescent="0.25">
      <c r="A450" t="s">
        <v>53</v>
      </c>
      <c r="B450" s="1">
        <v>124534.96</v>
      </c>
      <c r="C450">
        <v>107012.89</v>
      </c>
      <c r="D450" s="2">
        <v>44030</v>
      </c>
      <c r="E450" t="s">
        <v>11</v>
      </c>
      <c r="F450" t="s">
        <v>210</v>
      </c>
      <c r="G450" t="s">
        <v>55</v>
      </c>
      <c r="H450" t="s">
        <v>56</v>
      </c>
      <c r="I450" t="s">
        <v>28</v>
      </c>
      <c r="J450" t="s">
        <v>602</v>
      </c>
    </row>
    <row r="451" spans="1:10" x14ac:dyDescent="0.25">
      <c r="A451" t="s">
        <v>10</v>
      </c>
      <c r="B451" s="1">
        <v>67611.539999999994</v>
      </c>
      <c r="C451">
        <v>56191.95</v>
      </c>
      <c r="D451" s="2">
        <v>43768</v>
      </c>
      <c r="E451" t="s">
        <v>24</v>
      </c>
      <c r="F451" t="s">
        <v>234</v>
      </c>
      <c r="G451" t="s">
        <v>13</v>
      </c>
      <c r="H451" t="s">
        <v>118</v>
      </c>
      <c r="I451" t="s">
        <v>28</v>
      </c>
      <c r="J451" t="s">
        <v>603</v>
      </c>
    </row>
    <row r="452" spans="1:10" x14ac:dyDescent="0.25">
      <c r="A452" t="s">
        <v>53</v>
      </c>
      <c r="B452" s="1">
        <v>132760.25</v>
      </c>
      <c r="C452">
        <v>105039.91</v>
      </c>
      <c r="D452" s="2">
        <v>43837</v>
      </c>
      <c r="E452" t="s">
        <v>30</v>
      </c>
      <c r="F452" t="s">
        <v>58</v>
      </c>
      <c r="G452" t="s">
        <v>55</v>
      </c>
      <c r="H452" t="s">
        <v>128</v>
      </c>
      <c r="I452" t="s">
        <v>28</v>
      </c>
      <c r="J452" t="s">
        <v>604</v>
      </c>
    </row>
    <row r="453" spans="1:10" x14ac:dyDescent="0.25">
      <c r="A453" t="s">
        <v>53</v>
      </c>
      <c r="B453" s="1">
        <v>177802.7</v>
      </c>
      <c r="C453">
        <v>155079.51</v>
      </c>
      <c r="D453" s="2">
        <v>43664</v>
      </c>
      <c r="E453" t="s">
        <v>139</v>
      </c>
      <c r="F453" t="s">
        <v>25</v>
      </c>
      <c r="G453" t="s">
        <v>55</v>
      </c>
      <c r="H453" t="s">
        <v>72</v>
      </c>
      <c r="I453" t="s">
        <v>28</v>
      </c>
      <c r="J453" t="s">
        <v>605</v>
      </c>
    </row>
    <row r="454" spans="1:10" x14ac:dyDescent="0.25">
      <c r="A454" t="s">
        <v>101</v>
      </c>
      <c r="B454" s="1">
        <v>98963.03</v>
      </c>
      <c r="C454">
        <v>80367.88</v>
      </c>
      <c r="D454" s="2">
        <v>44116</v>
      </c>
      <c r="E454" t="s">
        <v>46</v>
      </c>
      <c r="F454" t="s">
        <v>606</v>
      </c>
      <c r="G454" t="s">
        <v>103</v>
      </c>
      <c r="H454" t="s">
        <v>162</v>
      </c>
      <c r="I454" t="s">
        <v>28</v>
      </c>
      <c r="J454" t="s">
        <v>607</v>
      </c>
    </row>
    <row r="455" spans="1:10" x14ac:dyDescent="0.25">
      <c r="A455" t="s">
        <v>101</v>
      </c>
      <c r="B455" s="1">
        <v>126582.5</v>
      </c>
      <c r="C455">
        <v>103683.73</v>
      </c>
      <c r="D455" s="2">
        <v>43878</v>
      </c>
      <c r="E455" t="s">
        <v>30</v>
      </c>
      <c r="F455" t="s">
        <v>71</v>
      </c>
      <c r="G455" t="s">
        <v>103</v>
      </c>
      <c r="H455" t="s">
        <v>162</v>
      </c>
      <c r="I455" t="s">
        <v>28</v>
      </c>
      <c r="J455" t="s">
        <v>608</v>
      </c>
    </row>
    <row r="456" spans="1:10" x14ac:dyDescent="0.25">
      <c r="A456" t="s">
        <v>23</v>
      </c>
      <c r="B456" s="1">
        <v>141965.10999999999</v>
      </c>
      <c r="C456">
        <v>119193.91</v>
      </c>
      <c r="D456" s="2">
        <v>43726</v>
      </c>
      <c r="E456" t="s">
        <v>30</v>
      </c>
      <c r="F456" t="s">
        <v>368</v>
      </c>
      <c r="G456" t="s">
        <v>26</v>
      </c>
      <c r="H456" t="s">
        <v>90</v>
      </c>
      <c r="I456" t="s">
        <v>28</v>
      </c>
      <c r="J456" t="s">
        <v>609</v>
      </c>
    </row>
    <row r="457" spans="1:10" x14ac:dyDescent="0.25">
      <c r="A457" t="s">
        <v>173</v>
      </c>
      <c r="B457" s="1">
        <v>167301.51999999999</v>
      </c>
      <c r="C457">
        <v>147074.76999999999</v>
      </c>
      <c r="D457" s="2">
        <v>43591</v>
      </c>
      <c r="E457" t="s">
        <v>62</v>
      </c>
      <c r="F457" t="s">
        <v>158</v>
      </c>
      <c r="G457" t="s">
        <v>175</v>
      </c>
      <c r="H457" t="s">
        <v>176</v>
      </c>
      <c r="I457" t="s">
        <v>28</v>
      </c>
      <c r="J457" t="s">
        <v>610</v>
      </c>
    </row>
    <row r="458" spans="1:10" x14ac:dyDescent="0.25">
      <c r="A458" t="s">
        <v>53</v>
      </c>
      <c r="B458" s="1">
        <v>133985.91</v>
      </c>
      <c r="C458">
        <v>116741.92</v>
      </c>
      <c r="D458" s="2">
        <v>43480</v>
      </c>
      <c r="E458" t="s">
        <v>24</v>
      </c>
      <c r="F458" t="s">
        <v>234</v>
      </c>
      <c r="G458" t="s">
        <v>55</v>
      </c>
      <c r="H458" t="s">
        <v>72</v>
      </c>
      <c r="I458" t="s">
        <v>28</v>
      </c>
      <c r="J458" t="s">
        <v>611</v>
      </c>
    </row>
    <row r="459" spans="1:10" x14ac:dyDescent="0.25">
      <c r="A459" t="s">
        <v>53</v>
      </c>
      <c r="B459" s="1">
        <v>91540.03</v>
      </c>
      <c r="C459">
        <v>74916.36</v>
      </c>
      <c r="D459" s="2">
        <v>43717</v>
      </c>
      <c r="E459" t="s">
        <v>24</v>
      </c>
      <c r="F459" t="s">
        <v>234</v>
      </c>
      <c r="G459" t="s">
        <v>55</v>
      </c>
      <c r="H459" t="s">
        <v>133</v>
      </c>
      <c r="I459" t="s">
        <v>28</v>
      </c>
      <c r="J459" t="s">
        <v>612</v>
      </c>
    </row>
    <row r="460" spans="1:10" x14ac:dyDescent="0.25">
      <c r="A460" t="s">
        <v>45</v>
      </c>
      <c r="B460" s="1">
        <v>146055.04999999999</v>
      </c>
      <c r="C460">
        <v>117822.61</v>
      </c>
      <c r="D460" s="2">
        <v>43745</v>
      </c>
      <c r="E460" t="s">
        <v>24</v>
      </c>
      <c r="F460" t="s">
        <v>434</v>
      </c>
      <c r="G460" t="s">
        <v>48</v>
      </c>
      <c r="H460" t="s">
        <v>49</v>
      </c>
      <c r="I460" t="s">
        <v>38</v>
      </c>
      <c r="J460" t="s">
        <v>613</v>
      </c>
    </row>
    <row r="461" spans="1:10" x14ac:dyDescent="0.25">
      <c r="A461" t="s">
        <v>10</v>
      </c>
      <c r="B461" s="1">
        <v>113586.11</v>
      </c>
      <c r="C461">
        <v>91641.27</v>
      </c>
      <c r="D461" s="2">
        <v>43515</v>
      </c>
      <c r="E461" t="s">
        <v>62</v>
      </c>
      <c r="F461" t="s">
        <v>123</v>
      </c>
      <c r="G461" t="s">
        <v>13</v>
      </c>
      <c r="H461" t="s">
        <v>170</v>
      </c>
      <c r="I461" t="s">
        <v>15</v>
      </c>
      <c r="J461" t="s">
        <v>614</v>
      </c>
    </row>
    <row r="462" spans="1:10" x14ac:dyDescent="0.25">
      <c r="A462" t="s">
        <v>173</v>
      </c>
      <c r="B462" s="1">
        <v>135662.46</v>
      </c>
      <c r="C462">
        <v>116764.68</v>
      </c>
      <c r="D462" s="2">
        <v>43953</v>
      </c>
      <c r="E462" t="s">
        <v>30</v>
      </c>
      <c r="F462" t="s">
        <v>254</v>
      </c>
      <c r="G462" t="s">
        <v>175</v>
      </c>
      <c r="H462" t="s">
        <v>212</v>
      </c>
      <c r="I462" t="s">
        <v>28</v>
      </c>
      <c r="J462" t="s">
        <v>615</v>
      </c>
    </row>
    <row r="463" spans="1:10" x14ac:dyDescent="0.25">
      <c r="A463" t="s">
        <v>23</v>
      </c>
      <c r="B463" s="1">
        <v>113781.45</v>
      </c>
      <c r="C463">
        <v>91104.81</v>
      </c>
      <c r="D463" s="2">
        <v>43746</v>
      </c>
      <c r="E463" t="s">
        <v>11</v>
      </c>
      <c r="F463" t="s">
        <v>180</v>
      </c>
      <c r="G463" t="s">
        <v>26</v>
      </c>
      <c r="H463" t="s">
        <v>32</v>
      </c>
      <c r="I463" t="s">
        <v>28</v>
      </c>
      <c r="J463" t="s">
        <v>616</v>
      </c>
    </row>
    <row r="464" spans="1:10" x14ac:dyDescent="0.25">
      <c r="A464" t="s">
        <v>53</v>
      </c>
      <c r="B464" s="1">
        <v>111462.88</v>
      </c>
      <c r="C464">
        <v>94130.4</v>
      </c>
      <c r="D464" s="2">
        <v>44077</v>
      </c>
      <c r="E464" t="s">
        <v>62</v>
      </c>
      <c r="F464" t="s">
        <v>89</v>
      </c>
      <c r="G464" t="s">
        <v>55</v>
      </c>
      <c r="H464" t="s">
        <v>144</v>
      </c>
      <c r="I464" t="s">
        <v>38</v>
      </c>
      <c r="J464" t="s">
        <v>617</v>
      </c>
    </row>
    <row r="465" spans="1:10" x14ac:dyDescent="0.25">
      <c r="A465" t="s">
        <v>45</v>
      </c>
      <c r="B465" s="1">
        <v>34748.75</v>
      </c>
      <c r="C465">
        <v>27475.84</v>
      </c>
      <c r="D465" s="2">
        <v>44101</v>
      </c>
      <c r="E465" t="s">
        <v>60</v>
      </c>
      <c r="F465" t="s">
        <v>126</v>
      </c>
      <c r="G465" t="s">
        <v>48</v>
      </c>
      <c r="H465" t="s">
        <v>66</v>
      </c>
      <c r="I465" t="s">
        <v>38</v>
      </c>
      <c r="J465" t="s">
        <v>618</v>
      </c>
    </row>
    <row r="466" spans="1:10" x14ac:dyDescent="0.25">
      <c r="A466" t="s">
        <v>45</v>
      </c>
      <c r="B466" s="1">
        <v>137306.45000000001</v>
      </c>
      <c r="C466">
        <v>108732.98</v>
      </c>
      <c r="D466" s="2">
        <v>44078</v>
      </c>
      <c r="E466" t="s">
        <v>11</v>
      </c>
      <c r="F466" t="s">
        <v>54</v>
      </c>
      <c r="G466" t="s">
        <v>48</v>
      </c>
      <c r="H466" t="s">
        <v>49</v>
      </c>
      <c r="I466" t="s">
        <v>28</v>
      </c>
      <c r="J466" t="s">
        <v>619</v>
      </c>
    </row>
    <row r="467" spans="1:10" x14ac:dyDescent="0.25">
      <c r="A467" t="s">
        <v>23</v>
      </c>
      <c r="B467" s="1">
        <v>148212.23000000001</v>
      </c>
      <c r="C467">
        <v>123030.97</v>
      </c>
      <c r="D467" s="2">
        <v>43718</v>
      </c>
      <c r="E467" t="s">
        <v>24</v>
      </c>
      <c r="F467" t="s">
        <v>254</v>
      </c>
      <c r="G467" t="s">
        <v>26</v>
      </c>
      <c r="H467" t="s">
        <v>219</v>
      </c>
      <c r="I467" t="s">
        <v>28</v>
      </c>
      <c r="J467" t="s">
        <v>620</v>
      </c>
    </row>
    <row r="468" spans="1:10" x14ac:dyDescent="0.25">
      <c r="A468" t="s">
        <v>23</v>
      </c>
      <c r="B468" s="1">
        <v>159057.92000000001</v>
      </c>
      <c r="C468">
        <v>139923.25</v>
      </c>
      <c r="D468" s="2">
        <v>44128</v>
      </c>
      <c r="E468" t="s">
        <v>60</v>
      </c>
      <c r="F468" t="s">
        <v>35</v>
      </c>
      <c r="G468" t="s">
        <v>26</v>
      </c>
      <c r="H468" t="s">
        <v>219</v>
      </c>
      <c r="I468" t="s">
        <v>28</v>
      </c>
      <c r="J468" t="s">
        <v>621</v>
      </c>
    </row>
    <row r="469" spans="1:10" x14ac:dyDescent="0.25">
      <c r="A469" t="s">
        <v>10</v>
      </c>
      <c r="B469" s="1">
        <v>146226.35999999999</v>
      </c>
      <c r="C469">
        <v>117916.94</v>
      </c>
      <c r="D469" s="2">
        <v>44122</v>
      </c>
      <c r="E469" t="s">
        <v>60</v>
      </c>
      <c r="F469" t="s">
        <v>40</v>
      </c>
      <c r="G469" t="s">
        <v>13</v>
      </c>
      <c r="H469" t="s">
        <v>82</v>
      </c>
      <c r="I469" t="s">
        <v>28</v>
      </c>
      <c r="J469" t="s">
        <v>622</v>
      </c>
    </row>
    <row r="470" spans="1:10" x14ac:dyDescent="0.25">
      <c r="A470" t="s">
        <v>23</v>
      </c>
      <c r="B470" s="1">
        <v>201537.12</v>
      </c>
      <c r="C470">
        <v>166127.04999999999</v>
      </c>
      <c r="D470" s="2">
        <v>43992</v>
      </c>
      <c r="E470" t="s">
        <v>62</v>
      </c>
      <c r="F470" t="s">
        <v>395</v>
      </c>
      <c r="G470" t="s">
        <v>26</v>
      </c>
      <c r="H470" t="s">
        <v>219</v>
      </c>
      <c r="I470" t="s">
        <v>28</v>
      </c>
      <c r="J470" t="s">
        <v>623</v>
      </c>
    </row>
    <row r="471" spans="1:10" x14ac:dyDescent="0.25">
      <c r="A471" t="s">
        <v>23</v>
      </c>
      <c r="B471" s="1">
        <v>242192.19</v>
      </c>
      <c r="C471">
        <v>213104.91</v>
      </c>
      <c r="D471" s="2">
        <v>43648</v>
      </c>
      <c r="E471" t="s">
        <v>46</v>
      </c>
      <c r="F471" t="s">
        <v>237</v>
      </c>
      <c r="G471" t="s">
        <v>26</v>
      </c>
      <c r="H471" t="s">
        <v>27</v>
      </c>
      <c r="I471" t="s">
        <v>28</v>
      </c>
      <c r="J471" t="s">
        <v>624</v>
      </c>
    </row>
    <row r="472" spans="1:10" x14ac:dyDescent="0.25">
      <c r="A472" t="s">
        <v>106</v>
      </c>
      <c r="B472" s="1">
        <v>172397.66</v>
      </c>
      <c r="C472">
        <v>139986.9</v>
      </c>
      <c r="D472" s="2">
        <v>43492</v>
      </c>
      <c r="E472" t="s">
        <v>24</v>
      </c>
      <c r="F472" t="s">
        <v>35</v>
      </c>
      <c r="G472" t="s">
        <v>107</v>
      </c>
      <c r="H472" t="s">
        <v>108</v>
      </c>
      <c r="I472" t="s">
        <v>28</v>
      </c>
      <c r="J472" t="s">
        <v>625</v>
      </c>
    </row>
    <row r="473" spans="1:10" x14ac:dyDescent="0.25">
      <c r="A473" t="s">
        <v>96</v>
      </c>
      <c r="B473" s="1">
        <v>152370.57</v>
      </c>
      <c r="C473">
        <v>128478.86</v>
      </c>
      <c r="D473" s="2">
        <v>43789</v>
      </c>
      <c r="E473" t="s">
        <v>18</v>
      </c>
      <c r="F473" t="s">
        <v>58</v>
      </c>
      <c r="G473" t="s">
        <v>98</v>
      </c>
      <c r="H473" t="s">
        <v>99</v>
      </c>
      <c r="I473" t="s">
        <v>28</v>
      </c>
      <c r="J473" t="s">
        <v>626</v>
      </c>
    </row>
    <row r="474" spans="1:10" x14ac:dyDescent="0.25">
      <c r="A474" t="s">
        <v>23</v>
      </c>
      <c r="B474" s="1">
        <v>137419.29999999999</v>
      </c>
      <c r="C474">
        <v>117658.4</v>
      </c>
      <c r="D474" s="2">
        <v>43966</v>
      </c>
      <c r="E474" t="s">
        <v>18</v>
      </c>
      <c r="F474" t="s">
        <v>231</v>
      </c>
      <c r="G474" t="s">
        <v>26</v>
      </c>
      <c r="H474" t="s">
        <v>27</v>
      </c>
      <c r="I474" t="s">
        <v>15</v>
      </c>
      <c r="J474" t="s">
        <v>627</v>
      </c>
    </row>
    <row r="475" spans="1:10" x14ac:dyDescent="0.25">
      <c r="A475" t="s">
        <v>53</v>
      </c>
      <c r="B475" s="1">
        <v>67594.100000000006</v>
      </c>
      <c r="C475">
        <v>54920.21</v>
      </c>
      <c r="D475" s="2">
        <v>43734</v>
      </c>
      <c r="E475" t="s">
        <v>139</v>
      </c>
      <c r="F475" t="s">
        <v>71</v>
      </c>
      <c r="G475" t="s">
        <v>55</v>
      </c>
      <c r="H475" t="s">
        <v>72</v>
      </c>
      <c r="I475" t="s">
        <v>28</v>
      </c>
      <c r="J475" t="s">
        <v>628</v>
      </c>
    </row>
    <row r="476" spans="1:10" x14ac:dyDescent="0.25">
      <c r="A476" t="s">
        <v>106</v>
      </c>
      <c r="B476" s="1">
        <v>72002.259999999995</v>
      </c>
      <c r="C476">
        <v>56996.99</v>
      </c>
      <c r="D476" s="2">
        <v>43482</v>
      </c>
      <c r="E476" t="s">
        <v>51</v>
      </c>
      <c r="F476" t="s">
        <v>182</v>
      </c>
      <c r="G476" t="s">
        <v>107</v>
      </c>
      <c r="H476" t="s">
        <v>108</v>
      </c>
      <c r="I476" t="s">
        <v>28</v>
      </c>
      <c r="J476" t="s">
        <v>629</v>
      </c>
    </row>
    <row r="477" spans="1:10" x14ac:dyDescent="0.25">
      <c r="A477" t="s">
        <v>53</v>
      </c>
      <c r="B477" s="1">
        <v>159926.16</v>
      </c>
      <c r="C477">
        <v>126453.61</v>
      </c>
      <c r="D477" s="2">
        <v>44086</v>
      </c>
      <c r="E477" t="s">
        <v>30</v>
      </c>
      <c r="F477" t="s">
        <v>182</v>
      </c>
      <c r="G477" t="s">
        <v>55</v>
      </c>
      <c r="H477" t="s">
        <v>133</v>
      </c>
      <c r="I477" t="s">
        <v>15</v>
      </c>
      <c r="J477" t="s">
        <v>630</v>
      </c>
    </row>
    <row r="478" spans="1:10" x14ac:dyDescent="0.25">
      <c r="A478" t="s">
        <v>53</v>
      </c>
      <c r="B478" s="1">
        <v>65193.88</v>
      </c>
      <c r="C478">
        <v>53113.45</v>
      </c>
      <c r="D478" s="2">
        <v>43742</v>
      </c>
      <c r="E478" t="s">
        <v>30</v>
      </c>
      <c r="F478" t="s">
        <v>368</v>
      </c>
      <c r="G478" t="s">
        <v>55</v>
      </c>
      <c r="H478" t="s">
        <v>56</v>
      </c>
      <c r="I478" t="s">
        <v>28</v>
      </c>
      <c r="J478" t="s">
        <v>631</v>
      </c>
    </row>
    <row r="479" spans="1:10" x14ac:dyDescent="0.25">
      <c r="A479" t="s">
        <v>23</v>
      </c>
      <c r="B479" s="1">
        <v>105374.44</v>
      </c>
      <c r="C479">
        <v>89779.02</v>
      </c>
      <c r="D479" s="2">
        <v>43879</v>
      </c>
      <c r="E479" t="s">
        <v>80</v>
      </c>
      <c r="F479" t="s">
        <v>327</v>
      </c>
      <c r="G479" t="s">
        <v>26</v>
      </c>
      <c r="H479" t="s">
        <v>219</v>
      </c>
      <c r="I479" t="s">
        <v>28</v>
      </c>
      <c r="J479" t="s">
        <v>632</v>
      </c>
    </row>
    <row r="480" spans="1:10" x14ac:dyDescent="0.25">
      <c r="A480" t="s">
        <v>45</v>
      </c>
      <c r="B480" s="1">
        <v>83097.399999999994</v>
      </c>
      <c r="C480">
        <v>68148.179999999993</v>
      </c>
      <c r="D480" s="2">
        <v>43546</v>
      </c>
      <c r="E480" t="s">
        <v>24</v>
      </c>
      <c r="F480" t="s">
        <v>254</v>
      </c>
      <c r="G480" t="s">
        <v>48</v>
      </c>
      <c r="H480" t="s">
        <v>74</v>
      </c>
      <c r="I480" t="s">
        <v>38</v>
      </c>
      <c r="J480" t="s">
        <v>633</v>
      </c>
    </row>
    <row r="481" spans="1:10" x14ac:dyDescent="0.25">
      <c r="A481" t="s">
        <v>10</v>
      </c>
      <c r="B481" s="1">
        <v>139682.07</v>
      </c>
      <c r="C481">
        <v>113212.32</v>
      </c>
      <c r="D481" s="2">
        <v>43848</v>
      </c>
      <c r="E481" t="s">
        <v>18</v>
      </c>
      <c r="F481" t="s">
        <v>291</v>
      </c>
      <c r="G481" t="s">
        <v>13</v>
      </c>
      <c r="H481" t="s">
        <v>69</v>
      </c>
      <c r="I481" t="s">
        <v>28</v>
      </c>
      <c r="J481" t="s">
        <v>634</v>
      </c>
    </row>
    <row r="482" spans="1:10" x14ac:dyDescent="0.25">
      <c r="A482" t="s">
        <v>53</v>
      </c>
      <c r="B482" s="1">
        <v>81095.39</v>
      </c>
      <c r="C482">
        <v>64316.75</v>
      </c>
      <c r="D482" s="2">
        <v>44082</v>
      </c>
      <c r="E482" t="s">
        <v>18</v>
      </c>
      <c r="F482" t="s">
        <v>102</v>
      </c>
      <c r="G482" t="s">
        <v>55</v>
      </c>
      <c r="H482" t="s">
        <v>144</v>
      </c>
      <c r="I482" t="s">
        <v>28</v>
      </c>
      <c r="J482" t="s">
        <v>635</v>
      </c>
    </row>
    <row r="483" spans="1:10" x14ac:dyDescent="0.25">
      <c r="A483" t="s">
        <v>101</v>
      </c>
      <c r="B483" s="1">
        <v>91108.56</v>
      </c>
      <c r="C483">
        <v>74089.48</v>
      </c>
      <c r="D483" s="2">
        <v>44006</v>
      </c>
      <c r="E483" t="s">
        <v>51</v>
      </c>
      <c r="F483" t="s">
        <v>327</v>
      </c>
      <c r="G483" t="s">
        <v>103</v>
      </c>
      <c r="H483" t="s">
        <v>104</v>
      </c>
      <c r="I483" t="s">
        <v>28</v>
      </c>
      <c r="J483" t="s">
        <v>636</v>
      </c>
    </row>
    <row r="484" spans="1:10" x14ac:dyDescent="0.25">
      <c r="A484" t="s">
        <v>106</v>
      </c>
      <c r="B484" s="1">
        <v>47182.43</v>
      </c>
      <c r="C484">
        <v>40576.89</v>
      </c>
      <c r="D484" s="2">
        <v>43882</v>
      </c>
      <c r="E484" t="s">
        <v>60</v>
      </c>
      <c r="F484" t="s">
        <v>112</v>
      </c>
      <c r="G484" t="s">
        <v>107</v>
      </c>
      <c r="H484" t="s">
        <v>108</v>
      </c>
      <c r="I484" t="s">
        <v>28</v>
      </c>
      <c r="J484" t="s">
        <v>637</v>
      </c>
    </row>
    <row r="485" spans="1:10" x14ac:dyDescent="0.25">
      <c r="A485" t="s">
        <v>17</v>
      </c>
      <c r="B485" s="1">
        <v>161984.91</v>
      </c>
      <c r="C485">
        <v>138237.92000000001</v>
      </c>
      <c r="D485" s="2">
        <v>43990</v>
      </c>
      <c r="E485" t="s">
        <v>51</v>
      </c>
      <c r="F485" t="s">
        <v>89</v>
      </c>
      <c r="G485" t="s">
        <v>20</v>
      </c>
      <c r="H485" t="s">
        <v>353</v>
      </c>
      <c r="I485" t="s">
        <v>28</v>
      </c>
      <c r="J485" t="s">
        <v>638</v>
      </c>
    </row>
    <row r="486" spans="1:10" x14ac:dyDescent="0.25">
      <c r="A486" t="s">
        <v>10</v>
      </c>
      <c r="B486" s="1">
        <v>116548.17</v>
      </c>
      <c r="C486">
        <v>92119.67</v>
      </c>
      <c r="D486" s="2">
        <v>43956</v>
      </c>
      <c r="E486" t="s">
        <v>24</v>
      </c>
      <c r="F486" t="s">
        <v>35</v>
      </c>
      <c r="G486" t="s">
        <v>13</v>
      </c>
      <c r="H486" t="s">
        <v>69</v>
      </c>
      <c r="I486" t="s">
        <v>28</v>
      </c>
      <c r="J486" t="s">
        <v>639</v>
      </c>
    </row>
    <row r="487" spans="1:10" x14ac:dyDescent="0.25">
      <c r="A487" t="s">
        <v>23</v>
      </c>
      <c r="B487" s="1">
        <v>138764.6</v>
      </c>
      <c r="C487">
        <v>111414.1</v>
      </c>
      <c r="D487" s="2">
        <v>43961</v>
      </c>
      <c r="E487" t="s">
        <v>51</v>
      </c>
      <c r="F487" t="s">
        <v>35</v>
      </c>
      <c r="G487" t="s">
        <v>26</v>
      </c>
      <c r="H487" t="s">
        <v>219</v>
      </c>
      <c r="I487" t="s">
        <v>28</v>
      </c>
      <c r="J487" t="s">
        <v>640</v>
      </c>
    </row>
    <row r="488" spans="1:10" x14ac:dyDescent="0.25">
      <c r="A488" t="s">
        <v>53</v>
      </c>
      <c r="B488" s="1">
        <v>148405.47</v>
      </c>
      <c r="C488">
        <v>128845.63</v>
      </c>
      <c r="D488" s="2">
        <v>43765</v>
      </c>
      <c r="E488" t="s">
        <v>80</v>
      </c>
      <c r="F488" t="s">
        <v>35</v>
      </c>
      <c r="G488" t="s">
        <v>55</v>
      </c>
      <c r="H488" t="s">
        <v>72</v>
      </c>
      <c r="I488" t="s">
        <v>28</v>
      </c>
      <c r="J488" t="s">
        <v>641</v>
      </c>
    </row>
    <row r="489" spans="1:10" x14ac:dyDescent="0.25">
      <c r="A489" t="s">
        <v>84</v>
      </c>
      <c r="B489" s="1">
        <v>138249.76999999999</v>
      </c>
      <c r="C489">
        <v>120277.3</v>
      </c>
      <c r="D489" s="2">
        <v>43686</v>
      </c>
      <c r="E489" t="s">
        <v>18</v>
      </c>
      <c r="F489" t="s">
        <v>31</v>
      </c>
      <c r="G489" t="s">
        <v>85</v>
      </c>
      <c r="H489" t="s">
        <v>86</v>
      </c>
      <c r="I489" t="s">
        <v>28</v>
      </c>
      <c r="J489" t="s">
        <v>642</v>
      </c>
    </row>
    <row r="490" spans="1:10" x14ac:dyDescent="0.25">
      <c r="A490" t="s">
        <v>23</v>
      </c>
      <c r="B490" s="1">
        <v>115718.87</v>
      </c>
      <c r="C490">
        <v>100640.7</v>
      </c>
      <c r="D490" s="2">
        <v>43579</v>
      </c>
      <c r="E490" t="s">
        <v>80</v>
      </c>
      <c r="F490" t="s">
        <v>19</v>
      </c>
      <c r="G490" t="s">
        <v>26</v>
      </c>
      <c r="H490" t="s">
        <v>32</v>
      </c>
      <c r="I490" t="s">
        <v>28</v>
      </c>
      <c r="J490" t="s">
        <v>643</v>
      </c>
    </row>
    <row r="491" spans="1:10" x14ac:dyDescent="0.25">
      <c r="A491" t="s">
        <v>23</v>
      </c>
      <c r="B491" s="1">
        <v>194326.7</v>
      </c>
      <c r="C491">
        <v>169005.93</v>
      </c>
      <c r="D491" s="2">
        <v>43653</v>
      </c>
      <c r="E491" t="s">
        <v>11</v>
      </c>
      <c r="F491" t="s">
        <v>35</v>
      </c>
      <c r="G491" t="s">
        <v>26</v>
      </c>
      <c r="H491" t="s">
        <v>90</v>
      </c>
      <c r="I491" t="s">
        <v>15</v>
      </c>
      <c r="J491" t="s">
        <v>644</v>
      </c>
    </row>
    <row r="492" spans="1:10" x14ac:dyDescent="0.25">
      <c r="A492" t="s">
        <v>53</v>
      </c>
      <c r="B492" s="1">
        <v>38648.720000000001</v>
      </c>
      <c r="C492">
        <v>32368.3</v>
      </c>
      <c r="D492" s="2">
        <v>44169</v>
      </c>
      <c r="E492" t="s">
        <v>30</v>
      </c>
      <c r="F492" t="s">
        <v>168</v>
      </c>
      <c r="G492" t="s">
        <v>55</v>
      </c>
      <c r="H492" t="s">
        <v>128</v>
      </c>
      <c r="I492" t="s">
        <v>38</v>
      </c>
      <c r="J492" t="s">
        <v>645</v>
      </c>
    </row>
    <row r="493" spans="1:10" x14ac:dyDescent="0.25">
      <c r="A493" t="s">
        <v>10</v>
      </c>
      <c r="B493" s="1">
        <v>58010.14</v>
      </c>
      <c r="C493">
        <v>46089.06</v>
      </c>
      <c r="D493" s="2">
        <v>43719</v>
      </c>
      <c r="E493" t="s">
        <v>51</v>
      </c>
      <c r="F493" t="s">
        <v>180</v>
      </c>
      <c r="G493" t="s">
        <v>13</v>
      </c>
      <c r="H493" t="s">
        <v>170</v>
      </c>
      <c r="I493" t="s">
        <v>28</v>
      </c>
      <c r="J493" t="s">
        <v>646</v>
      </c>
    </row>
    <row r="494" spans="1:10" x14ac:dyDescent="0.25">
      <c r="A494" t="s">
        <v>53</v>
      </c>
      <c r="B494" s="1">
        <v>82697.53</v>
      </c>
      <c r="C494">
        <v>69548.62</v>
      </c>
      <c r="D494" s="2">
        <v>44055</v>
      </c>
      <c r="E494" t="s">
        <v>18</v>
      </c>
      <c r="F494" t="s">
        <v>234</v>
      </c>
      <c r="G494" t="s">
        <v>55</v>
      </c>
      <c r="H494" t="s">
        <v>144</v>
      </c>
      <c r="I494" t="s">
        <v>28</v>
      </c>
      <c r="J494" t="s">
        <v>647</v>
      </c>
    </row>
    <row r="495" spans="1:10" x14ac:dyDescent="0.25">
      <c r="A495" t="s">
        <v>10</v>
      </c>
      <c r="B495" s="1">
        <v>68086.960000000006</v>
      </c>
      <c r="C495">
        <v>58759.05</v>
      </c>
      <c r="D495" s="2">
        <v>43795</v>
      </c>
      <c r="E495" t="s">
        <v>80</v>
      </c>
      <c r="F495" t="s">
        <v>648</v>
      </c>
      <c r="G495" t="s">
        <v>13</v>
      </c>
      <c r="H495" t="s">
        <v>170</v>
      </c>
      <c r="I495" t="s">
        <v>28</v>
      </c>
      <c r="J495" t="s">
        <v>649</v>
      </c>
    </row>
    <row r="496" spans="1:10" x14ac:dyDescent="0.25">
      <c r="A496" t="s">
        <v>101</v>
      </c>
      <c r="B496" s="1">
        <v>111106.06</v>
      </c>
      <c r="C496">
        <v>93195.76</v>
      </c>
      <c r="D496" s="2">
        <v>44146</v>
      </c>
      <c r="E496" t="s">
        <v>18</v>
      </c>
      <c r="F496" t="s">
        <v>47</v>
      </c>
      <c r="G496" t="s">
        <v>103</v>
      </c>
      <c r="H496" t="s">
        <v>162</v>
      </c>
      <c r="I496" t="s">
        <v>28</v>
      </c>
      <c r="J496" t="s">
        <v>650</v>
      </c>
    </row>
    <row r="497" spans="1:10" x14ac:dyDescent="0.25">
      <c r="A497" t="s">
        <v>23</v>
      </c>
      <c r="B497" s="1">
        <v>227830.33</v>
      </c>
      <c r="C497">
        <v>182173.13</v>
      </c>
      <c r="D497" s="2">
        <v>43992</v>
      </c>
      <c r="E497" t="s">
        <v>11</v>
      </c>
      <c r="F497" t="s">
        <v>185</v>
      </c>
      <c r="G497" t="s">
        <v>26</v>
      </c>
      <c r="H497" t="s">
        <v>32</v>
      </c>
      <c r="I497" t="s">
        <v>28</v>
      </c>
      <c r="J497" t="s">
        <v>651</v>
      </c>
    </row>
    <row r="498" spans="1:10" x14ac:dyDescent="0.25">
      <c r="A498" t="s">
        <v>53</v>
      </c>
      <c r="B498" s="1">
        <v>87355.7</v>
      </c>
      <c r="C498">
        <v>74584.3</v>
      </c>
      <c r="D498" s="2">
        <v>43499</v>
      </c>
      <c r="E498" t="s">
        <v>60</v>
      </c>
      <c r="F498" t="s">
        <v>174</v>
      </c>
      <c r="G498" t="s">
        <v>55</v>
      </c>
      <c r="H498" t="s">
        <v>128</v>
      </c>
      <c r="I498" t="s">
        <v>28</v>
      </c>
      <c r="J498" t="s">
        <v>652</v>
      </c>
    </row>
    <row r="499" spans="1:10" x14ac:dyDescent="0.25">
      <c r="A499" t="s">
        <v>53</v>
      </c>
      <c r="B499" s="1">
        <v>164267.72</v>
      </c>
      <c r="C499">
        <v>139069.04999999999</v>
      </c>
      <c r="D499" s="2">
        <v>44112</v>
      </c>
      <c r="E499" t="s">
        <v>51</v>
      </c>
      <c r="F499" t="s">
        <v>19</v>
      </c>
      <c r="G499" t="s">
        <v>55</v>
      </c>
      <c r="H499" t="s">
        <v>128</v>
      </c>
      <c r="I499" t="s">
        <v>28</v>
      </c>
      <c r="J499" t="s">
        <v>653</v>
      </c>
    </row>
    <row r="500" spans="1:10" x14ac:dyDescent="0.25">
      <c r="A500" t="s">
        <v>45</v>
      </c>
      <c r="B500" s="1">
        <v>92179.76</v>
      </c>
      <c r="C500">
        <v>74794.66</v>
      </c>
      <c r="D500" s="2">
        <v>44037</v>
      </c>
      <c r="E500" t="s">
        <v>30</v>
      </c>
      <c r="F500" t="s">
        <v>210</v>
      </c>
      <c r="G500" t="s">
        <v>48</v>
      </c>
      <c r="H500" t="s">
        <v>74</v>
      </c>
      <c r="I500" t="s">
        <v>38</v>
      </c>
      <c r="J500" t="s">
        <v>654</v>
      </c>
    </row>
    <row r="501" spans="1:10" x14ac:dyDescent="0.25">
      <c r="A501" t="s">
        <v>10</v>
      </c>
      <c r="B501" s="1">
        <v>124093.75999999999</v>
      </c>
      <c r="C501">
        <v>105231.51</v>
      </c>
      <c r="D501" s="2">
        <v>43753</v>
      </c>
      <c r="E501" t="s">
        <v>80</v>
      </c>
      <c r="F501" t="s">
        <v>97</v>
      </c>
      <c r="G501" t="s">
        <v>13</v>
      </c>
      <c r="H501" t="s">
        <v>69</v>
      </c>
      <c r="I501" t="s">
        <v>28</v>
      </c>
      <c r="J501" t="s">
        <v>655</v>
      </c>
    </row>
    <row r="502" spans="1:10" x14ac:dyDescent="0.25">
      <c r="A502" t="s">
        <v>45</v>
      </c>
      <c r="B502" s="1">
        <v>66391.58</v>
      </c>
      <c r="C502">
        <v>52635.24</v>
      </c>
      <c r="D502" s="2">
        <v>43803</v>
      </c>
      <c r="E502" t="s">
        <v>24</v>
      </c>
      <c r="F502" t="s">
        <v>368</v>
      </c>
      <c r="G502" t="s">
        <v>48</v>
      </c>
      <c r="H502" t="s">
        <v>49</v>
      </c>
      <c r="I502" t="s">
        <v>15</v>
      </c>
      <c r="J502" t="s">
        <v>656</v>
      </c>
    </row>
    <row r="503" spans="1:10" x14ac:dyDescent="0.25">
      <c r="A503" t="s">
        <v>53</v>
      </c>
      <c r="B503" s="1">
        <v>197471.1</v>
      </c>
      <c r="C503">
        <v>162577.96</v>
      </c>
      <c r="D503" s="2">
        <v>43644</v>
      </c>
      <c r="E503" t="s">
        <v>51</v>
      </c>
      <c r="F503" t="s">
        <v>35</v>
      </c>
      <c r="G503" t="s">
        <v>55</v>
      </c>
      <c r="H503" t="s">
        <v>128</v>
      </c>
      <c r="I503" t="s">
        <v>28</v>
      </c>
      <c r="J503" t="s">
        <v>657</v>
      </c>
    </row>
    <row r="504" spans="1:10" x14ac:dyDescent="0.25">
      <c r="A504" t="s">
        <v>45</v>
      </c>
      <c r="B504" s="1">
        <v>122627.2</v>
      </c>
      <c r="C504">
        <v>100284.52</v>
      </c>
      <c r="D504" s="2">
        <v>43597</v>
      </c>
      <c r="E504" t="s">
        <v>24</v>
      </c>
      <c r="F504" t="s">
        <v>126</v>
      </c>
      <c r="G504" t="s">
        <v>48</v>
      </c>
      <c r="H504" t="s">
        <v>49</v>
      </c>
      <c r="I504" t="s">
        <v>28</v>
      </c>
      <c r="J504" t="s">
        <v>658</v>
      </c>
    </row>
    <row r="505" spans="1:10" x14ac:dyDescent="0.25">
      <c r="A505" t="s">
        <v>45</v>
      </c>
      <c r="B505" s="1">
        <v>159052.70000000001</v>
      </c>
      <c r="C505">
        <v>127926.09</v>
      </c>
      <c r="D505" s="2">
        <v>43617</v>
      </c>
      <c r="E505" t="s">
        <v>18</v>
      </c>
      <c r="F505" t="s">
        <v>78</v>
      </c>
      <c r="G505" t="s">
        <v>48</v>
      </c>
      <c r="H505" t="s">
        <v>66</v>
      </c>
      <c r="I505" t="s">
        <v>28</v>
      </c>
      <c r="J505" t="s">
        <v>659</v>
      </c>
    </row>
    <row r="506" spans="1:10" x14ac:dyDescent="0.25">
      <c r="A506" t="s">
        <v>23</v>
      </c>
      <c r="B506" s="1">
        <v>85515.6</v>
      </c>
      <c r="C506">
        <v>67959.25</v>
      </c>
      <c r="D506" s="2">
        <v>43751</v>
      </c>
      <c r="E506" t="s">
        <v>18</v>
      </c>
      <c r="F506" t="s">
        <v>25</v>
      </c>
      <c r="G506" t="s">
        <v>26</v>
      </c>
      <c r="H506" t="s">
        <v>219</v>
      </c>
      <c r="I506" t="s">
        <v>28</v>
      </c>
      <c r="J506" t="s">
        <v>660</v>
      </c>
    </row>
    <row r="507" spans="1:10" x14ac:dyDescent="0.25">
      <c r="A507" t="s">
        <v>23</v>
      </c>
      <c r="B507" s="1">
        <v>42847.46</v>
      </c>
      <c r="C507">
        <v>34757.86</v>
      </c>
      <c r="D507" s="2">
        <v>44126</v>
      </c>
      <c r="E507" t="s">
        <v>46</v>
      </c>
      <c r="F507" t="s">
        <v>282</v>
      </c>
      <c r="G507" t="s">
        <v>26</v>
      </c>
      <c r="H507" t="s">
        <v>32</v>
      </c>
      <c r="I507" t="s">
        <v>28</v>
      </c>
      <c r="J507" t="s">
        <v>661</v>
      </c>
    </row>
    <row r="508" spans="1:10" x14ac:dyDescent="0.25">
      <c r="A508" t="s">
        <v>53</v>
      </c>
      <c r="B508" s="1">
        <v>125499.82</v>
      </c>
      <c r="C508">
        <v>100977.16</v>
      </c>
      <c r="D508" s="2">
        <v>43563</v>
      </c>
      <c r="E508" t="s">
        <v>30</v>
      </c>
      <c r="F508" t="s">
        <v>150</v>
      </c>
      <c r="G508" t="s">
        <v>55</v>
      </c>
      <c r="H508" t="s">
        <v>133</v>
      </c>
      <c r="I508" t="s">
        <v>28</v>
      </c>
      <c r="J508" t="s">
        <v>662</v>
      </c>
    </row>
    <row r="509" spans="1:10" x14ac:dyDescent="0.25">
      <c r="A509" t="s">
        <v>17</v>
      </c>
      <c r="B509" s="1">
        <v>222379.49</v>
      </c>
      <c r="C509">
        <v>192869.73</v>
      </c>
      <c r="D509" s="2">
        <v>43656</v>
      </c>
      <c r="E509" t="s">
        <v>30</v>
      </c>
      <c r="F509" t="s">
        <v>123</v>
      </c>
      <c r="G509" t="s">
        <v>20</v>
      </c>
      <c r="H509" t="s">
        <v>353</v>
      </c>
      <c r="I509" t="s">
        <v>15</v>
      </c>
      <c r="J509" t="s">
        <v>663</v>
      </c>
    </row>
    <row r="510" spans="1:10" x14ac:dyDescent="0.25">
      <c r="A510" t="s">
        <v>23</v>
      </c>
      <c r="B510" s="1">
        <v>85390.17</v>
      </c>
      <c r="C510">
        <v>74400.460000000006</v>
      </c>
      <c r="D510" s="2">
        <v>43490</v>
      </c>
      <c r="E510" t="s">
        <v>80</v>
      </c>
      <c r="F510" t="s">
        <v>648</v>
      </c>
      <c r="G510" t="s">
        <v>26</v>
      </c>
      <c r="H510" t="s">
        <v>219</v>
      </c>
      <c r="I510" t="s">
        <v>28</v>
      </c>
      <c r="J510" t="s">
        <v>664</v>
      </c>
    </row>
    <row r="511" spans="1:10" x14ac:dyDescent="0.25">
      <c r="A511" t="s">
        <v>23</v>
      </c>
      <c r="B511" s="1">
        <v>97514.7</v>
      </c>
      <c r="C511">
        <v>80790.929999999993</v>
      </c>
      <c r="D511" s="2">
        <v>43873</v>
      </c>
      <c r="E511" t="s">
        <v>51</v>
      </c>
      <c r="F511" t="s">
        <v>68</v>
      </c>
      <c r="G511" t="s">
        <v>26</v>
      </c>
      <c r="H511" t="s">
        <v>90</v>
      </c>
      <c r="I511" t="s">
        <v>28</v>
      </c>
      <c r="J511" t="s">
        <v>665</v>
      </c>
    </row>
    <row r="512" spans="1:10" x14ac:dyDescent="0.25">
      <c r="A512" t="s">
        <v>45</v>
      </c>
      <c r="B512" s="1">
        <v>87321.89</v>
      </c>
      <c r="C512">
        <v>69254.990000000005</v>
      </c>
      <c r="D512" s="2">
        <v>43482</v>
      </c>
      <c r="E512" t="s">
        <v>80</v>
      </c>
      <c r="F512" t="s">
        <v>68</v>
      </c>
      <c r="G512" t="s">
        <v>48</v>
      </c>
      <c r="H512" t="s">
        <v>49</v>
      </c>
      <c r="I512" t="s">
        <v>15</v>
      </c>
      <c r="J512" t="s">
        <v>666</v>
      </c>
    </row>
    <row r="513" spans="1:10" x14ac:dyDescent="0.25">
      <c r="A513" t="s">
        <v>10</v>
      </c>
      <c r="B513" s="1">
        <v>205059.8</v>
      </c>
      <c r="C513">
        <v>173029.46</v>
      </c>
      <c r="D513" s="2">
        <v>44005</v>
      </c>
      <c r="E513" t="s">
        <v>80</v>
      </c>
      <c r="F513" t="s">
        <v>380</v>
      </c>
      <c r="G513" t="s">
        <v>13</v>
      </c>
      <c r="H513" t="s">
        <v>118</v>
      </c>
      <c r="I513" t="s">
        <v>28</v>
      </c>
      <c r="J513" t="s">
        <v>667</v>
      </c>
    </row>
    <row r="514" spans="1:10" x14ac:dyDescent="0.25">
      <c r="A514" t="s">
        <v>23</v>
      </c>
      <c r="B514" s="1">
        <v>105833.52</v>
      </c>
      <c r="C514">
        <v>85312.4</v>
      </c>
      <c r="D514" s="2">
        <v>43544</v>
      </c>
      <c r="E514" t="s">
        <v>60</v>
      </c>
      <c r="F514" t="s">
        <v>182</v>
      </c>
      <c r="G514" t="s">
        <v>26</v>
      </c>
      <c r="H514" t="s">
        <v>76</v>
      </c>
      <c r="I514" t="s">
        <v>28</v>
      </c>
      <c r="J514" t="s">
        <v>668</v>
      </c>
    </row>
    <row r="515" spans="1:10" x14ac:dyDescent="0.25">
      <c r="A515" t="s">
        <v>53</v>
      </c>
      <c r="B515" s="1">
        <v>40043.11</v>
      </c>
      <c r="C515">
        <v>35109.800000000003</v>
      </c>
      <c r="D515" s="2">
        <v>44081</v>
      </c>
      <c r="E515" t="s">
        <v>51</v>
      </c>
      <c r="F515" t="s">
        <v>302</v>
      </c>
      <c r="G515" t="s">
        <v>55</v>
      </c>
      <c r="H515" t="s">
        <v>133</v>
      </c>
      <c r="I515" t="s">
        <v>28</v>
      </c>
      <c r="J515" t="s">
        <v>669</v>
      </c>
    </row>
    <row r="516" spans="1:10" x14ac:dyDescent="0.25">
      <c r="A516" t="s">
        <v>23</v>
      </c>
      <c r="B516" s="1">
        <v>57859.08</v>
      </c>
      <c r="C516">
        <v>47756.88</v>
      </c>
      <c r="D516" s="2">
        <v>43807</v>
      </c>
      <c r="E516" t="s">
        <v>11</v>
      </c>
      <c r="F516" t="s">
        <v>31</v>
      </c>
      <c r="G516" t="s">
        <v>26</v>
      </c>
      <c r="H516" t="s">
        <v>32</v>
      </c>
      <c r="I516" t="s">
        <v>15</v>
      </c>
      <c r="J516" t="s">
        <v>670</v>
      </c>
    </row>
    <row r="517" spans="1:10" x14ac:dyDescent="0.25">
      <c r="A517" t="s">
        <v>53</v>
      </c>
      <c r="B517" s="1">
        <v>132235.46</v>
      </c>
      <c r="C517">
        <v>114132.43</v>
      </c>
      <c r="D517" s="2">
        <v>43983</v>
      </c>
      <c r="E517" t="s">
        <v>11</v>
      </c>
      <c r="F517" t="s">
        <v>178</v>
      </c>
      <c r="G517" t="s">
        <v>55</v>
      </c>
      <c r="H517" t="s">
        <v>133</v>
      </c>
      <c r="I517" t="s">
        <v>28</v>
      </c>
      <c r="J517" t="s">
        <v>671</v>
      </c>
    </row>
    <row r="518" spans="1:10" x14ac:dyDescent="0.25">
      <c r="A518" t="s">
        <v>45</v>
      </c>
      <c r="B518" s="1">
        <v>33724.53</v>
      </c>
      <c r="C518">
        <v>26770.53</v>
      </c>
      <c r="D518" s="2">
        <v>43860</v>
      </c>
      <c r="E518" t="s">
        <v>30</v>
      </c>
      <c r="F518" t="s">
        <v>672</v>
      </c>
      <c r="G518" t="s">
        <v>48</v>
      </c>
      <c r="H518" t="s">
        <v>49</v>
      </c>
      <c r="I518" t="s">
        <v>15</v>
      </c>
      <c r="J518" t="s">
        <v>673</v>
      </c>
    </row>
    <row r="519" spans="1:10" x14ac:dyDescent="0.25">
      <c r="A519" t="s">
        <v>173</v>
      </c>
      <c r="B519" s="1">
        <v>36070.76</v>
      </c>
      <c r="C519">
        <v>29339.96</v>
      </c>
      <c r="D519" s="2">
        <v>43602</v>
      </c>
      <c r="E519" t="s">
        <v>139</v>
      </c>
      <c r="F519" t="s">
        <v>114</v>
      </c>
      <c r="G519" t="s">
        <v>175</v>
      </c>
      <c r="H519" t="s">
        <v>176</v>
      </c>
      <c r="I519" t="s">
        <v>15</v>
      </c>
      <c r="J519" t="s">
        <v>674</v>
      </c>
    </row>
    <row r="520" spans="1:10" x14ac:dyDescent="0.25">
      <c r="A520" t="s">
        <v>10</v>
      </c>
      <c r="B520" s="1">
        <v>39457.339999999997</v>
      </c>
      <c r="C520">
        <v>32793</v>
      </c>
      <c r="D520" s="2">
        <v>44124</v>
      </c>
      <c r="E520" t="s">
        <v>30</v>
      </c>
      <c r="F520" t="s">
        <v>282</v>
      </c>
      <c r="G520" t="s">
        <v>13</v>
      </c>
      <c r="H520" t="s">
        <v>69</v>
      </c>
      <c r="I520" t="s">
        <v>28</v>
      </c>
      <c r="J520" t="s">
        <v>675</v>
      </c>
    </row>
    <row r="521" spans="1:10" x14ac:dyDescent="0.25">
      <c r="A521" t="s">
        <v>138</v>
      </c>
      <c r="B521" s="1">
        <v>38536.92</v>
      </c>
      <c r="C521">
        <v>32001.06</v>
      </c>
      <c r="D521" s="2">
        <v>43979</v>
      </c>
      <c r="E521" t="s">
        <v>11</v>
      </c>
      <c r="F521" t="s">
        <v>150</v>
      </c>
      <c r="G521" t="s">
        <v>140</v>
      </c>
      <c r="H521" t="s">
        <v>141</v>
      </c>
      <c r="I521" t="s">
        <v>15</v>
      </c>
      <c r="J521" t="s">
        <v>676</v>
      </c>
    </row>
    <row r="522" spans="1:10" x14ac:dyDescent="0.25">
      <c r="A522" t="s">
        <v>53</v>
      </c>
      <c r="B522" s="1">
        <v>173829.96</v>
      </c>
      <c r="C522">
        <v>149824.04</v>
      </c>
      <c r="D522" s="2">
        <v>43731</v>
      </c>
      <c r="E522" t="s">
        <v>30</v>
      </c>
      <c r="F522" t="s">
        <v>121</v>
      </c>
      <c r="G522" t="s">
        <v>55</v>
      </c>
      <c r="H522" t="s">
        <v>72</v>
      </c>
      <c r="I522" t="s">
        <v>28</v>
      </c>
      <c r="J522" t="s">
        <v>677</v>
      </c>
    </row>
    <row r="523" spans="1:10" x14ac:dyDescent="0.25">
      <c r="A523" t="s">
        <v>23</v>
      </c>
      <c r="B523" s="1">
        <v>37521.39</v>
      </c>
      <c r="C523">
        <v>29701.93</v>
      </c>
      <c r="D523" s="2">
        <v>43848</v>
      </c>
      <c r="E523" t="s">
        <v>30</v>
      </c>
      <c r="F523" t="s">
        <v>114</v>
      </c>
      <c r="G523" t="s">
        <v>26</v>
      </c>
      <c r="H523" t="s">
        <v>90</v>
      </c>
      <c r="I523" t="s">
        <v>28</v>
      </c>
      <c r="J523" t="s">
        <v>678</v>
      </c>
    </row>
    <row r="524" spans="1:10" x14ac:dyDescent="0.25">
      <c r="A524" t="s">
        <v>23</v>
      </c>
      <c r="B524" s="1">
        <v>119409.43</v>
      </c>
      <c r="C524">
        <v>102656.29</v>
      </c>
      <c r="D524" s="2">
        <v>43641</v>
      </c>
      <c r="E524" t="s">
        <v>80</v>
      </c>
      <c r="F524" t="s">
        <v>150</v>
      </c>
      <c r="G524" t="s">
        <v>26</v>
      </c>
      <c r="H524" t="s">
        <v>90</v>
      </c>
      <c r="I524" t="s">
        <v>28</v>
      </c>
      <c r="J524" t="s">
        <v>679</v>
      </c>
    </row>
    <row r="525" spans="1:10" x14ac:dyDescent="0.25">
      <c r="A525" t="s">
        <v>346</v>
      </c>
      <c r="B525" s="1">
        <v>248261.86</v>
      </c>
      <c r="C525">
        <v>206727.65</v>
      </c>
      <c r="D525" s="2">
        <v>43821</v>
      </c>
      <c r="E525" t="s">
        <v>60</v>
      </c>
      <c r="F525" t="s">
        <v>446</v>
      </c>
      <c r="G525" t="s">
        <v>347</v>
      </c>
      <c r="H525" t="s">
        <v>348</v>
      </c>
      <c r="I525" t="s">
        <v>28</v>
      </c>
      <c r="J525" t="s">
        <v>680</v>
      </c>
    </row>
    <row r="526" spans="1:10" x14ac:dyDescent="0.25">
      <c r="A526" t="s">
        <v>45</v>
      </c>
      <c r="B526" s="1">
        <v>96669.92</v>
      </c>
      <c r="C526">
        <v>76475.570000000007</v>
      </c>
      <c r="D526" s="2">
        <v>44192</v>
      </c>
      <c r="E526" t="s">
        <v>51</v>
      </c>
      <c r="F526" t="s">
        <v>35</v>
      </c>
      <c r="G526" t="s">
        <v>48</v>
      </c>
      <c r="H526" t="s">
        <v>49</v>
      </c>
      <c r="I526" t="s">
        <v>15</v>
      </c>
      <c r="J526" t="s">
        <v>681</v>
      </c>
    </row>
    <row r="527" spans="1:10" x14ac:dyDescent="0.25">
      <c r="A527" t="s">
        <v>53</v>
      </c>
      <c r="B527" s="1">
        <v>264149.90999999997</v>
      </c>
      <c r="C527">
        <v>208757.67</v>
      </c>
      <c r="D527" s="2">
        <v>44185</v>
      </c>
      <c r="E527" t="s">
        <v>60</v>
      </c>
      <c r="F527" t="s">
        <v>132</v>
      </c>
      <c r="G527" t="s">
        <v>55</v>
      </c>
      <c r="H527" t="s">
        <v>144</v>
      </c>
      <c r="I527" t="s">
        <v>28</v>
      </c>
      <c r="J527" t="s">
        <v>682</v>
      </c>
    </row>
    <row r="528" spans="1:10" x14ac:dyDescent="0.25">
      <c r="A528" t="s">
        <v>23</v>
      </c>
      <c r="B528" s="1">
        <v>216863.04</v>
      </c>
      <c r="C528">
        <v>175355.45</v>
      </c>
      <c r="D528" s="2">
        <v>43670</v>
      </c>
      <c r="E528" t="s">
        <v>30</v>
      </c>
      <c r="F528" t="s">
        <v>210</v>
      </c>
      <c r="G528" t="s">
        <v>26</v>
      </c>
      <c r="H528" t="s">
        <v>76</v>
      </c>
      <c r="I528" t="s">
        <v>38</v>
      </c>
      <c r="J528" t="s">
        <v>683</v>
      </c>
    </row>
    <row r="529" spans="1:10" x14ac:dyDescent="0.25">
      <c r="A529" t="s">
        <v>53</v>
      </c>
      <c r="B529" s="1">
        <v>140943.88</v>
      </c>
      <c r="C529">
        <v>120633.87</v>
      </c>
      <c r="D529" s="2">
        <v>43979</v>
      </c>
      <c r="E529" t="s">
        <v>51</v>
      </c>
      <c r="F529" t="s">
        <v>97</v>
      </c>
      <c r="G529" t="s">
        <v>55</v>
      </c>
      <c r="H529" t="s">
        <v>144</v>
      </c>
      <c r="I529" t="s">
        <v>38</v>
      </c>
      <c r="J529" t="s">
        <v>684</v>
      </c>
    </row>
    <row r="530" spans="1:10" x14ac:dyDescent="0.25">
      <c r="A530" t="s">
        <v>106</v>
      </c>
      <c r="B530" s="1">
        <v>82525.61</v>
      </c>
      <c r="C530">
        <v>68446.740000000005</v>
      </c>
      <c r="D530" s="2">
        <v>43525</v>
      </c>
      <c r="E530" t="s">
        <v>24</v>
      </c>
      <c r="F530" t="s">
        <v>35</v>
      </c>
      <c r="G530" t="s">
        <v>107</v>
      </c>
      <c r="H530" t="s">
        <v>108</v>
      </c>
      <c r="I530" t="s">
        <v>28</v>
      </c>
      <c r="J530" t="s">
        <v>685</v>
      </c>
    </row>
    <row r="531" spans="1:10" x14ac:dyDescent="0.25">
      <c r="A531" t="s">
        <v>23</v>
      </c>
      <c r="B531" s="1">
        <v>19622.59</v>
      </c>
      <c r="C531">
        <v>17148.18</v>
      </c>
      <c r="D531" s="2">
        <v>43896</v>
      </c>
      <c r="E531" t="s">
        <v>24</v>
      </c>
      <c r="F531" t="s">
        <v>146</v>
      </c>
      <c r="G531" t="s">
        <v>26</v>
      </c>
      <c r="H531" t="s">
        <v>32</v>
      </c>
      <c r="I531" t="s">
        <v>28</v>
      </c>
      <c r="J531" t="s">
        <v>686</v>
      </c>
    </row>
    <row r="532" spans="1:10" x14ac:dyDescent="0.25">
      <c r="A532" t="s">
        <v>10</v>
      </c>
      <c r="B532" s="1">
        <v>263713.12</v>
      </c>
      <c r="C532">
        <v>216165.64</v>
      </c>
      <c r="D532" s="2">
        <v>44012</v>
      </c>
      <c r="E532" t="s">
        <v>80</v>
      </c>
      <c r="F532" t="s">
        <v>132</v>
      </c>
      <c r="G532" t="s">
        <v>13</v>
      </c>
      <c r="H532" t="s">
        <v>170</v>
      </c>
      <c r="I532" t="s">
        <v>28</v>
      </c>
      <c r="J532" t="s">
        <v>687</v>
      </c>
    </row>
    <row r="533" spans="1:10" x14ac:dyDescent="0.25">
      <c r="A533" t="s">
        <v>23</v>
      </c>
      <c r="B533" s="1">
        <v>284298.56</v>
      </c>
      <c r="C533">
        <v>229656.38</v>
      </c>
      <c r="D533" s="2">
        <v>44015</v>
      </c>
      <c r="E533" t="s">
        <v>24</v>
      </c>
      <c r="F533" t="s">
        <v>327</v>
      </c>
      <c r="G533" t="s">
        <v>26</v>
      </c>
      <c r="H533" t="s">
        <v>76</v>
      </c>
      <c r="I533" t="s">
        <v>28</v>
      </c>
      <c r="J533" t="s">
        <v>688</v>
      </c>
    </row>
    <row r="534" spans="1:10" x14ac:dyDescent="0.25">
      <c r="A534" t="s">
        <v>10</v>
      </c>
      <c r="B534" s="1">
        <v>98320.37</v>
      </c>
      <c r="C534">
        <v>77722.25</v>
      </c>
      <c r="D534" s="2">
        <v>44066</v>
      </c>
      <c r="E534" t="s">
        <v>18</v>
      </c>
      <c r="F534" t="s">
        <v>311</v>
      </c>
      <c r="G534" t="s">
        <v>13</v>
      </c>
      <c r="H534" t="s">
        <v>170</v>
      </c>
      <c r="I534" t="s">
        <v>38</v>
      </c>
      <c r="J534" t="s">
        <v>689</v>
      </c>
    </row>
    <row r="535" spans="1:10" x14ac:dyDescent="0.25">
      <c r="A535" t="s">
        <v>45</v>
      </c>
      <c r="B535" s="1">
        <v>128112.26</v>
      </c>
      <c r="C535">
        <v>104975.19</v>
      </c>
      <c r="D535" s="2">
        <v>44174</v>
      </c>
      <c r="E535" t="s">
        <v>11</v>
      </c>
      <c r="F535" t="s">
        <v>31</v>
      </c>
      <c r="G535" t="s">
        <v>48</v>
      </c>
      <c r="H535" t="s">
        <v>74</v>
      </c>
      <c r="I535" t="s">
        <v>28</v>
      </c>
      <c r="J535" t="s">
        <v>690</v>
      </c>
    </row>
    <row r="536" spans="1:10" x14ac:dyDescent="0.25">
      <c r="A536" t="s">
        <v>53</v>
      </c>
      <c r="B536" s="1">
        <v>110878.97</v>
      </c>
      <c r="C536">
        <v>90588.12</v>
      </c>
      <c r="D536" s="2">
        <v>43867</v>
      </c>
      <c r="E536" t="s">
        <v>51</v>
      </c>
      <c r="F536" t="s">
        <v>311</v>
      </c>
      <c r="G536" t="s">
        <v>55</v>
      </c>
      <c r="H536" t="s">
        <v>72</v>
      </c>
      <c r="I536" t="s">
        <v>28</v>
      </c>
      <c r="J536" t="s">
        <v>691</v>
      </c>
    </row>
    <row r="537" spans="1:10" x14ac:dyDescent="0.25">
      <c r="A537" t="s">
        <v>10</v>
      </c>
      <c r="B537" s="1">
        <v>66225.710000000006</v>
      </c>
      <c r="C537">
        <v>52437.52</v>
      </c>
      <c r="D537" s="2">
        <v>44079</v>
      </c>
      <c r="E537" t="s">
        <v>11</v>
      </c>
      <c r="F537" t="s">
        <v>25</v>
      </c>
      <c r="G537" t="s">
        <v>13</v>
      </c>
      <c r="H537" t="s">
        <v>82</v>
      </c>
      <c r="I537" t="s">
        <v>28</v>
      </c>
      <c r="J537" t="s">
        <v>692</v>
      </c>
    </row>
    <row r="538" spans="1:10" x14ac:dyDescent="0.25">
      <c r="A538" t="s">
        <v>45</v>
      </c>
      <c r="B538" s="1">
        <v>73727.91</v>
      </c>
      <c r="C538">
        <v>64047.44</v>
      </c>
      <c r="D538" s="2">
        <v>44115</v>
      </c>
      <c r="E538" t="s">
        <v>11</v>
      </c>
      <c r="F538" t="s">
        <v>302</v>
      </c>
      <c r="G538" t="s">
        <v>48</v>
      </c>
      <c r="H538" t="s">
        <v>49</v>
      </c>
      <c r="I538" t="s">
        <v>28</v>
      </c>
      <c r="J538" t="s">
        <v>693</v>
      </c>
    </row>
    <row r="539" spans="1:10" x14ac:dyDescent="0.25">
      <c r="A539" t="s">
        <v>346</v>
      </c>
      <c r="B539" s="1">
        <v>22164.959999999999</v>
      </c>
      <c r="C539">
        <v>17938.099999999999</v>
      </c>
      <c r="D539" s="2">
        <v>43538</v>
      </c>
      <c r="E539" t="s">
        <v>11</v>
      </c>
      <c r="F539" t="s">
        <v>606</v>
      </c>
      <c r="G539" t="s">
        <v>347</v>
      </c>
      <c r="H539" t="s">
        <v>348</v>
      </c>
      <c r="I539" t="s">
        <v>28</v>
      </c>
      <c r="J539" t="s">
        <v>694</v>
      </c>
    </row>
    <row r="540" spans="1:10" x14ac:dyDescent="0.25">
      <c r="A540" t="s">
        <v>53</v>
      </c>
      <c r="B540" s="1">
        <v>151855.04000000001</v>
      </c>
      <c r="C540">
        <v>129486.79</v>
      </c>
      <c r="D540" s="2">
        <v>43481</v>
      </c>
      <c r="E540" t="s">
        <v>80</v>
      </c>
      <c r="F540" t="s">
        <v>110</v>
      </c>
      <c r="G540" t="s">
        <v>55</v>
      </c>
      <c r="H540" t="s">
        <v>72</v>
      </c>
      <c r="I540" t="s">
        <v>28</v>
      </c>
      <c r="J540" t="s">
        <v>695</v>
      </c>
    </row>
    <row r="541" spans="1:10" x14ac:dyDescent="0.25">
      <c r="A541" t="s">
        <v>17</v>
      </c>
      <c r="B541" s="1">
        <v>106115.85</v>
      </c>
      <c r="C541">
        <v>93063.6</v>
      </c>
      <c r="D541" s="2">
        <v>43876</v>
      </c>
      <c r="E541" t="s">
        <v>80</v>
      </c>
      <c r="F541" t="s">
        <v>35</v>
      </c>
      <c r="G541" t="s">
        <v>20</v>
      </c>
      <c r="H541" t="s">
        <v>353</v>
      </c>
      <c r="I541" t="s">
        <v>38</v>
      </c>
      <c r="J541" t="s">
        <v>696</v>
      </c>
    </row>
    <row r="542" spans="1:10" x14ac:dyDescent="0.25">
      <c r="A542" t="s">
        <v>53</v>
      </c>
      <c r="B542" s="1">
        <v>89369</v>
      </c>
      <c r="C542">
        <v>72889.36</v>
      </c>
      <c r="D542" s="2">
        <v>43832</v>
      </c>
      <c r="E542" t="s">
        <v>60</v>
      </c>
      <c r="F542" t="s">
        <v>58</v>
      </c>
      <c r="G542" t="s">
        <v>55</v>
      </c>
      <c r="H542" t="s">
        <v>133</v>
      </c>
      <c r="I542" t="s">
        <v>28</v>
      </c>
      <c r="J542" t="s">
        <v>697</v>
      </c>
    </row>
    <row r="543" spans="1:10" x14ac:dyDescent="0.25">
      <c r="A543" t="s">
        <v>10</v>
      </c>
      <c r="B543" s="1">
        <v>106076.67</v>
      </c>
      <c r="C543">
        <v>84765.87</v>
      </c>
      <c r="D543" s="2">
        <v>43748</v>
      </c>
      <c r="E543" t="s">
        <v>80</v>
      </c>
      <c r="F543" t="s">
        <v>302</v>
      </c>
      <c r="G543" t="s">
        <v>13</v>
      </c>
      <c r="H543" t="s">
        <v>14</v>
      </c>
      <c r="I543" t="s">
        <v>15</v>
      </c>
      <c r="J543" t="s">
        <v>698</v>
      </c>
    </row>
    <row r="544" spans="1:10" x14ac:dyDescent="0.25">
      <c r="A544" t="s">
        <v>84</v>
      </c>
      <c r="B544" s="1">
        <v>23290.84</v>
      </c>
      <c r="C544">
        <v>19147.400000000001</v>
      </c>
      <c r="D544" s="2">
        <v>43521</v>
      </c>
      <c r="E544" t="s">
        <v>80</v>
      </c>
      <c r="F544" t="s">
        <v>311</v>
      </c>
      <c r="G544" t="s">
        <v>85</v>
      </c>
      <c r="H544" t="s">
        <v>86</v>
      </c>
      <c r="I544" t="s">
        <v>28</v>
      </c>
      <c r="J544" t="s">
        <v>699</v>
      </c>
    </row>
    <row r="545" spans="1:10" x14ac:dyDescent="0.25">
      <c r="A545" t="s">
        <v>53</v>
      </c>
      <c r="B545" s="1">
        <v>83340.039999999994</v>
      </c>
      <c r="C545">
        <v>73264.23</v>
      </c>
      <c r="D545" s="2">
        <v>43969</v>
      </c>
      <c r="E545" t="s">
        <v>24</v>
      </c>
      <c r="F545" t="s">
        <v>35</v>
      </c>
      <c r="G545" t="s">
        <v>55</v>
      </c>
      <c r="H545" t="s">
        <v>72</v>
      </c>
      <c r="I545" t="s">
        <v>28</v>
      </c>
      <c r="J545" t="s">
        <v>700</v>
      </c>
    </row>
    <row r="546" spans="1:10" x14ac:dyDescent="0.25">
      <c r="A546" t="s">
        <v>346</v>
      </c>
      <c r="B546" s="1">
        <v>39287.29</v>
      </c>
      <c r="C546">
        <v>31708.77</v>
      </c>
      <c r="D546" s="2">
        <v>43539</v>
      </c>
      <c r="E546" t="s">
        <v>18</v>
      </c>
      <c r="F546" t="s">
        <v>68</v>
      </c>
      <c r="G546" t="s">
        <v>347</v>
      </c>
      <c r="H546" t="s">
        <v>701</v>
      </c>
      <c r="I546" t="s">
        <v>28</v>
      </c>
      <c r="J546" t="s">
        <v>702</v>
      </c>
    </row>
    <row r="547" spans="1:10" x14ac:dyDescent="0.25">
      <c r="A547" t="s">
        <v>101</v>
      </c>
      <c r="B547" s="1">
        <v>124611.61</v>
      </c>
      <c r="C547">
        <v>107776.58</v>
      </c>
      <c r="D547" s="2">
        <v>44093</v>
      </c>
      <c r="E547" t="s">
        <v>80</v>
      </c>
      <c r="F547" t="s">
        <v>126</v>
      </c>
      <c r="G547" t="s">
        <v>103</v>
      </c>
      <c r="H547" t="s">
        <v>104</v>
      </c>
      <c r="I547" t="s">
        <v>28</v>
      </c>
      <c r="J547" t="s">
        <v>703</v>
      </c>
    </row>
    <row r="548" spans="1:10" x14ac:dyDescent="0.25">
      <c r="A548" t="s">
        <v>53</v>
      </c>
      <c r="B548" s="1">
        <v>147055.1</v>
      </c>
      <c r="C548">
        <v>126114.45</v>
      </c>
      <c r="D548" s="2">
        <v>43570</v>
      </c>
      <c r="E548" t="s">
        <v>18</v>
      </c>
      <c r="F548" t="s">
        <v>114</v>
      </c>
      <c r="G548" t="s">
        <v>55</v>
      </c>
      <c r="H548" t="s">
        <v>128</v>
      </c>
      <c r="I548" t="s">
        <v>28</v>
      </c>
      <c r="J548" t="s">
        <v>704</v>
      </c>
    </row>
    <row r="549" spans="1:10" x14ac:dyDescent="0.25">
      <c r="A549" t="s">
        <v>173</v>
      </c>
      <c r="B549" s="1">
        <v>130242.41</v>
      </c>
      <c r="C549">
        <v>113050.41</v>
      </c>
      <c r="D549" s="2">
        <v>44195</v>
      </c>
      <c r="E549" t="s">
        <v>60</v>
      </c>
      <c r="F549" t="s">
        <v>35</v>
      </c>
      <c r="G549" t="s">
        <v>175</v>
      </c>
      <c r="H549" t="s">
        <v>212</v>
      </c>
      <c r="I549" t="s">
        <v>28</v>
      </c>
      <c r="J549" t="s">
        <v>705</v>
      </c>
    </row>
    <row r="550" spans="1:10" x14ac:dyDescent="0.25">
      <c r="A550" t="s">
        <v>53</v>
      </c>
      <c r="B550" s="1">
        <v>34771.79</v>
      </c>
      <c r="C550">
        <v>28509.39</v>
      </c>
      <c r="D550" s="2">
        <v>43909</v>
      </c>
      <c r="E550" t="s">
        <v>60</v>
      </c>
      <c r="F550" t="s">
        <v>71</v>
      </c>
      <c r="G550" t="s">
        <v>55</v>
      </c>
      <c r="H550" t="s">
        <v>56</v>
      </c>
      <c r="I550" t="s">
        <v>28</v>
      </c>
      <c r="J550" t="s">
        <v>706</v>
      </c>
    </row>
    <row r="551" spans="1:10" x14ac:dyDescent="0.25">
      <c r="A551" t="s">
        <v>23</v>
      </c>
      <c r="B551" s="1">
        <v>201573.23</v>
      </c>
      <c r="C551">
        <v>166116.5</v>
      </c>
      <c r="D551" s="2">
        <v>43804</v>
      </c>
      <c r="E551" t="s">
        <v>18</v>
      </c>
      <c r="F551" t="s">
        <v>707</v>
      </c>
      <c r="G551" t="s">
        <v>26</v>
      </c>
      <c r="H551" t="s">
        <v>76</v>
      </c>
      <c r="I551" t="s">
        <v>15</v>
      </c>
      <c r="J551" t="s">
        <v>708</v>
      </c>
    </row>
    <row r="552" spans="1:10" x14ac:dyDescent="0.25">
      <c r="A552" t="s">
        <v>10</v>
      </c>
      <c r="B552" s="1">
        <v>71119.23</v>
      </c>
      <c r="C552">
        <v>59220.98</v>
      </c>
      <c r="D552" s="2">
        <v>43533</v>
      </c>
      <c r="E552" t="s">
        <v>11</v>
      </c>
      <c r="F552" t="s">
        <v>35</v>
      </c>
      <c r="G552" t="s">
        <v>13</v>
      </c>
      <c r="H552" t="s">
        <v>82</v>
      </c>
      <c r="I552" t="s">
        <v>28</v>
      </c>
      <c r="J552" t="s">
        <v>709</v>
      </c>
    </row>
    <row r="553" spans="1:10" x14ac:dyDescent="0.25">
      <c r="A553" t="s">
        <v>23</v>
      </c>
      <c r="B553" s="1">
        <v>115538.34</v>
      </c>
      <c r="C553">
        <v>99686.48</v>
      </c>
      <c r="D553" s="2">
        <v>43858</v>
      </c>
      <c r="E553" t="s">
        <v>18</v>
      </c>
      <c r="F553" t="s">
        <v>25</v>
      </c>
      <c r="G553" t="s">
        <v>26</v>
      </c>
      <c r="H553" t="s">
        <v>27</v>
      </c>
      <c r="I553" t="s">
        <v>28</v>
      </c>
      <c r="J553" t="s">
        <v>710</v>
      </c>
    </row>
    <row r="554" spans="1:10" x14ac:dyDescent="0.25">
      <c r="A554" t="s">
        <v>23</v>
      </c>
      <c r="B554" s="1">
        <v>144237.38</v>
      </c>
      <c r="C554">
        <v>116111.09</v>
      </c>
      <c r="D554" s="2">
        <v>44140</v>
      </c>
      <c r="E554" t="s">
        <v>11</v>
      </c>
      <c r="F554" t="s">
        <v>35</v>
      </c>
      <c r="G554" t="s">
        <v>26</v>
      </c>
      <c r="H554" t="s">
        <v>90</v>
      </c>
      <c r="I554" t="s">
        <v>28</v>
      </c>
      <c r="J554" t="s">
        <v>711</v>
      </c>
    </row>
    <row r="555" spans="1:10" x14ac:dyDescent="0.25">
      <c r="A555" t="s">
        <v>45</v>
      </c>
      <c r="B555" s="1">
        <v>91561.49</v>
      </c>
      <c r="C555">
        <v>78266.759999999995</v>
      </c>
      <c r="D555" s="2">
        <v>43549</v>
      </c>
      <c r="E555" t="s">
        <v>11</v>
      </c>
      <c r="F555" t="s">
        <v>97</v>
      </c>
      <c r="G555" t="s">
        <v>48</v>
      </c>
      <c r="H555" t="s">
        <v>49</v>
      </c>
      <c r="I555" t="s">
        <v>28</v>
      </c>
      <c r="J555" t="s">
        <v>712</v>
      </c>
    </row>
    <row r="556" spans="1:10" x14ac:dyDescent="0.25">
      <c r="A556" t="s">
        <v>10</v>
      </c>
      <c r="B556" s="1">
        <v>233858.47</v>
      </c>
      <c r="C556">
        <v>185543.31</v>
      </c>
      <c r="D556" s="2">
        <v>43984</v>
      </c>
      <c r="E556" t="s">
        <v>30</v>
      </c>
      <c r="F556" t="s">
        <v>89</v>
      </c>
      <c r="G556" t="s">
        <v>13</v>
      </c>
      <c r="H556" t="s">
        <v>82</v>
      </c>
      <c r="I556" t="s">
        <v>28</v>
      </c>
      <c r="J556" t="s">
        <v>713</v>
      </c>
    </row>
    <row r="557" spans="1:10" x14ac:dyDescent="0.25">
      <c r="A557" t="s">
        <v>45</v>
      </c>
      <c r="B557" s="1">
        <v>256388.08</v>
      </c>
      <c r="C557">
        <v>212058.58</v>
      </c>
      <c r="D557" s="2">
        <v>43804</v>
      </c>
      <c r="E557" t="s">
        <v>51</v>
      </c>
      <c r="F557" t="s">
        <v>291</v>
      </c>
      <c r="G557" t="s">
        <v>48</v>
      </c>
      <c r="H557" t="s">
        <v>74</v>
      </c>
      <c r="I557" t="s">
        <v>15</v>
      </c>
      <c r="J557" t="s">
        <v>714</v>
      </c>
    </row>
    <row r="558" spans="1:10" x14ac:dyDescent="0.25">
      <c r="A558" t="s">
        <v>45</v>
      </c>
      <c r="B558" s="1">
        <v>125099.05</v>
      </c>
      <c r="C558">
        <v>108473.39</v>
      </c>
      <c r="D558" s="2">
        <v>43895</v>
      </c>
      <c r="E558" t="s">
        <v>11</v>
      </c>
      <c r="F558" t="s">
        <v>121</v>
      </c>
      <c r="G558" t="s">
        <v>48</v>
      </c>
      <c r="H558" t="s">
        <v>66</v>
      </c>
      <c r="I558" t="s">
        <v>28</v>
      </c>
      <c r="J558" t="s">
        <v>715</v>
      </c>
    </row>
    <row r="559" spans="1:10" x14ac:dyDescent="0.25">
      <c r="A559" t="s">
        <v>45</v>
      </c>
      <c r="B559" s="1">
        <v>121246.32</v>
      </c>
      <c r="C559">
        <v>104005.09</v>
      </c>
      <c r="D559" s="2">
        <v>43981</v>
      </c>
      <c r="E559" t="s">
        <v>11</v>
      </c>
      <c r="F559" t="s">
        <v>160</v>
      </c>
      <c r="G559" t="s">
        <v>48</v>
      </c>
      <c r="H559" t="s">
        <v>49</v>
      </c>
      <c r="I559" t="s">
        <v>28</v>
      </c>
      <c r="J559" t="s">
        <v>716</v>
      </c>
    </row>
    <row r="560" spans="1:10" x14ac:dyDescent="0.25">
      <c r="A560" t="s">
        <v>17</v>
      </c>
      <c r="B560" s="1">
        <v>28538.19</v>
      </c>
      <c r="C560">
        <v>24970.92</v>
      </c>
      <c r="D560" s="2">
        <v>43612</v>
      </c>
      <c r="E560" t="s">
        <v>18</v>
      </c>
      <c r="F560" t="s">
        <v>19</v>
      </c>
      <c r="G560" t="s">
        <v>20</v>
      </c>
      <c r="H560" t="s">
        <v>21</v>
      </c>
      <c r="I560" t="s">
        <v>28</v>
      </c>
      <c r="J560" t="s">
        <v>717</v>
      </c>
    </row>
    <row r="561" spans="1:10" x14ac:dyDescent="0.25">
      <c r="A561" t="s">
        <v>53</v>
      </c>
      <c r="B561" s="1">
        <v>89930.18</v>
      </c>
      <c r="C561">
        <v>78005.440000000002</v>
      </c>
      <c r="D561" s="2">
        <v>43916</v>
      </c>
      <c r="E561" t="s">
        <v>139</v>
      </c>
      <c r="F561" t="s">
        <v>31</v>
      </c>
      <c r="G561" t="s">
        <v>55</v>
      </c>
      <c r="H561" t="s">
        <v>56</v>
      </c>
      <c r="I561" t="s">
        <v>28</v>
      </c>
      <c r="J561" t="s">
        <v>718</v>
      </c>
    </row>
    <row r="562" spans="1:10" x14ac:dyDescent="0.25">
      <c r="A562" t="s">
        <v>10</v>
      </c>
      <c r="B562" s="1">
        <v>170457.8</v>
      </c>
      <c r="C562">
        <v>142809.54</v>
      </c>
      <c r="D562" s="2">
        <v>44057</v>
      </c>
      <c r="E562" t="s">
        <v>46</v>
      </c>
      <c r="F562" t="s">
        <v>201</v>
      </c>
      <c r="G562" t="s">
        <v>13</v>
      </c>
      <c r="H562" t="s">
        <v>69</v>
      </c>
      <c r="I562" t="s">
        <v>28</v>
      </c>
      <c r="J562" t="s">
        <v>719</v>
      </c>
    </row>
    <row r="563" spans="1:10" x14ac:dyDescent="0.25">
      <c r="A563" t="s">
        <v>45</v>
      </c>
      <c r="B563" s="1">
        <v>166380.74</v>
      </c>
      <c r="C563">
        <v>146049.01</v>
      </c>
      <c r="D563" s="2">
        <v>44005</v>
      </c>
      <c r="E563" t="s">
        <v>60</v>
      </c>
      <c r="F563" t="s">
        <v>123</v>
      </c>
      <c r="G563" t="s">
        <v>48</v>
      </c>
      <c r="H563" t="s">
        <v>66</v>
      </c>
      <c r="I563" t="s">
        <v>28</v>
      </c>
      <c r="J563" t="s">
        <v>720</v>
      </c>
    </row>
    <row r="564" spans="1:10" x14ac:dyDescent="0.25">
      <c r="A564" t="s">
        <v>53</v>
      </c>
      <c r="B564" s="1">
        <v>116328.75</v>
      </c>
      <c r="C564">
        <v>93365.45</v>
      </c>
      <c r="D564" s="2">
        <v>43735</v>
      </c>
      <c r="E564" t="s">
        <v>51</v>
      </c>
      <c r="F564" t="s">
        <v>237</v>
      </c>
      <c r="G564" t="s">
        <v>55</v>
      </c>
      <c r="H564" t="s">
        <v>128</v>
      </c>
      <c r="I564" t="s">
        <v>28</v>
      </c>
      <c r="J564" t="s">
        <v>721</v>
      </c>
    </row>
    <row r="565" spans="1:10" x14ac:dyDescent="0.25">
      <c r="A565" t="s">
        <v>215</v>
      </c>
      <c r="B565" s="1">
        <v>230765.62</v>
      </c>
      <c r="C565">
        <v>195435.4</v>
      </c>
      <c r="D565" s="2">
        <v>43664</v>
      </c>
      <c r="E565" t="s">
        <v>30</v>
      </c>
      <c r="F565" t="s">
        <v>35</v>
      </c>
      <c r="G565" t="s">
        <v>216</v>
      </c>
      <c r="H565" t="s">
        <v>217</v>
      </c>
      <c r="I565" t="s">
        <v>28</v>
      </c>
      <c r="J565" t="s">
        <v>722</v>
      </c>
    </row>
    <row r="566" spans="1:10" x14ac:dyDescent="0.25">
      <c r="A566" t="s">
        <v>23</v>
      </c>
      <c r="B566" s="1">
        <v>152442.32</v>
      </c>
      <c r="C566">
        <v>122258.74</v>
      </c>
      <c r="D566" s="2">
        <v>44110</v>
      </c>
      <c r="E566" t="s">
        <v>80</v>
      </c>
      <c r="F566" t="s">
        <v>35</v>
      </c>
      <c r="G566" t="s">
        <v>26</v>
      </c>
      <c r="H566" t="s">
        <v>32</v>
      </c>
      <c r="I566" t="s">
        <v>28</v>
      </c>
      <c r="J566" t="s">
        <v>723</v>
      </c>
    </row>
    <row r="567" spans="1:10" x14ac:dyDescent="0.25">
      <c r="A567" t="s">
        <v>10</v>
      </c>
      <c r="B567" s="1">
        <v>325331.99</v>
      </c>
      <c r="C567">
        <v>264592.51</v>
      </c>
      <c r="D567" s="2">
        <v>43822</v>
      </c>
      <c r="E567" t="s">
        <v>18</v>
      </c>
      <c r="F567" t="s">
        <v>160</v>
      </c>
      <c r="G567" t="s">
        <v>13</v>
      </c>
      <c r="H567" t="s">
        <v>118</v>
      </c>
      <c r="I567" t="s">
        <v>15</v>
      </c>
      <c r="J567" t="s">
        <v>724</v>
      </c>
    </row>
    <row r="568" spans="1:10" x14ac:dyDescent="0.25">
      <c r="A568" t="s">
        <v>45</v>
      </c>
      <c r="B568" s="1">
        <v>56768.43</v>
      </c>
      <c r="C568">
        <v>47384.61</v>
      </c>
      <c r="D568" s="2">
        <v>43577</v>
      </c>
      <c r="E568" t="s">
        <v>18</v>
      </c>
      <c r="F568" t="s">
        <v>234</v>
      </c>
      <c r="G568" t="s">
        <v>48</v>
      </c>
      <c r="H568" t="s">
        <v>49</v>
      </c>
      <c r="I568" t="s">
        <v>28</v>
      </c>
      <c r="J568" t="s">
        <v>725</v>
      </c>
    </row>
    <row r="569" spans="1:10" x14ac:dyDescent="0.25">
      <c r="A569" t="s">
        <v>23</v>
      </c>
      <c r="B569" s="1">
        <v>147895.45000000001</v>
      </c>
      <c r="C569">
        <v>120416.48</v>
      </c>
      <c r="D569" s="2">
        <v>43647</v>
      </c>
      <c r="E569" t="s">
        <v>24</v>
      </c>
      <c r="F569" t="s">
        <v>64</v>
      </c>
      <c r="G569" t="s">
        <v>26</v>
      </c>
      <c r="H569" t="s">
        <v>90</v>
      </c>
      <c r="I569" t="s">
        <v>15</v>
      </c>
      <c r="J569" t="s">
        <v>726</v>
      </c>
    </row>
    <row r="570" spans="1:10" x14ac:dyDescent="0.25">
      <c r="A570" t="s">
        <v>173</v>
      </c>
      <c r="B570" s="1">
        <v>57107.26</v>
      </c>
      <c r="C570">
        <v>48232.79</v>
      </c>
      <c r="D570" s="2">
        <v>43874</v>
      </c>
      <c r="E570" t="s">
        <v>62</v>
      </c>
      <c r="F570" t="s">
        <v>160</v>
      </c>
      <c r="G570" t="s">
        <v>175</v>
      </c>
      <c r="H570" t="s">
        <v>176</v>
      </c>
      <c r="I570" t="s">
        <v>15</v>
      </c>
      <c r="J570" t="s">
        <v>727</v>
      </c>
    </row>
    <row r="571" spans="1:10" x14ac:dyDescent="0.25">
      <c r="A571" t="s">
        <v>53</v>
      </c>
      <c r="B571" s="1">
        <v>85337.78</v>
      </c>
      <c r="C571">
        <v>72306.7</v>
      </c>
      <c r="D571" s="2">
        <v>43865</v>
      </c>
      <c r="E571" t="s">
        <v>51</v>
      </c>
      <c r="F571" t="s">
        <v>203</v>
      </c>
      <c r="G571" t="s">
        <v>55</v>
      </c>
      <c r="H571" t="s">
        <v>128</v>
      </c>
      <c r="I571" t="s">
        <v>15</v>
      </c>
      <c r="J571" t="s">
        <v>728</v>
      </c>
    </row>
    <row r="572" spans="1:10" x14ac:dyDescent="0.25">
      <c r="A572" t="s">
        <v>53</v>
      </c>
      <c r="B572" s="1">
        <v>162199.24</v>
      </c>
      <c r="C572">
        <v>130878.57</v>
      </c>
      <c r="D572" s="2">
        <v>44004</v>
      </c>
      <c r="E572" t="s">
        <v>51</v>
      </c>
      <c r="F572" t="s">
        <v>188</v>
      </c>
      <c r="G572" t="s">
        <v>55</v>
      </c>
      <c r="H572" t="s">
        <v>144</v>
      </c>
      <c r="I572" t="s">
        <v>28</v>
      </c>
      <c r="J572" t="s">
        <v>729</v>
      </c>
    </row>
    <row r="573" spans="1:10" x14ac:dyDescent="0.25">
      <c r="A573" t="s">
        <v>10</v>
      </c>
      <c r="B573" s="1">
        <v>128208.95</v>
      </c>
      <c r="C573">
        <v>111746.92</v>
      </c>
      <c r="D573" s="2">
        <v>44043</v>
      </c>
      <c r="E573" t="s">
        <v>51</v>
      </c>
      <c r="F573" t="s">
        <v>121</v>
      </c>
      <c r="G573" t="s">
        <v>13</v>
      </c>
      <c r="H573" t="s">
        <v>82</v>
      </c>
      <c r="I573" t="s">
        <v>28</v>
      </c>
      <c r="J573" t="s">
        <v>730</v>
      </c>
    </row>
    <row r="574" spans="1:10" x14ac:dyDescent="0.25">
      <c r="A574" t="s">
        <v>215</v>
      </c>
      <c r="B574" s="1">
        <v>86669.23</v>
      </c>
      <c r="C574">
        <v>71580.12</v>
      </c>
      <c r="D574" s="2">
        <v>43908</v>
      </c>
      <c r="E574" t="s">
        <v>51</v>
      </c>
      <c r="F574" t="s">
        <v>31</v>
      </c>
      <c r="G574" t="s">
        <v>216</v>
      </c>
      <c r="H574" t="s">
        <v>217</v>
      </c>
      <c r="I574" t="s">
        <v>28</v>
      </c>
      <c r="J574" t="s">
        <v>731</v>
      </c>
    </row>
    <row r="575" spans="1:10" x14ac:dyDescent="0.25">
      <c r="A575" t="s">
        <v>173</v>
      </c>
      <c r="B575" s="1">
        <v>117288.29</v>
      </c>
      <c r="C575">
        <v>94546.09</v>
      </c>
      <c r="D575" s="2">
        <v>43650</v>
      </c>
      <c r="E575" t="s">
        <v>24</v>
      </c>
      <c r="F575" t="s">
        <v>35</v>
      </c>
      <c r="G575" t="s">
        <v>175</v>
      </c>
      <c r="H575" t="s">
        <v>212</v>
      </c>
      <c r="I575" t="s">
        <v>28</v>
      </c>
      <c r="J575" t="s">
        <v>732</v>
      </c>
    </row>
    <row r="576" spans="1:10" x14ac:dyDescent="0.25">
      <c r="A576" t="s">
        <v>53</v>
      </c>
      <c r="B576" s="1">
        <v>57292.84</v>
      </c>
      <c r="C576">
        <v>45908.75</v>
      </c>
      <c r="D576" s="2">
        <v>43741</v>
      </c>
      <c r="E576" t="s">
        <v>80</v>
      </c>
      <c r="F576" t="s">
        <v>178</v>
      </c>
      <c r="G576" t="s">
        <v>55</v>
      </c>
      <c r="H576" t="s">
        <v>133</v>
      </c>
      <c r="I576" t="s">
        <v>28</v>
      </c>
      <c r="J576" t="s">
        <v>733</v>
      </c>
    </row>
    <row r="577" spans="1:10" x14ac:dyDescent="0.25">
      <c r="A577" t="s">
        <v>23</v>
      </c>
      <c r="B577" s="1">
        <v>110441.89</v>
      </c>
      <c r="C577">
        <v>90970.98</v>
      </c>
      <c r="D577" s="2">
        <v>43834</v>
      </c>
      <c r="E577" t="s">
        <v>30</v>
      </c>
      <c r="F577" t="s">
        <v>734</v>
      </c>
      <c r="G577" t="s">
        <v>26</v>
      </c>
      <c r="H577" t="s">
        <v>90</v>
      </c>
      <c r="I577" t="s">
        <v>38</v>
      </c>
      <c r="J577" t="s">
        <v>735</v>
      </c>
    </row>
    <row r="578" spans="1:10" x14ac:dyDescent="0.25">
      <c r="A578" t="s">
        <v>45</v>
      </c>
      <c r="B578" s="1">
        <v>53801.73</v>
      </c>
      <c r="C578">
        <v>46785.98</v>
      </c>
      <c r="D578" s="2">
        <v>43736</v>
      </c>
      <c r="E578" t="s">
        <v>18</v>
      </c>
      <c r="F578" t="s">
        <v>35</v>
      </c>
      <c r="G578" t="s">
        <v>48</v>
      </c>
      <c r="H578" t="s">
        <v>74</v>
      </c>
      <c r="I578" t="s">
        <v>28</v>
      </c>
      <c r="J578" t="s">
        <v>736</v>
      </c>
    </row>
    <row r="579" spans="1:10" x14ac:dyDescent="0.25">
      <c r="A579" t="s">
        <v>45</v>
      </c>
      <c r="B579" s="1">
        <v>308763.51</v>
      </c>
      <c r="C579">
        <v>245714</v>
      </c>
      <c r="D579" s="2">
        <v>44169</v>
      </c>
      <c r="E579" t="s">
        <v>62</v>
      </c>
      <c r="F579" t="s">
        <v>234</v>
      </c>
      <c r="G579" t="s">
        <v>48</v>
      </c>
      <c r="H579" t="s">
        <v>49</v>
      </c>
      <c r="I579" t="s">
        <v>28</v>
      </c>
      <c r="J579" t="s">
        <v>737</v>
      </c>
    </row>
    <row r="580" spans="1:10" x14ac:dyDescent="0.25">
      <c r="A580" t="s">
        <v>23</v>
      </c>
      <c r="B580" s="1">
        <v>87409.49</v>
      </c>
      <c r="C580">
        <v>70548.2</v>
      </c>
      <c r="D580" s="2">
        <v>44164</v>
      </c>
      <c r="E580" t="s">
        <v>18</v>
      </c>
      <c r="F580" t="s">
        <v>31</v>
      </c>
      <c r="G580" t="s">
        <v>26</v>
      </c>
      <c r="H580" t="s">
        <v>219</v>
      </c>
      <c r="I580" t="s">
        <v>28</v>
      </c>
      <c r="J580" t="s">
        <v>738</v>
      </c>
    </row>
    <row r="581" spans="1:10" x14ac:dyDescent="0.25">
      <c r="A581" t="s">
        <v>346</v>
      </c>
      <c r="B581" s="1">
        <v>31936.44</v>
      </c>
      <c r="C581">
        <v>27708.06</v>
      </c>
      <c r="D581" s="2">
        <v>44091</v>
      </c>
      <c r="E581" t="s">
        <v>11</v>
      </c>
      <c r="F581" t="s">
        <v>434</v>
      </c>
      <c r="G581" t="s">
        <v>347</v>
      </c>
      <c r="H581" t="s">
        <v>701</v>
      </c>
      <c r="I581" t="s">
        <v>28</v>
      </c>
      <c r="J581" t="s">
        <v>739</v>
      </c>
    </row>
    <row r="582" spans="1:10" x14ac:dyDescent="0.25">
      <c r="A582" t="s">
        <v>10</v>
      </c>
      <c r="B582" s="1">
        <v>45463.65</v>
      </c>
      <c r="C582">
        <v>36907.39</v>
      </c>
      <c r="D582" s="2">
        <v>44072</v>
      </c>
      <c r="E582" t="s">
        <v>24</v>
      </c>
      <c r="F582" t="s">
        <v>707</v>
      </c>
      <c r="G582" t="s">
        <v>13</v>
      </c>
      <c r="H582" t="s">
        <v>82</v>
      </c>
      <c r="I582" t="s">
        <v>28</v>
      </c>
      <c r="J582" t="s">
        <v>740</v>
      </c>
    </row>
    <row r="583" spans="1:10" x14ac:dyDescent="0.25">
      <c r="A583" t="s">
        <v>10</v>
      </c>
      <c r="B583" s="1">
        <v>112909.4</v>
      </c>
      <c r="C583">
        <v>93940.62</v>
      </c>
      <c r="D583" s="2">
        <v>43580</v>
      </c>
      <c r="E583" t="s">
        <v>24</v>
      </c>
      <c r="F583" t="s">
        <v>35</v>
      </c>
      <c r="G583" t="s">
        <v>13</v>
      </c>
      <c r="H583" t="s">
        <v>14</v>
      </c>
      <c r="I583" t="s">
        <v>28</v>
      </c>
      <c r="J583" t="s">
        <v>741</v>
      </c>
    </row>
    <row r="584" spans="1:10" x14ac:dyDescent="0.25">
      <c r="A584" t="s">
        <v>23</v>
      </c>
      <c r="B584" s="1">
        <v>126346.44</v>
      </c>
      <c r="C584">
        <v>103970.49</v>
      </c>
      <c r="D584" s="2">
        <v>43563</v>
      </c>
      <c r="E584" t="s">
        <v>60</v>
      </c>
      <c r="F584" t="s">
        <v>35</v>
      </c>
      <c r="G584" t="s">
        <v>26</v>
      </c>
      <c r="H584" t="s">
        <v>76</v>
      </c>
      <c r="I584" t="s">
        <v>28</v>
      </c>
      <c r="J584" t="s">
        <v>742</v>
      </c>
    </row>
    <row r="585" spans="1:10" x14ac:dyDescent="0.25">
      <c r="A585" t="s">
        <v>23</v>
      </c>
      <c r="B585" s="1">
        <v>109713.84</v>
      </c>
      <c r="C585">
        <v>95769.21</v>
      </c>
      <c r="D585" s="2">
        <v>43958</v>
      </c>
      <c r="E585" t="s">
        <v>60</v>
      </c>
      <c r="F585" t="s">
        <v>180</v>
      </c>
      <c r="G585" t="s">
        <v>26</v>
      </c>
      <c r="H585" t="s">
        <v>32</v>
      </c>
      <c r="I585" t="s">
        <v>28</v>
      </c>
      <c r="J585" t="s">
        <v>743</v>
      </c>
    </row>
    <row r="586" spans="1:10" x14ac:dyDescent="0.25">
      <c r="A586" t="s">
        <v>84</v>
      </c>
      <c r="B586" s="1">
        <v>200472.46</v>
      </c>
      <c r="C586">
        <v>170181.07</v>
      </c>
      <c r="D586" s="2">
        <v>44001</v>
      </c>
      <c r="E586" t="s">
        <v>80</v>
      </c>
      <c r="F586" t="s">
        <v>126</v>
      </c>
      <c r="G586" t="s">
        <v>85</v>
      </c>
      <c r="H586" t="s">
        <v>86</v>
      </c>
      <c r="I586" t="s">
        <v>28</v>
      </c>
      <c r="J586" t="s">
        <v>744</v>
      </c>
    </row>
    <row r="587" spans="1:10" x14ac:dyDescent="0.25">
      <c r="A587" t="s">
        <v>53</v>
      </c>
      <c r="B587" s="1">
        <v>35214.85</v>
      </c>
      <c r="C587">
        <v>27985.24</v>
      </c>
      <c r="D587" s="2">
        <v>43537</v>
      </c>
      <c r="E587" t="s">
        <v>80</v>
      </c>
      <c r="F587" t="s">
        <v>265</v>
      </c>
      <c r="G587" t="s">
        <v>55</v>
      </c>
      <c r="H587" t="s">
        <v>133</v>
      </c>
      <c r="I587" t="s">
        <v>28</v>
      </c>
      <c r="J587" t="s">
        <v>745</v>
      </c>
    </row>
    <row r="588" spans="1:10" x14ac:dyDescent="0.25">
      <c r="A588" t="s">
        <v>173</v>
      </c>
      <c r="B588" s="1">
        <v>161630.62</v>
      </c>
      <c r="C588">
        <v>133991.78</v>
      </c>
      <c r="D588" s="2">
        <v>43559</v>
      </c>
      <c r="E588" t="s">
        <v>51</v>
      </c>
      <c r="F588" t="s">
        <v>114</v>
      </c>
      <c r="G588" t="s">
        <v>175</v>
      </c>
      <c r="H588" t="s">
        <v>212</v>
      </c>
      <c r="I588" t="s">
        <v>28</v>
      </c>
      <c r="J588" t="s">
        <v>746</v>
      </c>
    </row>
    <row r="589" spans="1:10" x14ac:dyDescent="0.25">
      <c r="A589" t="s">
        <v>23</v>
      </c>
      <c r="B589" s="1">
        <v>179184.12</v>
      </c>
      <c r="C589">
        <v>142433.46</v>
      </c>
      <c r="D589" s="2">
        <v>43959</v>
      </c>
      <c r="E589" t="s">
        <v>51</v>
      </c>
      <c r="F589" t="s">
        <v>135</v>
      </c>
      <c r="G589" t="s">
        <v>26</v>
      </c>
      <c r="H589" t="s">
        <v>219</v>
      </c>
      <c r="I589" t="s">
        <v>28</v>
      </c>
      <c r="J589" t="s">
        <v>747</v>
      </c>
    </row>
    <row r="590" spans="1:10" x14ac:dyDescent="0.25">
      <c r="A590" t="s">
        <v>10</v>
      </c>
      <c r="B590" s="1">
        <v>80867.179999999993</v>
      </c>
      <c r="C590">
        <v>63982.11</v>
      </c>
      <c r="D590" s="2">
        <v>43508</v>
      </c>
      <c r="E590" t="s">
        <v>11</v>
      </c>
      <c r="F590" t="s">
        <v>121</v>
      </c>
      <c r="G590" t="s">
        <v>13</v>
      </c>
      <c r="H590" t="s">
        <v>69</v>
      </c>
      <c r="I590" t="s">
        <v>28</v>
      </c>
      <c r="J590" t="s">
        <v>748</v>
      </c>
    </row>
    <row r="591" spans="1:10" x14ac:dyDescent="0.25">
      <c r="A591" t="s">
        <v>53</v>
      </c>
      <c r="B591" s="1">
        <v>96613.06</v>
      </c>
      <c r="C591">
        <v>79242.03</v>
      </c>
      <c r="D591" s="2">
        <v>43579</v>
      </c>
      <c r="E591" t="s">
        <v>11</v>
      </c>
      <c r="F591" t="s">
        <v>35</v>
      </c>
      <c r="G591" t="s">
        <v>55</v>
      </c>
      <c r="H591" t="s">
        <v>133</v>
      </c>
      <c r="I591" t="s">
        <v>28</v>
      </c>
      <c r="J591" t="s">
        <v>749</v>
      </c>
    </row>
    <row r="592" spans="1:10" x14ac:dyDescent="0.25">
      <c r="A592" t="s">
        <v>23</v>
      </c>
      <c r="B592" s="1">
        <v>89600.45</v>
      </c>
      <c r="C592">
        <v>70811.240000000005</v>
      </c>
      <c r="D592" s="2">
        <v>43851</v>
      </c>
      <c r="E592" t="s">
        <v>18</v>
      </c>
      <c r="F592" t="s">
        <v>64</v>
      </c>
      <c r="G592" t="s">
        <v>26</v>
      </c>
      <c r="H592" t="s">
        <v>27</v>
      </c>
      <c r="I592" t="s">
        <v>28</v>
      </c>
      <c r="J592" t="s">
        <v>750</v>
      </c>
    </row>
    <row r="593" spans="1:10" x14ac:dyDescent="0.25">
      <c r="A593" t="s">
        <v>23</v>
      </c>
      <c r="B593" s="1">
        <v>41921.61</v>
      </c>
      <c r="C593">
        <v>34773.980000000003</v>
      </c>
      <c r="D593" s="2">
        <v>44163</v>
      </c>
      <c r="E593" t="s">
        <v>18</v>
      </c>
      <c r="F593" t="s">
        <v>54</v>
      </c>
      <c r="G593" t="s">
        <v>26</v>
      </c>
      <c r="H593" t="s">
        <v>90</v>
      </c>
      <c r="I593" t="s">
        <v>38</v>
      </c>
      <c r="J593" t="s">
        <v>751</v>
      </c>
    </row>
    <row r="594" spans="1:10" x14ac:dyDescent="0.25">
      <c r="A594" t="s">
        <v>45</v>
      </c>
      <c r="B594" s="1">
        <v>151012.12</v>
      </c>
      <c r="C594">
        <v>126080.02</v>
      </c>
      <c r="D594" s="2">
        <v>44068</v>
      </c>
      <c r="E594" t="s">
        <v>46</v>
      </c>
      <c r="F594" t="s">
        <v>35</v>
      </c>
      <c r="G594" t="s">
        <v>48</v>
      </c>
      <c r="H594" t="s">
        <v>74</v>
      </c>
      <c r="I594" t="s">
        <v>28</v>
      </c>
      <c r="J594" t="s">
        <v>752</v>
      </c>
    </row>
    <row r="595" spans="1:10" x14ac:dyDescent="0.25">
      <c r="A595" t="s">
        <v>23</v>
      </c>
      <c r="B595" s="1">
        <v>112481.44</v>
      </c>
      <c r="C595">
        <v>96700.29</v>
      </c>
      <c r="D595" s="2">
        <v>43932</v>
      </c>
      <c r="E595" t="s">
        <v>80</v>
      </c>
      <c r="F595" t="s">
        <v>210</v>
      </c>
      <c r="G595" t="s">
        <v>26</v>
      </c>
      <c r="H595" t="s">
        <v>90</v>
      </c>
      <c r="I595" t="s">
        <v>15</v>
      </c>
      <c r="J595" t="s">
        <v>753</v>
      </c>
    </row>
    <row r="596" spans="1:10" x14ac:dyDescent="0.25">
      <c r="A596" t="s">
        <v>53</v>
      </c>
      <c r="B596" s="1">
        <v>90228.68</v>
      </c>
      <c r="C596">
        <v>77966.600000000006</v>
      </c>
      <c r="D596" s="2">
        <v>43492</v>
      </c>
      <c r="E596" t="s">
        <v>80</v>
      </c>
      <c r="F596" t="s">
        <v>126</v>
      </c>
      <c r="G596" t="s">
        <v>55</v>
      </c>
      <c r="H596" t="s">
        <v>144</v>
      </c>
      <c r="I596" t="s">
        <v>28</v>
      </c>
      <c r="J596" t="s">
        <v>754</v>
      </c>
    </row>
    <row r="597" spans="1:10" x14ac:dyDescent="0.25">
      <c r="A597" t="s">
        <v>45</v>
      </c>
      <c r="B597" s="1">
        <v>141552.4</v>
      </c>
      <c r="C597">
        <v>122994.88</v>
      </c>
      <c r="D597" s="2">
        <v>43725</v>
      </c>
      <c r="E597" t="s">
        <v>30</v>
      </c>
      <c r="F597" t="s">
        <v>210</v>
      </c>
      <c r="G597" t="s">
        <v>48</v>
      </c>
      <c r="H597" t="s">
        <v>49</v>
      </c>
      <c r="I597" t="s">
        <v>28</v>
      </c>
      <c r="J597" t="s">
        <v>755</v>
      </c>
    </row>
    <row r="598" spans="1:10" x14ac:dyDescent="0.25">
      <c r="A598" t="s">
        <v>45</v>
      </c>
      <c r="B598" s="1">
        <v>29783.39</v>
      </c>
      <c r="C598">
        <v>23719.49</v>
      </c>
      <c r="D598" s="2">
        <v>43796</v>
      </c>
      <c r="E598" t="s">
        <v>11</v>
      </c>
      <c r="F598" t="s">
        <v>132</v>
      </c>
      <c r="G598" t="s">
        <v>48</v>
      </c>
      <c r="H598" t="s">
        <v>49</v>
      </c>
      <c r="I598" t="s">
        <v>28</v>
      </c>
      <c r="J598" t="s">
        <v>756</v>
      </c>
    </row>
    <row r="599" spans="1:10" x14ac:dyDescent="0.25">
      <c r="A599" t="s">
        <v>10</v>
      </c>
      <c r="B599" s="1">
        <v>149938.71</v>
      </c>
      <c r="C599">
        <v>131541.23000000001</v>
      </c>
      <c r="D599" s="2">
        <v>44189</v>
      </c>
      <c r="E599" t="s">
        <v>11</v>
      </c>
      <c r="F599" t="s">
        <v>155</v>
      </c>
      <c r="G599" t="s">
        <v>13</v>
      </c>
      <c r="H599" t="s">
        <v>14</v>
      </c>
      <c r="I599" t="s">
        <v>28</v>
      </c>
      <c r="J599" t="s">
        <v>757</v>
      </c>
    </row>
    <row r="600" spans="1:10" x14ac:dyDescent="0.25">
      <c r="A600" t="s">
        <v>10</v>
      </c>
      <c r="B600" s="1">
        <v>103839.74</v>
      </c>
      <c r="C600">
        <v>90683.24</v>
      </c>
      <c r="D600" s="2">
        <v>44066</v>
      </c>
      <c r="E600" t="s">
        <v>11</v>
      </c>
      <c r="F600" t="s">
        <v>43</v>
      </c>
      <c r="G600" t="s">
        <v>13</v>
      </c>
      <c r="H600" t="s">
        <v>170</v>
      </c>
      <c r="I600" t="s">
        <v>28</v>
      </c>
      <c r="J600" t="s">
        <v>758</v>
      </c>
    </row>
    <row r="601" spans="1:10" x14ac:dyDescent="0.25">
      <c r="A601" t="s">
        <v>23</v>
      </c>
      <c r="B601" s="1">
        <v>30550.32</v>
      </c>
      <c r="C601">
        <v>25457.58</v>
      </c>
      <c r="D601" s="2">
        <v>43616</v>
      </c>
      <c r="E601" t="s">
        <v>30</v>
      </c>
      <c r="F601" t="s">
        <v>40</v>
      </c>
      <c r="G601" t="s">
        <v>26</v>
      </c>
      <c r="H601" t="s">
        <v>27</v>
      </c>
      <c r="I601" t="s">
        <v>15</v>
      </c>
      <c r="J601" t="s">
        <v>759</v>
      </c>
    </row>
    <row r="602" spans="1:10" x14ac:dyDescent="0.25">
      <c r="A602" t="s">
        <v>10</v>
      </c>
      <c r="B602" s="1">
        <v>24787.65</v>
      </c>
      <c r="C602">
        <v>20454.77</v>
      </c>
      <c r="D602" s="2">
        <v>43508</v>
      </c>
      <c r="E602" t="s">
        <v>139</v>
      </c>
      <c r="F602" t="s">
        <v>265</v>
      </c>
      <c r="G602" t="s">
        <v>13</v>
      </c>
      <c r="H602" t="s">
        <v>118</v>
      </c>
      <c r="I602" t="s">
        <v>28</v>
      </c>
      <c r="J602" t="s">
        <v>760</v>
      </c>
    </row>
    <row r="603" spans="1:10" x14ac:dyDescent="0.25">
      <c r="A603" t="s">
        <v>53</v>
      </c>
      <c r="B603" s="1">
        <v>122468.33</v>
      </c>
      <c r="C603">
        <v>103032.61</v>
      </c>
      <c r="D603" s="2">
        <v>44082</v>
      </c>
      <c r="E603" t="s">
        <v>80</v>
      </c>
      <c r="F603" t="s">
        <v>35</v>
      </c>
      <c r="G603" t="s">
        <v>55</v>
      </c>
      <c r="H603" t="s">
        <v>144</v>
      </c>
      <c r="I603" t="s">
        <v>15</v>
      </c>
      <c r="J603" t="s">
        <v>761</v>
      </c>
    </row>
    <row r="604" spans="1:10" x14ac:dyDescent="0.25">
      <c r="A604" t="s">
        <v>10</v>
      </c>
      <c r="B604" s="1">
        <v>137026.71</v>
      </c>
      <c r="C604">
        <v>120117.61</v>
      </c>
      <c r="D604" s="2">
        <v>44069</v>
      </c>
      <c r="E604" t="s">
        <v>60</v>
      </c>
      <c r="F604" t="s">
        <v>148</v>
      </c>
      <c r="G604" t="s">
        <v>13</v>
      </c>
      <c r="H604" t="s">
        <v>69</v>
      </c>
      <c r="I604" t="s">
        <v>28</v>
      </c>
      <c r="J604" t="s">
        <v>762</v>
      </c>
    </row>
    <row r="605" spans="1:10" x14ac:dyDescent="0.25">
      <c r="A605" t="s">
        <v>17</v>
      </c>
      <c r="B605" s="1">
        <v>132246.48000000001</v>
      </c>
      <c r="C605">
        <v>106841.93</v>
      </c>
      <c r="D605" s="2">
        <v>43467</v>
      </c>
      <c r="E605" t="s">
        <v>18</v>
      </c>
      <c r="F605" t="s">
        <v>114</v>
      </c>
      <c r="G605" t="s">
        <v>20</v>
      </c>
      <c r="H605" t="s">
        <v>353</v>
      </c>
      <c r="I605" t="s">
        <v>28</v>
      </c>
      <c r="J605" t="s">
        <v>763</v>
      </c>
    </row>
    <row r="606" spans="1:10" x14ac:dyDescent="0.25">
      <c r="A606" t="s">
        <v>23</v>
      </c>
      <c r="B606" s="1">
        <v>111551.96</v>
      </c>
      <c r="C606">
        <v>89420.05</v>
      </c>
      <c r="D606" s="2">
        <v>43836</v>
      </c>
      <c r="E606" t="s">
        <v>24</v>
      </c>
      <c r="F606" t="s">
        <v>153</v>
      </c>
      <c r="G606" t="s">
        <v>26</v>
      </c>
      <c r="H606" t="s">
        <v>32</v>
      </c>
      <c r="I606" t="s">
        <v>28</v>
      </c>
      <c r="J606" t="s">
        <v>764</v>
      </c>
    </row>
    <row r="607" spans="1:10" x14ac:dyDescent="0.25">
      <c r="A607" t="s">
        <v>53</v>
      </c>
      <c r="B607" s="1">
        <v>127946.33</v>
      </c>
      <c r="C607">
        <v>111850.68</v>
      </c>
      <c r="D607" s="2">
        <v>43717</v>
      </c>
      <c r="E607" t="s">
        <v>30</v>
      </c>
      <c r="F607" t="s">
        <v>135</v>
      </c>
      <c r="G607" t="s">
        <v>55</v>
      </c>
      <c r="H607" t="s">
        <v>128</v>
      </c>
      <c r="I607" t="s">
        <v>28</v>
      </c>
      <c r="J607" t="s">
        <v>765</v>
      </c>
    </row>
    <row r="608" spans="1:10" x14ac:dyDescent="0.25">
      <c r="A608" t="s">
        <v>10</v>
      </c>
      <c r="B608" s="1">
        <v>78679.600000000006</v>
      </c>
      <c r="C608">
        <v>62416.53</v>
      </c>
      <c r="D608" s="2">
        <v>43750</v>
      </c>
      <c r="E608" t="s">
        <v>18</v>
      </c>
      <c r="F608" t="s">
        <v>327</v>
      </c>
      <c r="G608" t="s">
        <v>13</v>
      </c>
      <c r="H608" t="s">
        <v>170</v>
      </c>
      <c r="I608" t="s">
        <v>28</v>
      </c>
      <c r="J608" t="s">
        <v>766</v>
      </c>
    </row>
    <row r="609" spans="1:10" x14ac:dyDescent="0.25">
      <c r="A609" t="s">
        <v>45</v>
      </c>
      <c r="B609" s="1">
        <v>86071.63</v>
      </c>
      <c r="C609">
        <v>71198.45</v>
      </c>
      <c r="D609" s="2">
        <v>43782</v>
      </c>
      <c r="E609" t="s">
        <v>80</v>
      </c>
      <c r="F609" t="s">
        <v>54</v>
      </c>
      <c r="G609" t="s">
        <v>48</v>
      </c>
      <c r="H609" t="s">
        <v>66</v>
      </c>
      <c r="I609" t="s">
        <v>38</v>
      </c>
      <c r="J609" t="s">
        <v>767</v>
      </c>
    </row>
    <row r="610" spans="1:10" x14ac:dyDescent="0.25">
      <c r="A610" t="s">
        <v>23</v>
      </c>
      <c r="B610" s="1">
        <v>134120.38</v>
      </c>
      <c r="C610">
        <v>105981.92</v>
      </c>
      <c r="D610" s="2">
        <v>43951</v>
      </c>
      <c r="E610" t="s">
        <v>18</v>
      </c>
      <c r="F610" t="s">
        <v>148</v>
      </c>
      <c r="G610" t="s">
        <v>26</v>
      </c>
      <c r="H610" t="s">
        <v>219</v>
      </c>
      <c r="I610" t="s">
        <v>28</v>
      </c>
      <c r="J610" t="s">
        <v>768</v>
      </c>
    </row>
    <row r="611" spans="1:10" x14ac:dyDescent="0.25">
      <c r="A611" t="s">
        <v>34</v>
      </c>
      <c r="B611" s="1">
        <v>77855.47</v>
      </c>
      <c r="C611">
        <v>63545.63</v>
      </c>
      <c r="D611" s="2">
        <v>43690</v>
      </c>
      <c r="E611" t="s">
        <v>62</v>
      </c>
      <c r="F611" t="s">
        <v>12</v>
      </c>
      <c r="G611" t="s">
        <v>36</v>
      </c>
      <c r="H611" t="s">
        <v>37</v>
      </c>
      <c r="I611" t="s">
        <v>28</v>
      </c>
      <c r="J611" t="s">
        <v>769</v>
      </c>
    </row>
    <row r="612" spans="1:10" x14ac:dyDescent="0.25">
      <c r="A612" t="s">
        <v>45</v>
      </c>
      <c r="B612" s="1">
        <v>176080.36</v>
      </c>
      <c r="C612">
        <v>153401.21</v>
      </c>
      <c r="D612" s="2">
        <v>43782</v>
      </c>
      <c r="E612" t="s">
        <v>30</v>
      </c>
      <c r="F612" t="s">
        <v>68</v>
      </c>
      <c r="G612" t="s">
        <v>48</v>
      </c>
      <c r="H612" t="s">
        <v>74</v>
      </c>
      <c r="I612" t="s">
        <v>28</v>
      </c>
      <c r="J612" t="s">
        <v>770</v>
      </c>
    </row>
    <row r="613" spans="1:10" x14ac:dyDescent="0.25">
      <c r="A613" t="s">
        <v>23</v>
      </c>
      <c r="B613" s="1">
        <v>159514.03</v>
      </c>
      <c r="C613">
        <v>138872.91</v>
      </c>
      <c r="D613" s="2">
        <v>44097</v>
      </c>
      <c r="E613" t="s">
        <v>24</v>
      </c>
      <c r="F613" t="s">
        <v>31</v>
      </c>
      <c r="G613" t="s">
        <v>26</v>
      </c>
      <c r="H613" t="s">
        <v>32</v>
      </c>
      <c r="I613" t="s">
        <v>28</v>
      </c>
      <c r="J613" t="s">
        <v>771</v>
      </c>
    </row>
    <row r="614" spans="1:10" x14ac:dyDescent="0.25">
      <c r="A614" t="s">
        <v>53</v>
      </c>
      <c r="B614" s="1">
        <v>238850.25</v>
      </c>
      <c r="C614">
        <v>199607.15</v>
      </c>
      <c r="D614" s="2">
        <v>43646</v>
      </c>
      <c r="E614" t="s">
        <v>51</v>
      </c>
      <c r="F614" t="s">
        <v>71</v>
      </c>
      <c r="G614" t="s">
        <v>55</v>
      </c>
      <c r="H614" t="s">
        <v>133</v>
      </c>
      <c r="I614" t="s">
        <v>28</v>
      </c>
      <c r="J614" t="s">
        <v>772</v>
      </c>
    </row>
    <row r="615" spans="1:10" x14ac:dyDescent="0.25">
      <c r="A615" t="s">
        <v>10</v>
      </c>
      <c r="B615" s="1">
        <v>240940.97</v>
      </c>
      <c r="C615">
        <v>195138.09</v>
      </c>
      <c r="D615" s="2">
        <v>43826</v>
      </c>
      <c r="E615" t="s">
        <v>46</v>
      </c>
      <c r="F615" t="s">
        <v>153</v>
      </c>
      <c r="G615" t="s">
        <v>13</v>
      </c>
      <c r="H615" t="s">
        <v>170</v>
      </c>
      <c r="I615" t="s">
        <v>28</v>
      </c>
      <c r="J615" t="s">
        <v>773</v>
      </c>
    </row>
    <row r="616" spans="1:10" x14ac:dyDescent="0.25">
      <c r="A616" t="s">
        <v>346</v>
      </c>
      <c r="B616" s="1">
        <v>109892.92</v>
      </c>
      <c r="C616">
        <v>89441.85</v>
      </c>
      <c r="D616" s="2">
        <v>43957</v>
      </c>
      <c r="E616" t="s">
        <v>11</v>
      </c>
      <c r="F616" t="s">
        <v>203</v>
      </c>
      <c r="G616" t="s">
        <v>347</v>
      </c>
      <c r="H616" t="s">
        <v>701</v>
      </c>
      <c r="I616" t="s">
        <v>28</v>
      </c>
      <c r="J616" t="s">
        <v>774</v>
      </c>
    </row>
    <row r="617" spans="1:10" x14ac:dyDescent="0.25">
      <c r="A617" t="s">
        <v>215</v>
      </c>
      <c r="B617" s="1">
        <v>86704.08</v>
      </c>
      <c r="C617">
        <v>75380.53</v>
      </c>
      <c r="D617" s="2">
        <v>44109</v>
      </c>
      <c r="E617" t="s">
        <v>11</v>
      </c>
      <c r="F617" t="s">
        <v>68</v>
      </c>
      <c r="G617" t="s">
        <v>216</v>
      </c>
      <c r="H617" t="s">
        <v>217</v>
      </c>
      <c r="I617" t="s">
        <v>28</v>
      </c>
      <c r="J617" t="s">
        <v>775</v>
      </c>
    </row>
    <row r="618" spans="1:10" x14ac:dyDescent="0.25">
      <c r="A618" t="s">
        <v>173</v>
      </c>
      <c r="B618" s="1">
        <v>292124.64</v>
      </c>
      <c r="C618">
        <v>245822.88</v>
      </c>
      <c r="D618" s="2">
        <v>43808</v>
      </c>
      <c r="E618" t="s">
        <v>30</v>
      </c>
      <c r="F618" t="s">
        <v>158</v>
      </c>
      <c r="G618" t="s">
        <v>175</v>
      </c>
      <c r="H618" t="s">
        <v>212</v>
      </c>
      <c r="I618" t="s">
        <v>28</v>
      </c>
      <c r="J618" t="s">
        <v>776</v>
      </c>
    </row>
    <row r="619" spans="1:10" x14ac:dyDescent="0.25">
      <c r="A619" t="s">
        <v>101</v>
      </c>
      <c r="B619" s="1">
        <v>122998.65</v>
      </c>
      <c r="C619">
        <v>97476.43</v>
      </c>
      <c r="D619" s="2">
        <v>43858</v>
      </c>
      <c r="E619" t="s">
        <v>18</v>
      </c>
      <c r="F619" t="s">
        <v>97</v>
      </c>
      <c r="G619" t="s">
        <v>103</v>
      </c>
      <c r="H619" t="s">
        <v>162</v>
      </c>
      <c r="I619" t="s">
        <v>28</v>
      </c>
      <c r="J619" t="s">
        <v>777</v>
      </c>
    </row>
    <row r="620" spans="1:10" x14ac:dyDescent="0.25">
      <c r="A620" t="s">
        <v>10</v>
      </c>
      <c r="B620" s="1">
        <v>50646.66</v>
      </c>
      <c r="C620">
        <v>43039.53</v>
      </c>
      <c r="D620" s="2">
        <v>43922</v>
      </c>
      <c r="E620" t="s">
        <v>24</v>
      </c>
      <c r="F620" t="s">
        <v>35</v>
      </c>
      <c r="G620" t="s">
        <v>13</v>
      </c>
      <c r="H620" t="s">
        <v>14</v>
      </c>
      <c r="I620" t="s">
        <v>28</v>
      </c>
      <c r="J620" t="s">
        <v>778</v>
      </c>
    </row>
    <row r="621" spans="1:10" x14ac:dyDescent="0.25">
      <c r="A621" t="s">
        <v>10</v>
      </c>
      <c r="B621" s="1">
        <v>89639.28</v>
      </c>
      <c r="C621">
        <v>77788.97</v>
      </c>
      <c r="D621" s="2">
        <v>43490</v>
      </c>
      <c r="E621" t="s">
        <v>24</v>
      </c>
      <c r="F621" t="s">
        <v>160</v>
      </c>
      <c r="G621" t="s">
        <v>13</v>
      </c>
      <c r="H621" t="s">
        <v>14</v>
      </c>
      <c r="I621" t="s">
        <v>28</v>
      </c>
      <c r="J621" t="s">
        <v>779</v>
      </c>
    </row>
    <row r="622" spans="1:10" x14ac:dyDescent="0.25">
      <c r="A622" t="s">
        <v>34</v>
      </c>
      <c r="B622" s="1">
        <v>107359.01</v>
      </c>
      <c r="C622">
        <v>90868.67</v>
      </c>
      <c r="D622" s="2">
        <v>43767</v>
      </c>
      <c r="E622" t="s">
        <v>80</v>
      </c>
      <c r="F622" t="s">
        <v>112</v>
      </c>
      <c r="G622" t="s">
        <v>36</v>
      </c>
      <c r="H622" t="s">
        <v>41</v>
      </c>
      <c r="I622" t="s">
        <v>28</v>
      </c>
      <c r="J622" t="s">
        <v>780</v>
      </c>
    </row>
    <row r="623" spans="1:10" x14ac:dyDescent="0.25">
      <c r="A623" t="s">
        <v>106</v>
      </c>
      <c r="B623" s="1">
        <v>148359.67999999999</v>
      </c>
      <c r="C623">
        <v>118480.04</v>
      </c>
      <c r="D623" s="2">
        <v>44035</v>
      </c>
      <c r="E623" t="s">
        <v>18</v>
      </c>
      <c r="F623" t="s">
        <v>210</v>
      </c>
      <c r="G623" t="s">
        <v>107</v>
      </c>
      <c r="H623" t="s">
        <v>108</v>
      </c>
      <c r="I623" t="s">
        <v>28</v>
      </c>
      <c r="J623" t="s">
        <v>781</v>
      </c>
    </row>
    <row r="624" spans="1:10" x14ac:dyDescent="0.25">
      <c r="A624" t="s">
        <v>17</v>
      </c>
      <c r="B624" s="1">
        <v>177464.83</v>
      </c>
      <c r="C624">
        <v>142717.22</v>
      </c>
      <c r="D624" s="2">
        <v>43855</v>
      </c>
      <c r="E624" t="s">
        <v>62</v>
      </c>
      <c r="F624" t="s">
        <v>54</v>
      </c>
      <c r="G624" t="s">
        <v>20</v>
      </c>
      <c r="H624" t="s">
        <v>353</v>
      </c>
      <c r="I624" t="s">
        <v>28</v>
      </c>
      <c r="J624" t="s">
        <v>782</v>
      </c>
    </row>
    <row r="625" spans="1:10" x14ac:dyDescent="0.25">
      <c r="A625" t="s">
        <v>23</v>
      </c>
      <c r="B625" s="1">
        <v>168757.23</v>
      </c>
      <c r="C625">
        <v>136895.85999999999</v>
      </c>
      <c r="D625" s="2">
        <v>44067</v>
      </c>
      <c r="E625" t="s">
        <v>51</v>
      </c>
      <c r="F625" t="s">
        <v>123</v>
      </c>
      <c r="G625" t="s">
        <v>26</v>
      </c>
      <c r="H625" t="s">
        <v>32</v>
      </c>
      <c r="I625" t="s">
        <v>28</v>
      </c>
      <c r="J625" t="s">
        <v>783</v>
      </c>
    </row>
    <row r="626" spans="1:10" x14ac:dyDescent="0.25">
      <c r="A626" t="s">
        <v>53</v>
      </c>
      <c r="B626" s="1">
        <v>19814.86</v>
      </c>
      <c r="C626">
        <v>16787.150000000001</v>
      </c>
      <c r="D626" s="2">
        <v>43910</v>
      </c>
      <c r="E626" t="s">
        <v>51</v>
      </c>
      <c r="F626" t="s">
        <v>102</v>
      </c>
      <c r="G626" t="s">
        <v>55</v>
      </c>
      <c r="H626" t="s">
        <v>144</v>
      </c>
      <c r="I626" t="s">
        <v>28</v>
      </c>
      <c r="J626" t="s">
        <v>784</v>
      </c>
    </row>
    <row r="627" spans="1:10" x14ac:dyDescent="0.25">
      <c r="A627" t="s">
        <v>96</v>
      </c>
      <c r="B627" s="1">
        <v>46311.34</v>
      </c>
      <c r="C627">
        <v>40564.1</v>
      </c>
      <c r="D627" s="2">
        <v>43891</v>
      </c>
      <c r="E627" t="s">
        <v>46</v>
      </c>
      <c r="F627" t="s">
        <v>734</v>
      </c>
      <c r="G627" t="s">
        <v>98</v>
      </c>
      <c r="H627" t="s">
        <v>99</v>
      </c>
      <c r="I627" t="s">
        <v>28</v>
      </c>
      <c r="J627" t="s">
        <v>785</v>
      </c>
    </row>
    <row r="628" spans="1:10" x14ac:dyDescent="0.25">
      <c r="A628" t="s">
        <v>53</v>
      </c>
      <c r="B628" s="1">
        <v>144927.17000000001</v>
      </c>
      <c r="C628">
        <v>122260.56</v>
      </c>
      <c r="D628" s="2">
        <v>44081</v>
      </c>
      <c r="E628" t="s">
        <v>51</v>
      </c>
      <c r="F628" t="s">
        <v>89</v>
      </c>
      <c r="G628" t="s">
        <v>55</v>
      </c>
      <c r="H628" t="s">
        <v>128</v>
      </c>
      <c r="I628" t="s">
        <v>28</v>
      </c>
      <c r="J628" t="s">
        <v>786</v>
      </c>
    </row>
    <row r="629" spans="1:10" x14ac:dyDescent="0.25">
      <c r="A629" t="s">
        <v>84</v>
      </c>
      <c r="B629" s="1">
        <v>203231.73</v>
      </c>
      <c r="C629">
        <v>163052.82</v>
      </c>
      <c r="D629" s="2">
        <v>43822</v>
      </c>
      <c r="E629" t="s">
        <v>11</v>
      </c>
      <c r="F629" t="s">
        <v>707</v>
      </c>
      <c r="G629" t="s">
        <v>85</v>
      </c>
      <c r="H629" t="s">
        <v>86</v>
      </c>
      <c r="I629" t="s">
        <v>28</v>
      </c>
      <c r="J629" t="s">
        <v>787</v>
      </c>
    </row>
    <row r="630" spans="1:10" x14ac:dyDescent="0.25">
      <c r="A630" t="s">
        <v>23</v>
      </c>
      <c r="B630" s="1">
        <v>40467.85</v>
      </c>
      <c r="C630">
        <v>34656.67</v>
      </c>
      <c r="D630" s="2">
        <v>43889</v>
      </c>
      <c r="E630" t="s">
        <v>60</v>
      </c>
      <c r="F630" t="s">
        <v>58</v>
      </c>
      <c r="G630" t="s">
        <v>26</v>
      </c>
      <c r="H630" t="s">
        <v>76</v>
      </c>
      <c r="I630" t="s">
        <v>38</v>
      </c>
      <c r="J630" t="s">
        <v>788</v>
      </c>
    </row>
    <row r="631" spans="1:10" x14ac:dyDescent="0.25">
      <c r="A631" t="s">
        <v>10</v>
      </c>
      <c r="B631" s="1">
        <v>85156.7</v>
      </c>
      <c r="C631">
        <v>69479.350000000006</v>
      </c>
      <c r="D631" s="2">
        <v>43970</v>
      </c>
      <c r="E631" t="s">
        <v>30</v>
      </c>
      <c r="F631" t="s">
        <v>203</v>
      </c>
      <c r="G631" t="s">
        <v>13</v>
      </c>
      <c r="H631" t="s">
        <v>118</v>
      </c>
      <c r="I631" t="s">
        <v>28</v>
      </c>
      <c r="J631" t="s">
        <v>789</v>
      </c>
    </row>
    <row r="632" spans="1:10" x14ac:dyDescent="0.25">
      <c r="A632" t="s">
        <v>23</v>
      </c>
      <c r="B632" s="1">
        <v>66146.570000000007</v>
      </c>
      <c r="C632">
        <v>56145.21</v>
      </c>
      <c r="D632" s="2">
        <v>43928</v>
      </c>
      <c r="E632" t="s">
        <v>80</v>
      </c>
      <c r="F632" t="s">
        <v>31</v>
      </c>
      <c r="G632" t="s">
        <v>26</v>
      </c>
      <c r="H632" t="s">
        <v>219</v>
      </c>
      <c r="I632" t="s">
        <v>28</v>
      </c>
      <c r="J632" t="s">
        <v>790</v>
      </c>
    </row>
    <row r="633" spans="1:10" x14ac:dyDescent="0.25">
      <c r="A633" t="s">
        <v>101</v>
      </c>
      <c r="B633" s="1">
        <v>230669.37</v>
      </c>
      <c r="C633">
        <v>182321.07</v>
      </c>
      <c r="D633" s="2">
        <v>43621</v>
      </c>
      <c r="E633" t="s">
        <v>11</v>
      </c>
      <c r="F633" t="s">
        <v>160</v>
      </c>
      <c r="G633" t="s">
        <v>103</v>
      </c>
      <c r="H633" t="s">
        <v>162</v>
      </c>
      <c r="I633" t="s">
        <v>28</v>
      </c>
      <c r="J633" t="s">
        <v>791</v>
      </c>
    </row>
    <row r="634" spans="1:10" x14ac:dyDescent="0.25">
      <c r="A634" t="s">
        <v>45</v>
      </c>
      <c r="B634" s="1">
        <v>59043.39</v>
      </c>
      <c r="C634">
        <v>48876.12</v>
      </c>
      <c r="D634" s="2">
        <v>44131</v>
      </c>
      <c r="E634" t="s">
        <v>60</v>
      </c>
      <c r="F634" t="s">
        <v>102</v>
      </c>
      <c r="G634" t="s">
        <v>48</v>
      </c>
      <c r="H634" t="s">
        <v>66</v>
      </c>
      <c r="I634" t="s">
        <v>28</v>
      </c>
      <c r="J634" t="s">
        <v>792</v>
      </c>
    </row>
    <row r="635" spans="1:10" x14ac:dyDescent="0.25">
      <c r="A635" t="s">
        <v>173</v>
      </c>
      <c r="B635" s="1">
        <v>99887.86</v>
      </c>
      <c r="C635">
        <v>84045.65</v>
      </c>
      <c r="D635" s="2">
        <v>43900</v>
      </c>
      <c r="E635" t="s">
        <v>80</v>
      </c>
      <c r="F635" t="s">
        <v>114</v>
      </c>
      <c r="G635" t="s">
        <v>175</v>
      </c>
      <c r="H635" t="s">
        <v>176</v>
      </c>
      <c r="I635" t="s">
        <v>28</v>
      </c>
      <c r="J635" t="s">
        <v>793</v>
      </c>
    </row>
    <row r="636" spans="1:10" x14ac:dyDescent="0.25">
      <c r="A636" t="s">
        <v>84</v>
      </c>
      <c r="B636" s="1">
        <v>214983.15</v>
      </c>
      <c r="C636">
        <v>180413.86</v>
      </c>
      <c r="D636" s="2">
        <v>43627</v>
      </c>
      <c r="E636" t="s">
        <v>30</v>
      </c>
      <c r="F636" t="s">
        <v>224</v>
      </c>
      <c r="G636" t="s">
        <v>85</v>
      </c>
      <c r="H636" t="s">
        <v>86</v>
      </c>
      <c r="I636" t="s">
        <v>38</v>
      </c>
      <c r="J636" t="s">
        <v>794</v>
      </c>
    </row>
    <row r="637" spans="1:10" x14ac:dyDescent="0.25">
      <c r="A637" t="s">
        <v>23</v>
      </c>
      <c r="B637" s="1">
        <v>52209.31</v>
      </c>
      <c r="C637">
        <v>41480.300000000003</v>
      </c>
      <c r="D637" s="2">
        <v>43550</v>
      </c>
      <c r="E637" t="s">
        <v>30</v>
      </c>
      <c r="F637" t="s">
        <v>224</v>
      </c>
      <c r="G637" t="s">
        <v>26</v>
      </c>
      <c r="H637" t="s">
        <v>76</v>
      </c>
      <c r="I637" t="s">
        <v>28</v>
      </c>
      <c r="J637" t="s">
        <v>795</v>
      </c>
    </row>
    <row r="638" spans="1:10" x14ac:dyDescent="0.25">
      <c r="A638" t="s">
        <v>10</v>
      </c>
      <c r="B638" s="1">
        <v>83782.11</v>
      </c>
      <c r="C638">
        <v>67310.55</v>
      </c>
      <c r="D638" s="2">
        <v>43506</v>
      </c>
      <c r="E638" t="s">
        <v>80</v>
      </c>
      <c r="F638" t="s">
        <v>158</v>
      </c>
      <c r="G638" t="s">
        <v>13</v>
      </c>
      <c r="H638" t="s">
        <v>14</v>
      </c>
      <c r="I638" t="s">
        <v>28</v>
      </c>
      <c r="J638" t="s">
        <v>796</v>
      </c>
    </row>
    <row r="639" spans="1:10" x14ac:dyDescent="0.25">
      <c r="A639" t="s">
        <v>23</v>
      </c>
      <c r="B639" s="1">
        <v>166367.16</v>
      </c>
      <c r="C639">
        <v>135788.88</v>
      </c>
      <c r="D639" s="2">
        <v>44137</v>
      </c>
      <c r="E639" t="s">
        <v>30</v>
      </c>
      <c r="F639" t="s">
        <v>64</v>
      </c>
      <c r="G639" t="s">
        <v>26</v>
      </c>
      <c r="H639" t="s">
        <v>27</v>
      </c>
      <c r="I639" t="s">
        <v>28</v>
      </c>
      <c r="J639" t="s">
        <v>797</v>
      </c>
    </row>
    <row r="640" spans="1:10" x14ac:dyDescent="0.25">
      <c r="A640" t="s">
        <v>45</v>
      </c>
      <c r="B640" s="1">
        <v>167615.14000000001</v>
      </c>
      <c r="C640">
        <v>135567.12</v>
      </c>
      <c r="D640" s="2">
        <v>44195</v>
      </c>
      <c r="E640" t="s">
        <v>60</v>
      </c>
      <c r="F640" t="s">
        <v>35</v>
      </c>
      <c r="G640" t="s">
        <v>48</v>
      </c>
      <c r="H640" t="s">
        <v>49</v>
      </c>
      <c r="I640" t="s">
        <v>28</v>
      </c>
      <c r="J640" t="s">
        <v>798</v>
      </c>
    </row>
    <row r="641" spans="1:10" x14ac:dyDescent="0.25">
      <c r="A641" t="s">
        <v>10</v>
      </c>
      <c r="B641" s="1">
        <v>118030.7</v>
      </c>
      <c r="C641">
        <v>97304.51</v>
      </c>
      <c r="D641" s="2">
        <v>43712</v>
      </c>
      <c r="E641" t="s">
        <v>80</v>
      </c>
      <c r="F641" t="s">
        <v>210</v>
      </c>
      <c r="G641" t="s">
        <v>13</v>
      </c>
      <c r="H641" t="s">
        <v>14</v>
      </c>
      <c r="I641" t="s">
        <v>28</v>
      </c>
      <c r="J641" t="s">
        <v>799</v>
      </c>
    </row>
    <row r="642" spans="1:10" x14ac:dyDescent="0.25">
      <c r="A642" t="s">
        <v>84</v>
      </c>
      <c r="B642" s="1">
        <v>102073.04</v>
      </c>
      <c r="C642">
        <v>81770.710000000006</v>
      </c>
      <c r="D642" s="2">
        <v>43892</v>
      </c>
      <c r="E642" t="s">
        <v>62</v>
      </c>
      <c r="F642" t="s">
        <v>40</v>
      </c>
      <c r="G642" t="s">
        <v>85</v>
      </c>
      <c r="H642" t="s">
        <v>86</v>
      </c>
      <c r="I642" t="s">
        <v>15</v>
      </c>
      <c r="J642" t="s">
        <v>800</v>
      </c>
    </row>
    <row r="643" spans="1:10" x14ac:dyDescent="0.25">
      <c r="A643" t="s">
        <v>17</v>
      </c>
      <c r="B643" s="1">
        <v>99989.89</v>
      </c>
      <c r="C643">
        <v>81191.789999999994</v>
      </c>
      <c r="D643" s="2">
        <v>43784</v>
      </c>
      <c r="E643" t="s">
        <v>51</v>
      </c>
      <c r="F643" t="s">
        <v>254</v>
      </c>
      <c r="G643" t="s">
        <v>20</v>
      </c>
      <c r="H643" t="s">
        <v>21</v>
      </c>
      <c r="I643" t="s">
        <v>28</v>
      </c>
      <c r="J643" t="s">
        <v>801</v>
      </c>
    </row>
    <row r="644" spans="1:10" x14ac:dyDescent="0.25">
      <c r="A644" t="s">
        <v>10</v>
      </c>
      <c r="B644" s="1">
        <v>79407.28</v>
      </c>
      <c r="C644">
        <v>64383.42</v>
      </c>
      <c r="D644" s="2">
        <v>44033</v>
      </c>
      <c r="E644" t="s">
        <v>46</v>
      </c>
      <c r="F644" t="s">
        <v>94</v>
      </c>
      <c r="G644" t="s">
        <v>13</v>
      </c>
      <c r="H644" t="s">
        <v>82</v>
      </c>
      <c r="I644" t="s">
        <v>28</v>
      </c>
      <c r="J644" t="s">
        <v>802</v>
      </c>
    </row>
    <row r="645" spans="1:10" x14ac:dyDescent="0.25">
      <c r="A645" t="s">
        <v>53</v>
      </c>
      <c r="B645" s="1">
        <v>184431.48</v>
      </c>
      <c r="C645">
        <v>153059.69</v>
      </c>
      <c r="D645" s="2">
        <v>43806</v>
      </c>
      <c r="E645" t="s">
        <v>11</v>
      </c>
      <c r="F645" t="s">
        <v>35</v>
      </c>
      <c r="G645" t="s">
        <v>55</v>
      </c>
      <c r="H645" t="s">
        <v>133</v>
      </c>
      <c r="I645" t="s">
        <v>15</v>
      </c>
      <c r="J645" t="s">
        <v>803</v>
      </c>
    </row>
    <row r="646" spans="1:10" x14ac:dyDescent="0.25">
      <c r="A646" t="s">
        <v>23</v>
      </c>
      <c r="B646" s="1">
        <v>144725.34</v>
      </c>
      <c r="C646">
        <v>115056.65</v>
      </c>
      <c r="D646" s="2">
        <v>43480</v>
      </c>
      <c r="E646" t="s">
        <v>60</v>
      </c>
      <c r="F646" t="s">
        <v>64</v>
      </c>
      <c r="G646" t="s">
        <v>26</v>
      </c>
      <c r="H646" t="s">
        <v>32</v>
      </c>
      <c r="I646" t="s">
        <v>28</v>
      </c>
      <c r="J646" t="s">
        <v>804</v>
      </c>
    </row>
    <row r="647" spans="1:10" x14ac:dyDescent="0.25">
      <c r="A647" t="s">
        <v>45</v>
      </c>
      <c r="B647" s="1">
        <v>21921.66</v>
      </c>
      <c r="C647">
        <v>18802.21</v>
      </c>
      <c r="D647" s="2">
        <v>43895</v>
      </c>
      <c r="E647" t="s">
        <v>60</v>
      </c>
      <c r="F647" t="s">
        <v>58</v>
      </c>
      <c r="G647" t="s">
        <v>48</v>
      </c>
      <c r="H647" t="s">
        <v>74</v>
      </c>
      <c r="I647" t="s">
        <v>38</v>
      </c>
      <c r="J647" t="s">
        <v>805</v>
      </c>
    </row>
    <row r="648" spans="1:10" x14ac:dyDescent="0.25">
      <c r="A648" t="s">
        <v>23</v>
      </c>
      <c r="B648" s="1">
        <v>21341.66</v>
      </c>
      <c r="C648">
        <v>16930.34</v>
      </c>
      <c r="D648" s="2">
        <v>43552</v>
      </c>
      <c r="E648" t="s">
        <v>18</v>
      </c>
      <c r="F648" t="s">
        <v>302</v>
      </c>
      <c r="G648" t="s">
        <v>26</v>
      </c>
      <c r="H648" t="s">
        <v>27</v>
      </c>
      <c r="I648" t="s">
        <v>28</v>
      </c>
      <c r="J648" t="s">
        <v>806</v>
      </c>
    </row>
    <row r="649" spans="1:10" x14ac:dyDescent="0.25">
      <c r="A649" t="s">
        <v>10</v>
      </c>
      <c r="B649" s="1">
        <v>84537.2</v>
      </c>
      <c r="C649">
        <v>69405.039999999994</v>
      </c>
      <c r="D649" s="2">
        <v>43849</v>
      </c>
      <c r="E649" t="s">
        <v>18</v>
      </c>
      <c r="F649" t="s">
        <v>116</v>
      </c>
      <c r="G649" t="s">
        <v>13</v>
      </c>
      <c r="H649" t="s">
        <v>170</v>
      </c>
      <c r="I649" t="s">
        <v>15</v>
      </c>
      <c r="J649" t="s">
        <v>807</v>
      </c>
    </row>
    <row r="650" spans="1:10" x14ac:dyDescent="0.25">
      <c r="A650" t="s">
        <v>53</v>
      </c>
      <c r="B650" s="1">
        <v>40544.43</v>
      </c>
      <c r="C650">
        <v>32666.65</v>
      </c>
      <c r="D650" s="2">
        <v>44044</v>
      </c>
      <c r="E650" t="s">
        <v>11</v>
      </c>
      <c r="F650" t="s">
        <v>35</v>
      </c>
      <c r="G650" t="s">
        <v>55</v>
      </c>
      <c r="H650" t="s">
        <v>133</v>
      </c>
      <c r="I650" t="s">
        <v>28</v>
      </c>
      <c r="J650" t="s">
        <v>808</v>
      </c>
    </row>
    <row r="651" spans="1:10" x14ac:dyDescent="0.25">
      <c r="A651" t="s">
        <v>17</v>
      </c>
      <c r="B651" s="1">
        <v>178189.57</v>
      </c>
      <c r="C651">
        <v>153421.22</v>
      </c>
      <c r="D651" s="2">
        <v>43686</v>
      </c>
      <c r="E651" t="s">
        <v>18</v>
      </c>
      <c r="F651" t="s">
        <v>35</v>
      </c>
      <c r="G651" t="s">
        <v>20</v>
      </c>
      <c r="H651" t="s">
        <v>353</v>
      </c>
      <c r="I651" t="s">
        <v>28</v>
      </c>
      <c r="J651" t="s">
        <v>809</v>
      </c>
    </row>
    <row r="652" spans="1:10" x14ac:dyDescent="0.25">
      <c r="A652" t="s">
        <v>53</v>
      </c>
      <c r="B652" s="1">
        <v>36276.11</v>
      </c>
      <c r="C652">
        <v>28748.82</v>
      </c>
      <c r="D652" s="2">
        <v>43547</v>
      </c>
      <c r="E652" t="s">
        <v>18</v>
      </c>
      <c r="F652" t="s">
        <v>35</v>
      </c>
      <c r="G652" t="s">
        <v>55</v>
      </c>
      <c r="H652" t="s">
        <v>133</v>
      </c>
      <c r="I652" t="s">
        <v>28</v>
      </c>
      <c r="J652" t="s">
        <v>810</v>
      </c>
    </row>
    <row r="653" spans="1:10" x14ac:dyDescent="0.25">
      <c r="A653" t="s">
        <v>10</v>
      </c>
      <c r="B653" s="1">
        <v>36181.81</v>
      </c>
      <c r="C653">
        <v>29698.03</v>
      </c>
      <c r="D653" s="2">
        <v>44131</v>
      </c>
      <c r="E653" t="s">
        <v>51</v>
      </c>
      <c r="F653" t="s">
        <v>160</v>
      </c>
      <c r="G653" t="s">
        <v>13</v>
      </c>
      <c r="H653" t="s">
        <v>14</v>
      </c>
      <c r="I653" t="s">
        <v>38</v>
      </c>
      <c r="J653" t="s">
        <v>811</v>
      </c>
    </row>
    <row r="654" spans="1:10" x14ac:dyDescent="0.25">
      <c r="A654" t="s">
        <v>45</v>
      </c>
      <c r="B654" s="1">
        <v>66613.31</v>
      </c>
      <c r="C654">
        <v>55462.239999999998</v>
      </c>
      <c r="D654" s="2">
        <v>43733</v>
      </c>
      <c r="E654" t="s">
        <v>80</v>
      </c>
      <c r="F654" t="s">
        <v>123</v>
      </c>
      <c r="G654" t="s">
        <v>48</v>
      </c>
      <c r="H654" t="s">
        <v>66</v>
      </c>
      <c r="I654" t="s">
        <v>28</v>
      </c>
      <c r="J654" t="s">
        <v>812</v>
      </c>
    </row>
    <row r="655" spans="1:10" x14ac:dyDescent="0.25">
      <c r="A655" t="s">
        <v>173</v>
      </c>
      <c r="B655" s="1">
        <v>77278.679999999993</v>
      </c>
      <c r="C655">
        <v>62951.21</v>
      </c>
      <c r="D655" s="2">
        <v>44106</v>
      </c>
      <c r="E655" t="s">
        <v>60</v>
      </c>
      <c r="F655" t="s">
        <v>121</v>
      </c>
      <c r="G655" t="s">
        <v>175</v>
      </c>
      <c r="H655" t="s">
        <v>212</v>
      </c>
      <c r="I655" t="s">
        <v>28</v>
      </c>
      <c r="J655" t="s">
        <v>813</v>
      </c>
    </row>
    <row r="656" spans="1:10" x14ac:dyDescent="0.25">
      <c r="A656" t="s">
        <v>45</v>
      </c>
      <c r="B656" s="1">
        <v>149938.35999999999</v>
      </c>
      <c r="C656">
        <v>123579.2</v>
      </c>
      <c r="D656" s="2">
        <v>44149</v>
      </c>
      <c r="E656" t="s">
        <v>51</v>
      </c>
      <c r="F656" t="s">
        <v>35</v>
      </c>
      <c r="G656" t="s">
        <v>48</v>
      </c>
      <c r="H656" t="s">
        <v>74</v>
      </c>
      <c r="I656" t="s">
        <v>28</v>
      </c>
      <c r="J656" t="s">
        <v>814</v>
      </c>
    </row>
    <row r="657" spans="1:10" x14ac:dyDescent="0.25">
      <c r="A657" t="s">
        <v>34</v>
      </c>
      <c r="B657" s="1">
        <v>123953.65</v>
      </c>
      <c r="C657">
        <v>101939.48</v>
      </c>
      <c r="D657" s="2">
        <v>43593</v>
      </c>
      <c r="E657" t="s">
        <v>30</v>
      </c>
      <c r="F657" t="s">
        <v>126</v>
      </c>
      <c r="G657" t="s">
        <v>36</v>
      </c>
      <c r="H657" t="s">
        <v>41</v>
      </c>
      <c r="I657" t="s">
        <v>28</v>
      </c>
      <c r="J657" t="s">
        <v>815</v>
      </c>
    </row>
    <row r="658" spans="1:10" x14ac:dyDescent="0.25">
      <c r="A658" t="s">
        <v>10</v>
      </c>
      <c r="B658" s="1">
        <v>73773.600000000006</v>
      </c>
      <c r="C658">
        <v>58421.31</v>
      </c>
      <c r="D658" s="2">
        <v>43851</v>
      </c>
      <c r="E658" t="s">
        <v>11</v>
      </c>
      <c r="F658" t="s">
        <v>291</v>
      </c>
      <c r="G658" t="s">
        <v>13</v>
      </c>
      <c r="H658" t="s">
        <v>118</v>
      </c>
      <c r="I658" t="s">
        <v>15</v>
      </c>
      <c r="J658" t="s">
        <v>816</v>
      </c>
    </row>
    <row r="659" spans="1:10" x14ac:dyDescent="0.25">
      <c r="A659" t="s">
        <v>23</v>
      </c>
      <c r="B659" s="1">
        <v>206869.73</v>
      </c>
      <c r="C659">
        <v>180928.27</v>
      </c>
      <c r="D659" s="2">
        <v>44032</v>
      </c>
      <c r="E659" t="s">
        <v>80</v>
      </c>
      <c r="F659" t="s">
        <v>150</v>
      </c>
      <c r="G659" t="s">
        <v>26</v>
      </c>
      <c r="H659" t="s">
        <v>76</v>
      </c>
      <c r="I659" t="s">
        <v>28</v>
      </c>
      <c r="J659" t="s">
        <v>817</v>
      </c>
    </row>
    <row r="660" spans="1:10" x14ac:dyDescent="0.25">
      <c r="A660" t="s">
        <v>53</v>
      </c>
      <c r="B660" s="1">
        <v>63690.720000000001</v>
      </c>
      <c r="C660">
        <v>53455.62</v>
      </c>
      <c r="D660" s="2">
        <v>44070</v>
      </c>
      <c r="E660" t="s">
        <v>80</v>
      </c>
      <c r="F660" t="s">
        <v>166</v>
      </c>
      <c r="G660" t="s">
        <v>55</v>
      </c>
      <c r="H660" t="s">
        <v>128</v>
      </c>
      <c r="I660" t="s">
        <v>15</v>
      </c>
      <c r="J660" t="s">
        <v>818</v>
      </c>
    </row>
    <row r="661" spans="1:10" x14ac:dyDescent="0.25">
      <c r="A661" t="s">
        <v>45</v>
      </c>
      <c r="B661" s="1">
        <v>18897.97</v>
      </c>
      <c r="C661">
        <v>16469.580000000002</v>
      </c>
      <c r="D661" s="2">
        <v>43877</v>
      </c>
      <c r="E661" t="s">
        <v>139</v>
      </c>
      <c r="F661" t="s">
        <v>31</v>
      </c>
      <c r="G661" t="s">
        <v>48</v>
      </c>
      <c r="H661" t="s">
        <v>49</v>
      </c>
      <c r="I661" t="s">
        <v>15</v>
      </c>
      <c r="J661" t="s">
        <v>819</v>
      </c>
    </row>
    <row r="662" spans="1:10" x14ac:dyDescent="0.25">
      <c r="A662" t="s">
        <v>23</v>
      </c>
      <c r="B662" s="1">
        <v>134807.18</v>
      </c>
      <c r="C662">
        <v>108047.95</v>
      </c>
      <c r="D662" s="2">
        <v>44194</v>
      </c>
      <c r="E662" t="s">
        <v>30</v>
      </c>
      <c r="F662" t="s">
        <v>178</v>
      </c>
      <c r="G662" t="s">
        <v>26</v>
      </c>
      <c r="H662" t="s">
        <v>76</v>
      </c>
      <c r="I662" t="s">
        <v>28</v>
      </c>
      <c r="J662" t="s">
        <v>820</v>
      </c>
    </row>
    <row r="663" spans="1:10" x14ac:dyDescent="0.25">
      <c r="A663" t="s">
        <v>45</v>
      </c>
      <c r="B663" s="1">
        <v>47082.67</v>
      </c>
      <c r="C663">
        <v>37882.720000000001</v>
      </c>
      <c r="D663" s="2">
        <v>44012</v>
      </c>
      <c r="E663" t="s">
        <v>18</v>
      </c>
      <c r="F663" t="s">
        <v>237</v>
      </c>
      <c r="G663" t="s">
        <v>48</v>
      </c>
      <c r="H663" t="s">
        <v>49</v>
      </c>
      <c r="I663" t="s">
        <v>28</v>
      </c>
      <c r="J663" t="s">
        <v>821</v>
      </c>
    </row>
    <row r="664" spans="1:10" x14ac:dyDescent="0.25">
      <c r="A664" t="s">
        <v>23</v>
      </c>
      <c r="B664" s="1">
        <v>41016.31</v>
      </c>
      <c r="C664">
        <v>32985.32</v>
      </c>
      <c r="D664" s="2">
        <v>43594</v>
      </c>
      <c r="E664" t="s">
        <v>30</v>
      </c>
      <c r="F664" t="s">
        <v>341</v>
      </c>
      <c r="G664" t="s">
        <v>26</v>
      </c>
      <c r="H664" t="s">
        <v>76</v>
      </c>
      <c r="I664" t="s">
        <v>38</v>
      </c>
      <c r="J664" t="s">
        <v>822</v>
      </c>
    </row>
    <row r="665" spans="1:10" x14ac:dyDescent="0.25">
      <c r="A665" t="s">
        <v>10</v>
      </c>
      <c r="B665" s="1">
        <v>43243.45</v>
      </c>
      <c r="C665">
        <v>37764.5</v>
      </c>
      <c r="D665" s="2">
        <v>43601</v>
      </c>
      <c r="E665" t="s">
        <v>24</v>
      </c>
      <c r="F665" t="s">
        <v>35</v>
      </c>
      <c r="G665" t="s">
        <v>13</v>
      </c>
      <c r="H665" t="s">
        <v>82</v>
      </c>
      <c r="I665" t="s">
        <v>28</v>
      </c>
      <c r="J665" t="s">
        <v>823</v>
      </c>
    </row>
    <row r="666" spans="1:10" x14ac:dyDescent="0.25">
      <c r="A666" t="s">
        <v>10</v>
      </c>
      <c r="B666" s="1">
        <v>88832.28</v>
      </c>
      <c r="C666">
        <v>71501.100000000006</v>
      </c>
      <c r="D666" s="2">
        <v>43822</v>
      </c>
      <c r="E666" t="s">
        <v>80</v>
      </c>
      <c r="F666" t="s">
        <v>102</v>
      </c>
      <c r="G666" t="s">
        <v>13</v>
      </c>
      <c r="H666" t="s">
        <v>170</v>
      </c>
      <c r="I666" t="s">
        <v>28</v>
      </c>
      <c r="J666" t="s">
        <v>824</v>
      </c>
    </row>
    <row r="667" spans="1:10" x14ac:dyDescent="0.25">
      <c r="A667" t="s">
        <v>53</v>
      </c>
      <c r="B667" s="1">
        <v>173456.4</v>
      </c>
      <c r="C667">
        <v>149866.32999999999</v>
      </c>
      <c r="D667" s="2">
        <v>43733</v>
      </c>
      <c r="E667" t="s">
        <v>11</v>
      </c>
      <c r="F667" t="s">
        <v>35</v>
      </c>
      <c r="G667" t="s">
        <v>55</v>
      </c>
      <c r="H667" t="s">
        <v>144</v>
      </c>
      <c r="I667" t="s">
        <v>15</v>
      </c>
      <c r="J667" t="s">
        <v>825</v>
      </c>
    </row>
    <row r="668" spans="1:10" x14ac:dyDescent="0.25">
      <c r="A668" t="s">
        <v>34</v>
      </c>
      <c r="B668" s="1">
        <v>90926.92</v>
      </c>
      <c r="C668">
        <v>73050.69</v>
      </c>
      <c r="D668" s="2">
        <v>43914</v>
      </c>
      <c r="E668" t="s">
        <v>60</v>
      </c>
      <c r="F668" t="s">
        <v>168</v>
      </c>
      <c r="G668" t="s">
        <v>36</v>
      </c>
      <c r="H668" t="s">
        <v>41</v>
      </c>
      <c r="I668" t="s">
        <v>28</v>
      </c>
      <c r="J668" t="s">
        <v>826</v>
      </c>
    </row>
    <row r="669" spans="1:10" x14ac:dyDescent="0.25">
      <c r="A669" t="s">
        <v>10</v>
      </c>
      <c r="B669" s="1">
        <v>72757.009999999995</v>
      </c>
      <c r="C669">
        <v>63378.63</v>
      </c>
      <c r="D669" s="2">
        <v>43895</v>
      </c>
      <c r="E669" t="s">
        <v>139</v>
      </c>
      <c r="F669" t="s">
        <v>31</v>
      </c>
      <c r="G669" t="s">
        <v>13</v>
      </c>
      <c r="H669" t="s">
        <v>82</v>
      </c>
      <c r="I669" t="s">
        <v>28</v>
      </c>
      <c r="J669" t="s">
        <v>827</v>
      </c>
    </row>
    <row r="670" spans="1:10" x14ac:dyDescent="0.25">
      <c r="A670" t="s">
        <v>53</v>
      </c>
      <c r="B670" s="1">
        <v>60068.71</v>
      </c>
      <c r="C670">
        <v>47688.55</v>
      </c>
      <c r="D670" s="2">
        <v>43960</v>
      </c>
      <c r="E670" t="s">
        <v>139</v>
      </c>
      <c r="F670" t="s">
        <v>114</v>
      </c>
      <c r="G670" t="s">
        <v>55</v>
      </c>
      <c r="H670" t="s">
        <v>128</v>
      </c>
      <c r="I670" t="s">
        <v>28</v>
      </c>
      <c r="J670" t="s">
        <v>828</v>
      </c>
    </row>
    <row r="671" spans="1:10" x14ac:dyDescent="0.25">
      <c r="A671" t="s">
        <v>53</v>
      </c>
      <c r="B671" s="1">
        <v>105522.72</v>
      </c>
      <c r="C671">
        <v>86581.39</v>
      </c>
      <c r="D671" s="2">
        <v>43512</v>
      </c>
      <c r="E671" t="s">
        <v>24</v>
      </c>
      <c r="F671" t="s">
        <v>54</v>
      </c>
      <c r="G671" t="s">
        <v>55</v>
      </c>
      <c r="H671" t="s">
        <v>72</v>
      </c>
      <c r="I671" t="s">
        <v>28</v>
      </c>
      <c r="J671" t="s">
        <v>829</v>
      </c>
    </row>
    <row r="672" spans="1:10" x14ac:dyDescent="0.25">
      <c r="A672" t="s">
        <v>106</v>
      </c>
      <c r="B672" s="1">
        <v>61374.06</v>
      </c>
      <c r="C672">
        <v>49099.25</v>
      </c>
      <c r="D672" s="2">
        <v>43881</v>
      </c>
      <c r="E672" t="s">
        <v>18</v>
      </c>
      <c r="F672" t="s">
        <v>102</v>
      </c>
      <c r="G672" t="s">
        <v>107</v>
      </c>
      <c r="H672" t="s">
        <v>108</v>
      </c>
      <c r="I672" t="s">
        <v>28</v>
      </c>
      <c r="J672" t="s">
        <v>830</v>
      </c>
    </row>
    <row r="673" spans="1:10" x14ac:dyDescent="0.25">
      <c r="A673" t="s">
        <v>23</v>
      </c>
      <c r="B673" s="1">
        <v>76856.570000000007</v>
      </c>
      <c r="C673">
        <v>65535.6</v>
      </c>
      <c r="D673" s="2">
        <v>43616</v>
      </c>
      <c r="E673" t="s">
        <v>24</v>
      </c>
      <c r="F673" t="s">
        <v>237</v>
      </c>
      <c r="G673" t="s">
        <v>26</v>
      </c>
      <c r="H673" t="s">
        <v>90</v>
      </c>
      <c r="I673" t="s">
        <v>28</v>
      </c>
      <c r="J673" t="s">
        <v>831</v>
      </c>
    </row>
    <row r="674" spans="1:10" x14ac:dyDescent="0.25">
      <c r="A674" t="s">
        <v>34</v>
      </c>
      <c r="B674" s="1">
        <v>174262.11</v>
      </c>
      <c r="C674">
        <v>143278.31</v>
      </c>
      <c r="D674" s="2">
        <v>43560</v>
      </c>
      <c r="E674" t="s">
        <v>18</v>
      </c>
      <c r="F674" t="s">
        <v>31</v>
      </c>
      <c r="G674" t="s">
        <v>36</v>
      </c>
      <c r="H674" t="s">
        <v>41</v>
      </c>
      <c r="I674" t="s">
        <v>28</v>
      </c>
      <c r="J674" t="s">
        <v>832</v>
      </c>
    </row>
    <row r="675" spans="1:10" x14ac:dyDescent="0.25">
      <c r="A675" t="s">
        <v>10</v>
      </c>
      <c r="B675" s="1">
        <v>151315.26</v>
      </c>
      <c r="C675">
        <v>121173.26</v>
      </c>
      <c r="D675" s="2">
        <v>43608</v>
      </c>
      <c r="E675" t="s">
        <v>30</v>
      </c>
      <c r="F675" t="s">
        <v>126</v>
      </c>
      <c r="G675" t="s">
        <v>13</v>
      </c>
      <c r="H675" t="s">
        <v>118</v>
      </c>
      <c r="I675" t="s">
        <v>28</v>
      </c>
      <c r="J675" t="s">
        <v>833</v>
      </c>
    </row>
    <row r="676" spans="1:10" x14ac:dyDescent="0.25">
      <c r="A676" t="s">
        <v>173</v>
      </c>
      <c r="B676" s="1">
        <v>50495.53</v>
      </c>
      <c r="C676">
        <v>40749.89</v>
      </c>
      <c r="D676" s="2">
        <v>44074</v>
      </c>
      <c r="E676" t="s">
        <v>60</v>
      </c>
      <c r="F676" t="s">
        <v>734</v>
      </c>
      <c r="G676" t="s">
        <v>175</v>
      </c>
      <c r="H676" t="s">
        <v>212</v>
      </c>
      <c r="I676" t="s">
        <v>15</v>
      </c>
      <c r="J676" t="s">
        <v>834</v>
      </c>
    </row>
    <row r="677" spans="1:10" x14ac:dyDescent="0.25">
      <c r="A677" t="s">
        <v>45</v>
      </c>
      <c r="B677" s="1">
        <v>36534.089999999997</v>
      </c>
      <c r="C677">
        <v>31138</v>
      </c>
      <c r="D677" s="2">
        <v>44029</v>
      </c>
      <c r="E677" t="s">
        <v>51</v>
      </c>
      <c r="F677" t="s">
        <v>153</v>
      </c>
      <c r="G677" t="s">
        <v>48</v>
      </c>
      <c r="H677" t="s">
        <v>49</v>
      </c>
      <c r="I677" t="s">
        <v>28</v>
      </c>
      <c r="J677" t="s">
        <v>835</v>
      </c>
    </row>
    <row r="678" spans="1:10" x14ac:dyDescent="0.25">
      <c r="A678" t="s">
        <v>53</v>
      </c>
      <c r="B678" s="1">
        <v>134243.39000000001</v>
      </c>
      <c r="C678">
        <v>113019.51</v>
      </c>
      <c r="D678" s="2">
        <v>43486</v>
      </c>
      <c r="E678" t="s">
        <v>30</v>
      </c>
      <c r="F678" t="s">
        <v>234</v>
      </c>
      <c r="G678" t="s">
        <v>55</v>
      </c>
      <c r="H678" t="s">
        <v>56</v>
      </c>
      <c r="I678" t="s">
        <v>28</v>
      </c>
      <c r="J678" t="s">
        <v>836</v>
      </c>
    </row>
    <row r="679" spans="1:10" x14ac:dyDescent="0.25">
      <c r="A679" t="s">
        <v>53</v>
      </c>
      <c r="B679" s="1">
        <v>56068.7</v>
      </c>
      <c r="C679">
        <v>47378.05</v>
      </c>
      <c r="D679" s="2">
        <v>43502</v>
      </c>
      <c r="E679" t="s">
        <v>18</v>
      </c>
      <c r="F679" t="s">
        <v>210</v>
      </c>
      <c r="G679" t="s">
        <v>55</v>
      </c>
      <c r="H679" t="s">
        <v>133</v>
      </c>
      <c r="I679" t="s">
        <v>28</v>
      </c>
      <c r="J679" t="s">
        <v>837</v>
      </c>
    </row>
    <row r="680" spans="1:10" x14ac:dyDescent="0.25">
      <c r="A680" t="s">
        <v>53</v>
      </c>
      <c r="B680" s="1">
        <v>31161.759999999998</v>
      </c>
      <c r="C680">
        <v>27300.82</v>
      </c>
      <c r="D680" s="2">
        <v>43960</v>
      </c>
      <c r="E680" t="s">
        <v>30</v>
      </c>
      <c r="F680" t="s">
        <v>47</v>
      </c>
      <c r="G680" t="s">
        <v>55</v>
      </c>
      <c r="H680" t="s">
        <v>56</v>
      </c>
      <c r="I680" t="s">
        <v>15</v>
      </c>
      <c r="J680" t="s">
        <v>838</v>
      </c>
    </row>
    <row r="681" spans="1:10" x14ac:dyDescent="0.25">
      <c r="A681" t="s">
        <v>53</v>
      </c>
      <c r="B681" s="1">
        <v>98915.41</v>
      </c>
      <c r="C681">
        <v>85176.06</v>
      </c>
      <c r="D681" s="2">
        <v>43923</v>
      </c>
      <c r="E681" t="s">
        <v>80</v>
      </c>
      <c r="F681" t="s">
        <v>43</v>
      </c>
      <c r="G681" t="s">
        <v>55</v>
      </c>
      <c r="H681" t="s">
        <v>133</v>
      </c>
      <c r="I681" t="s">
        <v>15</v>
      </c>
      <c r="J681" t="s">
        <v>839</v>
      </c>
    </row>
    <row r="682" spans="1:10" x14ac:dyDescent="0.25">
      <c r="A682" t="s">
        <v>173</v>
      </c>
      <c r="B682" s="1">
        <v>114232.68</v>
      </c>
      <c r="C682">
        <v>95795.520000000004</v>
      </c>
      <c r="D682" s="2">
        <v>43547</v>
      </c>
      <c r="E682" t="s">
        <v>24</v>
      </c>
      <c r="F682" t="s">
        <v>35</v>
      </c>
      <c r="G682" t="s">
        <v>175</v>
      </c>
      <c r="H682" t="s">
        <v>176</v>
      </c>
      <c r="I682" t="s">
        <v>38</v>
      </c>
      <c r="J682" t="s">
        <v>840</v>
      </c>
    </row>
    <row r="683" spans="1:10" x14ac:dyDescent="0.25">
      <c r="A683" t="s">
        <v>106</v>
      </c>
      <c r="B683" s="1">
        <v>71360.36</v>
      </c>
      <c r="C683">
        <v>59750.03</v>
      </c>
      <c r="D683" s="2">
        <v>43467</v>
      </c>
      <c r="E683" t="s">
        <v>80</v>
      </c>
      <c r="F683" t="s">
        <v>68</v>
      </c>
      <c r="G683" t="s">
        <v>107</v>
      </c>
      <c r="H683" t="s">
        <v>108</v>
      </c>
      <c r="I683" t="s">
        <v>28</v>
      </c>
      <c r="J683" t="s">
        <v>841</v>
      </c>
    </row>
    <row r="684" spans="1:10" x14ac:dyDescent="0.25">
      <c r="A684" t="s">
        <v>23</v>
      </c>
      <c r="B684" s="1">
        <v>87459.79</v>
      </c>
      <c r="C684">
        <v>69967.83</v>
      </c>
      <c r="D684" s="2">
        <v>44151</v>
      </c>
      <c r="E684" t="s">
        <v>30</v>
      </c>
      <c r="F684" t="s">
        <v>302</v>
      </c>
      <c r="G684" t="s">
        <v>26</v>
      </c>
      <c r="H684" t="s">
        <v>219</v>
      </c>
      <c r="I684" t="s">
        <v>15</v>
      </c>
      <c r="J684" t="s">
        <v>842</v>
      </c>
    </row>
    <row r="685" spans="1:10" x14ac:dyDescent="0.25">
      <c r="A685" t="s">
        <v>17</v>
      </c>
      <c r="B685" s="1">
        <v>52388.85</v>
      </c>
      <c r="C685">
        <v>45641.17</v>
      </c>
      <c r="D685" s="2">
        <v>44043</v>
      </c>
      <c r="E685" t="s">
        <v>80</v>
      </c>
      <c r="F685" t="s">
        <v>35</v>
      </c>
      <c r="G685" t="s">
        <v>20</v>
      </c>
      <c r="H685" t="s">
        <v>353</v>
      </c>
      <c r="I685" t="s">
        <v>28</v>
      </c>
      <c r="J685" t="s">
        <v>843</v>
      </c>
    </row>
    <row r="686" spans="1:10" x14ac:dyDescent="0.25">
      <c r="A686" t="s">
        <v>10</v>
      </c>
      <c r="B686" s="1">
        <v>178304.35</v>
      </c>
      <c r="C686">
        <v>153573.54</v>
      </c>
      <c r="D686" s="2">
        <v>44174</v>
      </c>
      <c r="E686" t="s">
        <v>80</v>
      </c>
      <c r="F686" t="s">
        <v>121</v>
      </c>
      <c r="G686" t="s">
        <v>13</v>
      </c>
      <c r="H686" t="s">
        <v>170</v>
      </c>
      <c r="I686" t="s">
        <v>28</v>
      </c>
      <c r="J686" t="s">
        <v>844</v>
      </c>
    </row>
    <row r="687" spans="1:10" x14ac:dyDescent="0.25">
      <c r="A687" t="s">
        <v>45</v>
      </c>
      <c r="B687" s="1">
        <v>80013.81</v>
      </c>
      <c r="C687">
        <v>65587.320000000007</v>
      </c>
      <c r="D687" s="2">
        <v>43857</v>
      </c>
      <c r="E687" t="s">
        <v>80</v>
      </c>
      <c r="F687" t="s">
        <v>89</v>
      </c>
      <c r="G687" t="s">
        <v>48</v>
      </c>
      <c r="H687" t="s">
        <v>49</v>
      </c>
      <c r="I687" t="s">
        <v>28</v>
      </c>
      <c r="J687" t="s">
        <v>845</v>
      </c>
    </row>
    <row r="688" spans="1:10" x14ac:dyDescent="0.25">
      <c r="A688" t="s">
        <v>173</v>
      </c>
      <c r="B688" s="1">
        <v>88684.7</v>
      </c>
      <c r="C688">
        <v>75337.649999999994</v>
      </c>
      <c r="D688" s="2">
        <v>43853</v>
      </c>
      <c r="E688" t="s">
        <v>139</v>
      </c>
      <c r="F688" t="s">
        <v>168</v>
      </c>
      <c r="G688" t="s">
        <v>175</v>
      </c>
      <c r="H688" t="s">
        <v>212</v>
      </c>
      <c r="I688" t="s">
        <v>28</v>
      </c>
      <c r="J688" t="s">
        <v>846</v>
      </c>
    </row>
    <row r="689" spans="1:10" x14ac:dyDescent="0.25">
      <c r="A689" t="s">
        <v>45</v>
      </c>
      <c r="B689" s="1">
        <v>161773.31</v>
      </c>
      <c r="C689">
        <v>138283.82999999999</v>
      </c>
      <c r="D689" s="2">
        <v>43585</v>
      </c>
      <c r="E689" t="s">
        <v>11</v>
      </c>
      <c r="F689" t="s">
        <v>35</v>
      </c>
      <c r="G689" t="s">
        <v>48</v>
      </c>
      <c r="H689" t="s">
        <v>74</v>
      </c>
      <c r="I689" t="s">
        <v>28</v>
      </c>
      <c r="J689" t="s">
        <v>847</v>
      </c>
    </row>
    <row r="690" spans="1:10" x14ac:dyDescent="0.25">
      <c r="A690" t="s">
        <v>53</v>
      </c>
      <c r="B690" s="1">
        <v>108968.67</v>
      </c>
      <c r="C690">
        <v>88395.39</v>
      </c>
      <c r="D690" s="2">
        <v>43755</v>
      </c>
      <c r="E690" t="s">
        <v>11</v>
      </c>
      <c r="F690" t="s">
        <v>35</v>
      </c>
      <c r="G690" t="s">
        <v>55</v>
      </c>
      <c r="H690" t="s">
        <v>133</v>
      </c>
      <c r="I690" t="s">
        <v>28</v>
      </c>
      <c r="J690" t="s">
        <v>848</v>
      </c>
    </row>
    <row r="691" spans="1:10" x14ac:dyDescent="0.25">
      <c r="A691" t="s">
        <v>45</v>
      </c>
      <c r="B691" s="1">
        <v>50374.22</v>
      </c>
      <c r="C691">
        <v>44047.22</v>
      </c>
      <c r="D691" s="2">
        <v>43745</v>
      </c>
      <c r="E691" t="s">
        <v>18</v>
      </c>
      <c r="F691" t="s">
        <v>97</v>
      </c>
      <c r="G691" t="s">
        <v>48</v>
      </c>
      <c r="H691" t="s">
        <v>66</v>
      </c>
      <c r="I691" t="s">
        <v>28</v>
      </c>
      <c r="J691" t="s">
        <v>849</v>
      </c>
    </row>
    <row r="692" spans="1:10" x14ac:dyDescent="0.25">
      <c r="A692" t="s">
        <v>10</v>
      </c>
      <c r="B692" s="1">
        <v>174380.2</v>
      </c>
      <c r="C692">
        <v>151518.96</v>
      </c>
      <c r="D692" s="2">
        <v>43467</v>
      </c>
      <c r="E692" t="s">
        <v>51</v>
      </c>
      <c r="F692" t="s">
        <v>25</v>
      </c>
      <c r="G692" t="s">
        <v>13</v>
      </c>
      <c r="H692" t="s">
        <v>170</v>
      </c>
      <c r="I692" t="s">
        <v>28</v>
      </c>
      <c r="J692" t="s">
        <v>850</v>
      </c>
    </row>
    <row r="693" spans="1:10" x14ac:dyDescent="0.25">
      <c r="A693" t="s">
        <v>101</v>
      </c>
      <c r="B693" s="1">
        <v>81482.69</v>
      </c>
      <c r="C693">
        <v>64721.7</v>
      </c>
      <c r="D693" s="2">
        <v>43505</v>
      </c>
      <c r="E693" t="s">
        <v>80</v>
      </c>
      <c r="F693" t="s">
        <v>35</v>
      </c>
      <c r="G693" t="s">
        <v>103</v>
      </c>
      <c r="H693" t="s">
        <v>104</v>
      </c>
      <c r="I693" t="s">
        <v>28</v>
      </c>
      <c r="J693" t="s">
        <v>851</v>
      </c>
    </row>
    <row r="694" spans="1:10" x14ac:dyDescent="0.25">
      <c r="A694" t="s">
        <v>53</v>
      </c>
      <c r="B694" s="1">
        <v>108158.8</v>
      </c>
      <c r="C694">
        <v>89328.35</v>
      </c>
      <c r="D694" s="2">
        <v>44113</v>
      </c>
      <c r="E694" t="s">
        <v>51</v>
      </c>
      <c r="F694" t="s">
        <v>160</v>
      </c>
      <c r="G694" t="s">
        <v>55</v>
      </c>
      <c r="H694" t="s">
        <v>128</v>
      </c>
      <c r="I694" t="s">
        <v>28</v>
      </c>
      <c r="J694" t="s">
        <v>852</v>
      </c>
    </row>
    <row r="695" spans="1:10" x14ac:dyDescent="0.25">
      <c r="A695" t="s">
        <v>23</v>
      </c>
      <c r="B695" s="1">
        <v>76943.740000000005</v>
      </c>
      <c r="C695">
        <v>62870.73</v>
      </c>
      <c r="D695" s="2">
        <v>43617</v>
      </c>
      <c r="E695" t="s">
        <v>80</v>
      </c>
      <c r="F695" t="s">
        <v>35</v>
      </c>
      <c r="G695" t="s">
        <v>26</v>
      </c>
      <c r="H695" t="s">
        <v>27</v>
      </c>
      <c r="I695" t="s">
        <v>28</v>
      </c>
      <c r="J695" t="s">
        <v>853</v>
      </c>
    </row>
    <row r="696" spans="1:10" x14ac:dyDescent="0.25">
      <c r="A696" t="s">
        <v>23</v>
      </c>
      <c r="B696" s="1">
        <v>57345.79</v>
      </c>
      <c r="C696">
        <v>45716.06</v>
      </c>
      <c r="D696" s="2">
        <v>44144</v>
      </c>
      <c r="E696" t="s">
        <v>24</v>
      </c>
      <c r="F696" t="s">
        <v>155</v>
      </c>
      <c r="G696" t="s">
        <v>26</v>
      </c>
      <c r="H696" t="s">
        <v>90</v>
      </c>
      <c r="I696" t="s">
        <v>28</v>
      </c>
      <c r="J696" t="s">
        <v>854</v>
      </c>
    </row>
    <row r="697" spans="1:10" x14ac:dyDescent="0.25">
      <c r="A697" t="s">
        <v>10</v>
      </c>
      <c r="B697" s="1">
        <v>71049.09</v>
      </c>
      <c r="C697">
        <v>58842.86</v>
      </c>
      <c r="D697" s="2">
        <v>43692</v>
      </c>
      <c r="E697" t="s">
        <v>62</v>
      </c>
      <c r="F697" t="s">
        <v>254</v>
      </c>
      <c r="G697" t="s">
        <v>13</v>
      </c>
      <c r="H697" t="s">
        <v>14</v>
      </c>
      <c r="I697" t="s">
        <v>28</v>
      </c>
      <c r="J697" t="s">
        <v>855</v>
      </c>
    </row>
    <row r="698" spans="1:10" x14ac:dyDescent="0.25">
      <c r="A698" t="s">
        <v>53</v>
      </c>
      <c r="B698" s="1">
        <v>79205.19</v>
      </c>
      <c r="C698">
        <v>65423.49</v>
      </c>
      <c r="D698" s="2">
        <v>43592</v>
      </c>
      <c r="E698" t="s">
        <v>18</v>
      </c>
      <c r="F698" t="s">
        <v>158</v>
      </c>
      <c r="G698" t="s">
        <v>55</v>
      </c>
      <c r="H698" t="s">
        <v>144</v>
      </c>
      <c r="I698" t="s">
        <v>38</v>
      </c>
      <c r="J698" t="s">
        <v>856</v>
      </c>
    </row>
    <row r="699" spans="1:10" x14ac:dyDescent="0.25">
      <c r="A699" t="s">
        <v>53</v>
      </c>
      <c r="B699" s="1">
        <v>42290.45</v>
      </c>
      <c r="C699">
        <v>34255.26</v>
      </c>
      <c r="D699" s="2">
        <v>43779</v>
      </c>
      <c r="E699" t="s">
        <v>24</v>
      </c>
      <c r="F699" t="s">
        <v>155</v>
      </c>
      <c r="G699" t="s">
        <v>55</v>
      </c>
      <c r="H699" t="s">
        <v>144</v>
      </c>
      <c r="I699" t="s">
        <v>38</v>
      </c>
      <c r="J699" t="s">
        <v>857</v>
      </c>
    </row>
    <row r="700" spans="1:10" x14ac:dyDescent="0.25">
      <c r="A700" t="s">
        <v>53</v>
      </c>
      <c r="B700" s="1">
        <v>110090.36</v>
      </c>
      <c r="C700">
        <v>93433.69</v>
      </c>
      <c r="D700" s="2">
        <v>43497</v>
      </c>
      <c r="E700" t="s">
        <v>24</v>
      </c>
      <c r="F700" t="s">
        <v>168</v>
      </c>
      <c r="G700" t="s">
        <v>55</v>
      </c>
      <c r="H700" t="s">
        <v>56</v>
      </c>
      <c r="I700" t="s">
        <v>28</v>
      </c>
      <c r="J700" t="s">
        <v>858</v>
      </c>
    </row>
    <row r="701" spans="1:10" x14ac:dyDescent="0.25">
      <c r="A701" t="s">
        <v>53</v>
      </c>
      <c r="B701" s="1">
        <v>121043.69</v>
      </c>
      <c r="C701">
        <v>96750.22</v>
      </c>
      <c r="D701" s="2">
        <v>44102</v>
      </c>
      <c r="E701" t="s">
        <v>11</v>
      </c>
      <c r="F701" t="s">
        <v>31</v>
      </c>
      <c r="G701" t="s">
        <v>55</v>
      </c>
      <c r="H701" t="s">
        <v>128</v>
      </c>
      <c r="I701" t="s">
        <v>28</v>
      </c>
      <c r="J701" t="s">
        <v>859</v>
      </c>
    </row>
    <row r="702" spans="1:10" x14ac:dyDescent="0.25">
      <c r="A702" t="s">
        <v>17</v>
      </c>
      <c r="B702" s="1">
        <v>130251.55</v>
      </c>
      <c r="C702">
        <v>105386.53</v>
      </c>
      <c r="D702" s="2">
        <v>43682</v>
      </c>
      <c r="E702" t="s">
        <v>30</v>
      </c>
      <c r="F702" t="s">
        <v>35</v>
      </c>
      <c r="G702" t="s">
        <v>20</v>
      </c>
      <c r="H702" t="s">
        <v>353</v>
      </c>
      <c r="I702" t="s">
        <v>28</v>
      </c>
      <c r="J702" t="s">
        <v>860</v>
      </c>
    </row>
    <row r="703" spans="1:10" x14ac:dyDescent="0.25">
      <c r="A703" t="s">
        <v>53</v>
      </c>
      <c r="B703" s="1">
        <v>156110.39999999999</v>
      </c>
      <c r="C703">
        <v>132584.56</v>
      </c>
      <c r="D703" s="2">
        <v>43668</v>
      </c>
      <c r="E703" t="s">
        <v>30</v>
      </c>
      <c r="F703" t="s">
        <v>327</v>
      </c>
      <c r="G703" t="s">
        <v>55</v>
      </c>
      <c r="H703" t="s">
        <v>56</v>
      </c>
      <c r="I703" t="s">
        <v>28</v>
      </c>
      <c r="J703" t="s">
        <v>861</v>
      </c>
    </row>
    <row r="704" spans="1:10" x14ac:dyDescent="0.25">
      <c r="A704" t="s">
        <v>10</v>
      </c>
      <c r="B704" s="1">
        <v>122273</v>
      </c>
      <c r="C704">
        <v>104531.19</v>
      </c>
      <c r="D704" s="2">
        <v>43837</v>
      </c>
      <c r="E704" t="s">
        <v>51</v>
      </c>
      <c r="F704" t="s">
        <v>302</v>
      </c>
      <c r="G704" t="s">
        <v>13</v>
      </c>
      <c r="H704" t="s">
        <v>118</v>
      </c>
      <c r="I704" t="s">
        <v>28</v>
      </c>
      <c r="J704" t="s">
        <v>862</v>
      </c>
    </row>
    <row r="705" spans="1:10" x14ac:dyDescent="0.25">
      <c r="A705" t="s">
        <v>23</v>
      </c>
      <c r="B705" s="1">
        <v>126021.1</v>
      </c>
      <c r="C705">
        <v>101762.04</v>
      </c>
      <c r="D705" s="2">
        <v>43995</v>
      </c>
      <c r="E705" t="s">
        <v>30</v>
      </c>
      <c r="F705" t="s">
        <v>35</v>
      </c>
      <c r="G705" t="s">
        <v>26</v>
      </c>
      <c r="H705" t="s">
        <v>90</v>
      </c>
      <c r="I705" t="s">
        <v>15</v>
      </c>
      <c r="J705" t="s">
        <v>863</v>
      </c>
    </row>
    <row r="706" spans="1:10" x14ac:dyDescent="0.25">
      <c r="A706" t="s">
        <v>10</v>
      </c>
      <c r="B706" s="1">
        <v>69565.47</v>
      </c>
      <c r="C706">
        <v>57808.91</v>
      </c>
      <c r="D706" s="2">
        <v>43974</v>
      </c>
      <c r="E706" t="s">
        <v>30</v>
      </c>
      <c r="F706" t="s">
        <v>35</v>
      </c>
      <c r="G706" t="s">
        <v>13</v>
      </c>
      <c r="H706" t="s">
        <v>69</v>
      </c>
      <c r="I706" t="s">
        <v>28</v>
      </c>
      <c r="J706" t="s">
        <v>864</v>
      </c>
    </row>
    <row r="707" spans="1:10" x14ac:dyDescent="0.25">
      <c r="A707" t="s">
        <v>101</v>
      </c>
      <c r="B707" s="1">
        <v>174271.91</v>
      </c>
      <c r="C707">
        <v>142083.89000000001</v>
      </c>
      <c r="D707" s="2">
        <v>43605</v>
      </c>
      <c r="E707" t="s">
        <v>24</v>
      </c>
      <c r="F707" t="s">
        <v>31</v>
      </c>
      <c r="G707" t="s">
        <v>103</v>
      </c>
      <c r="H707" t="s">
        <v>104</v>
      </c>
      <c r="I707" t="s">
        <v>28</v>
      </c>
      <c r="J707" t="s">
        <v>865</v>
      </c>
    </row>
    <row r="708" spans="1:10" x14ac:dyDescent="0.25">
      <c r="A708" t="s">
        <v>23</v>
      </c>
      <c r="B708" s="1">
        <v>61994.02</v>
      </c>
      <c r="C708">
        <v>54250.97</v>
      </c>
      <c r="D708" s="2">
        <v>43515</v>
      </c>
      <c r="E708" t="s">
        <v>11</v>
      </c>
      <c r="F708" t="s">
        <v>114</v>
      </c>
      <c r="G708" t="s">
        <v>26</v>
      </c>
      <c r="H708" t="s">
        <v>76</v>
      </c>
      <c r="I708" t="s">
        <v>28</v>
      </c>
      <c r="J708" t="s">
        <v>866</v>
      </c>
    </row>
    <row r="709" spans="1:10" x14ac:dyDescent="0.25">
      <c r="A709" t="s">
        <v>10</v>
      </c>
      <c r="B709" s="1">
        <v>207379.28</v>
      </c>
      <c r="C709">
        <v>166442.60999999999</v>
      </c>
      <c r="D709" s="2">
        <v>43817</v>
      </c>
      <c r="E709" t="s">
        <v>46</v>
      </c>
      <c r="F709" t="s">
        <v>92</v>
      </c>
      <c r="G709" t="s">
        <v>13</v>
      </c>
      <c r="H709" t="s">
        <v>69</v>
      </c>
      <c r="I709" t="s">
        <v>28</v>
      </c>
      <c r="J709" t="s">
        <v>867</v>
      </c>
    </row>
    <row r="710" spans="1:10" x14ac:dyDescent="0.25">
      <c r="A710" t="s">
        <v>10</v>
      </c>
      <c r="B710" s="1">
        <v>153823.74</v>
      </c>
      <c r="C710">
        <v>129258.09</v>
      </c>
      <c r="D710" s="2">
        <v>44165</v>
      </c>
      <c r="E710" t="s">
        <v>80</v>
      </c>
      <c r="F710" t="s">
        <v>188</v>
      </c>
      <c r="G710" t="s">
        <v>13</v>
      </c>
      <c r="H710" t="s">
        <v>69</v>
      </c>
      <c r="I710" t="s">
        <v>15</v>
      </c>
      <c r="J710" t="s">
        <v>868</v>
      </c>
    </row>
    <row r="711" spans="1:10" x14ac:dyDescent="0.25">
      <c r="A711" t="s">
        <v>23</v>
      </c>
      <c r="B711" s="1">
        <v>251003.51</v>
      </c>
      <c r="C711">
        <v>214105.99</v>
      </c>
      <c r="D711" s="2">
        <v>43676</v>
      </c>
      <c r="E711" t="s">
        <v>24</v>
      </c>
      <c r="F711" t="s">
        <v>19</v>
      </c>
      <c r="G711" t="s">
        <v>26</v>
      </c>
      <c r="H711" t="s">
        <v>90</v>
      </c>
      <c r="I711" t="s">
        <v>28</v>
      </c>
      <c r="J711" t="s">
        <v>869</v>
      </c>
    </row>
    <row r="712" spans="1:10" x14ac:dyDescent="0.25">
      <c r="A712" t="s">
        <v>45</v>
      </c>
      <c r="B712" s="1">
        <v>78013.63</v>
      </c>
      <c r="C712">
        <v>64509.47</v>
      </c>
      <c r="D712" s="2">
        <v>43925</v>
      </c>
      <c r="E712" t="s">
        <v>24</v>
      </c>
      <c r="F712" t="s">
        <v>116</v>
      </c>
      <c r="G712" t="s">
        <v>48</v>
      </c>
      <c r="H712" t="s">
        <v>66</v>
      </c>
      <c r="I712" t="s">
        <v>28</v>
      </c>
      <c r="J712" t="s">
        <v>870</v>
      </c>
    </row>
    <row r="713" spans="1:10" x14ac:dyDescent="0.25">
      <c r="A713" t="s">
        <v>17</v>
      </c>
      <c r="B713" s="1">
        <v>204138.34</v>
      </c>
      <c r="C713">
        <v>165617.44</v>
      </c>
      <c r="D713" s="2">
        <v>43636</v>
      </c>
      <c r="E713" t="s">
        <v>24</v>
      </c>
      <c r="F713" t="s">
        <v>434</v>
      </c>
      <c r="G713" t="s">
        <v>20</v>
      </c>
      <c r="H713" t="s">
        <v>21</v>
      </c>
      <c r="I713" t="s">
        <v>38</v>
      </c>
      <c r="J713" t="s">
        <v>871</v>
      </c>
    </row>
    <row r="714" spans="1:10" x14ac:dyDescent="0.25">
      <c r="A714" t="s">
        <v>173</v>
      </c>
      <c r="B714" s="1">
        <v>81358.58</v>
      </c>
      <c r="C714">
        <v>68918.850000000006</v>
      </c>
      <c r="D714" s="2">
        <v>44064</v>
      </c>
      <c r="E714" t="s">
        <v>11</v>
      </c>
      <c r="F714" t="s">
        <v>68</v>
      </c>
      <c r="G714" t="s">
        <v>175</v>
      </c>
      <c r="H714" t="s">
        <v>212</v>
      </c>
      <c r="I714" t="s">
        <v>15</v>
      </c>
      <c r="J714" t="s">
        <v>872</v>
      </c>
    </row>
    <row r="715" spans="1:10" x14ac:dyDescent="0.25">
      <c r="A715" t="s">
        <v>23</v>
      </c>
      <c r="B715" s="1">
        <v>81458.94</v>
      </c>
      <c r="C715">
        <v>64434.02</v>
      </c>
      <c r="D715" s="2">
        <v>43783</v>
      </c>
      <c r="E715" t="s">
        <v>11</v>
      </c>
      <c r="F715" t="s">
        <v>35</v>
      </c>
      <c r="G715" t="s">
        <v>26</v>
      </c>
      <c r="H715" t="s">
        <v>32</v>
      </c>
      <c r="I715" t="s">
        <v>28</v>
      </c>
      <c r="J715" t="s">
        <v>873</v>
      </c>
    </row>
    <row r="716" spans="1:10" x14ac:dyDescent="0.25">
      <c r="A716" t="s">
        <v>10</v>
      </c>
      <c r="B716" s="1">
        <v>79313.86</v>
      </c>
      <c r="C716">
        <v>63316.25</v>
      </c>
      <c r="D716" s="2">
        <v>43891</v>
      </c>
      <c r="E716" t="s">
        <v>51</v>
      </c>
      <c r="F716" t="s">
        <v>210</v>
      </c>
      <c r="G716" t="s">
        <v>13</v>
      </c>
      <c r="H716" t="s">
        <v>14</v>
      </c>
      <c r="I716" t="s">
        <v>28</v>
      </c>
      <c r="J716" t="s">
        <v>874</v>
      </c>
    </row>
    <row r="717" spans="1:10" x14ac:dyDescent="0.25">
      <c r="A717" t="s">
        <v>17</v>
      </c>
      <c r="B717" s="1">
        <v>100978.49</v>
      </c>
      <c r="C717">
        <v>86568.86</v>
      </c>
      <c r="D717" s="2">
        <v>43686</v>
      </c>
      <c r="E717" t="s">
        <v>51</v>
      </c>
      <c r="F717" t="s">
        <v>35</v>
      </c>
      <c r="G717" t="s">
        <v>20</v>
      </c>
      <c r="H717" t="s">
        <v>21</v>
      </c>
      <c r="I717" t="s">
        <v>28</v>
      </c>
      <c r="J717" t="s">
        <v>875</v>
      </c>
    </row>
    <row r="718" spans="1:10" x14ac:dyDescent="0.25">
      <c r="A718" t="s">
        <v>23</v>
      </c>
      <c r="B718" s="1">
        <v>172444.09</v>
      </c>
      <c r="C718">
        <v>149681.47</v>
      </c>
      <c r="D718" s="2">
        <v>43470</v>
      </c>
      <c r="E718" t="s">
        <v>60</v>
      </c>
      <c r="F718" t="s">
        <v>25</v>
      </c>
      <c r="G718" t="s">
        <v>26</v>
      </c>
      <c r="H718" t="s">
        <v>90</v>
      </c>
      <c r="I718" t="s">
        <v>28</v>
      </c>
      <c r="J718" t="s">
        <v>876</v>
      </c>
    </row>
    <row r="719" spans="1:10" x14ac:dyDescent="0.25">
      <c r="A719" t="s">
        <v>45</v>
      </c>
      <c r="B719" s="1">
        <v>111523.01</v>
      </c>
      <c r="C719">
        <v>98017.57</v>
      </c>
      <c r="D719" s="2">
        <v>43892</v>
      </c>
      <c r="E719" t="s">
        <v>62</v>
      </c>
      <c r="F719" t="s">
        <v>234</v>
      </c>
      <c r="G719" t="s">
        <v>48</v>
      </c>
      <c r="H719" t="s">
        <v>49</v>
      </c>
      <c r="I719" t="s">
        <v>28</v>
      </c>
      <c r="J719" t="s">
        <v>877</v>
      </c>
    </row>
    <row r="720" spans="1:10" x14ac:dyDescent="0.25">
      <c r="A720" t="s">
        <v>45</v>
      </c>
      <c r="B720" s="1">
        <v>62947.82</v>
      </c>
      <c r="C720">
        <v>49967.98</v>
      </c>
      <c r="D720" s="2">
        <v>43754</v>
      </c>
      <c r="E720" t="s">
        <v>46</v>
      </c>
      <c r="F720" t="s">
        <v>237</v>
      </c>
      <c r="G720" t="s">
        <v>48</v>
      </c>
      <c r="H720" t="s">
        <v>66</v>
      </c>
      <c r="I720" t="s">
        <v>28</v>
      </c>
      <c r="J720" t="s">
        <v>878</v>
      </c>
    </row>
    <row r="721" spans="1:10" x14ac:dyDescent="0.25">
      <c r="A721" t="s">
        <v>53</v>
      </c>
      <c r="B721" s="1">
        <v>80294.559999999998</v>
      </c>
      <c r="C721">
        <v>65295.54</v>
      </c>
      <c r="D721" s="2">
        <v>43742</v>
      </c>
      <c r="E721" t="s">
        <v>11</v>
      </c>
      <c r="F721" t="s">
        <v>110</v>
      </c>
      <c r="G721" t="s">
        <v>55</v>
      </c>
      <c r="H721" t="s">
        <v>144</v>
      </c>
      <c r="I721" t="s">
        <v>28</v>
      </c>
      <c r="J721" t="s">
        <v>879</v>
      </c>
    </row>
    <row r="722" spans="1:10" x14ac:dyDescent="0.25">
      <c r="A722" t="s">
        <v>53</v>
      </c>
      <c r="B722" s="1">
        <v>234961.46</v>
      </c>
      <c r="C722">
        <v>199388.3</v>
      </c>
      <c r="D722" s="2">
        <v>43618</v>
      </c>
      <c r="E722" t="s">
        <v>46</v>
      </c>
      <c r="F722" t="s">
        <v>734</v>
      </c>
      <c r="G722" t="s">
        <v>55</v>
      </c>
      <c r="H722" t="s">
        <v>56</v>
      </c>
      <c r="I722" t="s">
        <v>15</v>
      </c>
      <c r="J722" t="s">
        <v>880</v>
      </c>
    </row>
    <row r="723" spans="1:10" x14ac:dyDescent="0.25">
      <c r="A723" t="s">
        <v>53</v>
      </c>
      <c r="B723" s="1">
        <v>214615.79</v>
      </c>
      <c r="C723">
        <v>177637.49</v>
      </c>
      <c r="D723" s="2">
        <v>43646</v>
      </c>
      <c r="E723" t="s">
        <v>18</v>
      </c>
      <c r="F723" t="s">
        <v>180</v>
      </c>
      <c r="G723" t="s">
        <v>55</v>
      </c>
      <c r="H723" t="s">
        <v>72</v>
      </c>
      <c r="I723" t="s">
        <v>28</v>
      </c>
      <c r="J723" t="s">
        <v>881</v>
      </c>
    </row>
    <row r="724" spans="1:10" x14ac:dyDescent="0.25">
      <c r="A724" t="s">
        <v>53</v>
      </c>
      <c r="B724" s="1">
        <v>173418.59</v>
      </c>
      <c r="C724">
        <v>140746.53</v>
      </c>
      <c r="D724" s="2">
        <v>43604</v>
      </c>
      <c r="E724" t="s">
        <v>80</v>
      </c>
      <c r="F724" t="s">
        <v>31</v>
      </c>
      <c r="G724" t="s">
        <v>55</v>
      </c>
      <c r="H724" t="s">
        <v>56</v>
      </c>
      <c r="I724" t="s">
        <v>28</v>
      </c>
      <c r="J724" t="s">
        <v>882</v>
      </c>
    </row>
    <row r="725" spans="1:10" x14ac:dyDescent="0.25">
      <c r="A725" t="s">
        <v>53</v>
      </c>
      <c r="B725" s="1">
        <v>27400.69</v>
      </c>
      <c r="C725">
        <v>22832.99</v>
      </c>
      <c r="D725" s="2">
        <v>43726</v>
      </c>
      <c r="E725" t="s">
        <v>80</v>
      </c>
      <c r="F725" t="s">
        <v>368</v>
      </c>
      <c r="G725" t="s">
        <v>55</v>
      </c>
      <c r="H725" t="s">
        <v>56</v>
      </c>
      <c r="I725" t="s">
        <v>28</v>
      </c>
      <c r="J725" t="s">
        <v>883</v>
      </c>
    </row>
    <row r="726" spans="1:10" x14ac:dyDescent="0.25">
      <c r="A726" t="s">
        <v>23</v>
      </c>
      <c r="B726" s="1">
        <v>179323.22</v>
      </c>
      <c r="C726">
        <v>150739.1</v>
      </c>
      <c r="D726" s="2">
        <v>44051</v>
      </c>
      <c r="E726" t="s">
        <v>60</v>
      </c>
      <c r="F726" t="s">
        <v>341</v>
      </c>
      <c r="G726" t="s">
        <v>26</v>
      </c>
      <c r="H726" t="s">
        <v>219</v>
      </c>
      <c r="I726" t="s">
        <v>38</v>
      </c>
      <c r="J726" t="s">
        <v>884</v>
      </c>
    </row>
    <row r="727" spans="1:10" x14ac:dyDescent="0.25">
      <c r="A727" t="s">
        <v>23</v>
      </c>
      <c r="B727" s="1">
        <v>135211.42000000001</v>
      </c>
      <c r="C727">
        <v>108534.21</v>
      </c>
      <c r="D727" s="2">
        <v>43689</v>
      </c>
      <c r="E727" t="s">
        <v>24</v>
      </c>
      <c r="F727" t="s">
        <v>25</v>
      </c>
      <c r="G727" t="s">
        <v>26</v>
      </c>
      <c r="H727" t="s">
        <v>76</v>
      </c>
      <c r="I727" t="s">
        <v>28</v>
      </c>
      <c r="J727" t="s">
        <v>885</v>
      </c>
    </row>
    <row r="728" spans="1:10" x14ac:dyDescent="0.25">
      <c r="A728" t="s">
        <v>53</v>
      </c>
      <c r="B728" s="1">
        <v>186209.44</v>
      </c>
      <c r="C728">
        <v>148818.57999999999</v>
      </c>
      <c r="D728" s="2">
        <v>43640</v>
      </c>
      <c r="E728" t="s">
        <v>24</v>
      </c>
      <c r="F728" t="s">
        <v>114</v>
      </c>
      <c r="G728" t="s">
        <v>55</v>
      </c>
      <c r="H728" t="s">
        <v>144</v>
      </c>
      <c r="I728" t="s">
        <v>15</v>
      </c>
      <c r="J728" t="s">
        <v>886</v>
      </c>
    </row>
    <row r="729" spans="1:10" x14ac:dyDescent="0.25">
      <c r="A729" t="s">
        <v>173</v>
      </c>
      <c r="B729" s="1">
        <v>127591.73</v>
      </c>
      <c r="C729">
        <v>108988.86</v>
      </c>
      <c r="D729" s="2">
        <v>43951</v>
      </c>
      <c r="E729" t="s">
        <v>18</v>
      </c>
      <c r="F729" t="s">
        <v>58</v>
      </c>
      <c r="G729" t="s">
        <v>175</v>
      </c>
      <c r="H729" t="s">
        <v>212</v>
      </c>
      <c r="I729" t="s">
        <v>15</v>
      </c>
      <c r="J729" t="s">
        <v>887</v>
      </c>
    </row>
    <row r="730" spans="1:10" x14ac:dyDescent="0.25">
      <c r="A730" t="s">
        <v>10</v>
      </c>
      <c r="B730" s="1">
        <v>53093.47</v>
      </c>
      <c r="C730">
        <v>42533.18</v>
      </c>
      <c r="D730" s="2">
        <v>44129</v>
      </c>
      <c r="E730" t="s">
        <v>24</v>
      </c>
      <c r="F730" t="s">
        <v>302</v>
      </c>
      <c r="G730" t="s">
        <v>13</v>
      </c>
      <c r="H730" t="s">
        <v>69</v>
      </c>
      <c r="I730" t="s">
        <v>28</v>
      </c>
      <c r="J730" t="s">
        <v>888</v>
      </c>
    </row>
    <row r="731" spans="1:10" x14ac:dyDescent="0.25">
      <c r="A731" t="s">
        <v>84</v>
      </c>
      <c r="B731" s="1">
        <v>28787.17</v>
      </c>
      <c r="C731">
        <v>24610.15</v>
      </c>
      <c r="D731" s="2">
        <v>43683</v>
      </c>
      <c r="E731" t="s">
        <v>18</v>
      </c>
      <c r="F731" t="s">
        <v>182</v>
      </c>
      <c r="G731" t="s">
        <v>85</v>
      </c>
      <c r="H731" t="s">
        <v>86</v>
      </c>
      <c r="I731" t="s">
        <v>28</v>
      </c>
      <c r="J731" t="s">
        <v>889</v>
      </c>
    </row>
    <row r="732" spans="1:10" x14ac:dyDescent="0.25">
      <c r="A732" t="s">
        <v>45</v>
      </c>
      <c r="B732" s="1">
        <v>49930.87</v>
      </c>
      <c r="C732">
        <v>40174.379999999997</v>
      </c>
      <c r="D732" s="2">
        <v>43882</v>
      </c>
      <c r="E732" t="s">
        <v>62</v>
      </c>
      <c r="F732" t="s">
        <v>123</v>
      </c>
      <c r="G732" t="s">
        <v>48</v>
      </c>
      <c r="H732" t="s">
        <v>66</v>
      </c>
      <c r="I732" t="s">
        <v>28</v>
      </c>
      <c r="J732" t="s">
        <v>890</v>
      </c>
    </row>
    <row r="733" spans="1:10" x14ac:dyDescent="0.25">
      <c r="A733" t="s">
        <v>23</v>
      </c>
      <c r="B733" s="1">
        <v>48763.58</v>
      </c>
      <c r="C733">
        <v>39435.11</v>
      </c>
      <c r="D733" s="2">
        <v>44026</v>
      </c>
      <c r="E733" t="s">
        <v>60</v>
      </c>
      <c r="F733" t="s">
        <v>123</v>
      </c>
      <c r="G733" t="s">
        <v>26</v>
      </c>
      <c r="H733" t="s">
        <v>27</v>
      </c>
      <c r="I733" t="s">
        <v>28</v>
      </c>
      <c r="J733" t="s">
        <v>891</v>
      </c>
    </row>
    <row r="734" spans="1:10" x14ac:dyDescent="0.25">
      <c r="A734" t="s">
        <v>53</v>
      </c>
      <c r="B734" s="1">
        <v>71079.8</v>
      </c>
      <c r="C734">
        <v>56778.54</v>
      </c>
      <c r="D734" s="2">
        <v>43784</v>
      </c>
      <c r="E734" t="s">
        <v>80</v>
      </c>
      <c r="F734" t="s">
        <v>58</v>
      </c>
      <c r="G734" t="s">
        <v>55</v>
      </c>
      <c r="H734" t="s">
        <v>144</v>
      </c>
      <c r="I734" t="s">
        <v>28</v>
      </c>
      <c r="J734" t="s">
        <v>892</v>
      </c>
    </row>
    <row r="735" spans="1:10" x14ac:dyDescent="0.25">
      <c r="A735" t="s">
        <v>10</v>
      </c>
      <c r="B735" s="1">
        <v>43158.94</v>
      </c>
      <c r="C735">
        <v>36244.879999999997</v>
      </c>
      <c r="D735" s="2">
        <v>43598</v>
      </c>
      <c r="E735" t="s">
        <v>80</v>
      </c>
      <c r="F735" t="s">
        <v>188</v>
      </c>
      <c r="G735" t="s">
        <v>13</v>
      </c>
      <c r="H735" t="s">
        <v>69</v>
      </c>
      <c r="I735" t="s">
        <v>28</v>
      </c>
      <c r="J735" t="s">
        <v>893</v>
      </c>
    </row>
    <row r="736" spans="1:10" x14ac:dyDescent="0.25">
      <c r="A736" t="s">
        <v>53</v>
      </c>
      <c r="B736" s="1">
        <v>117538.82</v>
      </c>
      <c r="C736">
        <v>100719.02</v>
      </c>
      <c r="D736" s="2">
        <v>43649</v>
      </c>
      <c r="E736" t="s">
        <v>30</v>
      </c>
      <c r="F736" t="s">
        <v>64</v>
      </c>
      <c r="G736" t="s">
        <v>55</v>
      </c>
      <c r="H736" t="s">
        <v>144</v>
      </c>
      <c r="I736" t="s">
        <v>28</v>
      </c>
      <c r="J736" t="s">
        <v>894</v>
      </c>
    </row>
    <row r="737" spans="1:10" x14ac:dyDescent="0.25">
      <c r="A737" t="s">
        <v>23</v>
      </c>
      <c r="B737" s="1">
        <v>45725.53</v>
      </c>
      <c r="C737">
        <v>36571.279999999999</v>
      </c>
      <c r="D737" s="2">
        <v>44019</v>
      </c>
      <c r="E737" t="s">
        <v>139</v>
      </c>
      <c r="F737" t="s">
        <v>43</v>
      </c>
      <c r="G737" t="s">
        <v>26</v>
      </c>
      <c r="H737" t="s">
        <v>32</v>
      </c>
      <c r="I737" t="s">
        <v>15</v>
      </c>
      <c r="J737" t="s">
        <v>895</v>
      </c>
    </row>
    <row r="738" spans="1:10" x14ac:dyDescent="0.25">
      <c r="A738" t="s">
        <v>23</v>
      </c>
      <c r="B738" s="1">
        <v>77522.570000000007</v>
      </c>
      <c r="C738">
        <v>64227.45</v>
      </c>
      <c r="D738" s="2">
        <v>43677</v>
      </c>
      <c r="E738" t="s">
        <v>62</v>
      </c>
      <c r="F738" t="s">
        <v>180</v>
      </c>
      <c r="G738" t="s">
        <v>26</v>
      </c>
      <c r="H738" t="s">
        <v>32</v>
      </c>
      <c r="I738" t="s">
        <v>15</v>
      </c>
      <c r="J738" t="s">
        <v>896</v>
      </c>
    </row>
    <row r="739" spans="1:10" x14ac:dyDescent="0.25">
      <c r="A739" t="s">
        <v>215</v>
      </c>
      <c r="B739" s="1">
        <v>44118.5</v>
      </c>
      <c r="C739">
        <v>38250.74</v>
      </c>
      <c r="D739" s="2">
        <v>43894</v>
      </c>
      <c r="E739" t="s">
        <v>80</v>
      </c>
      <c r="F739" t="s">
        <v>89</v>
      </c>
      <c r="G739" t="s">
        <v>216</v>
      </c>
      <c r="H739" t="s">
        <v>217</v>
      </c>
      <c r="I739" t="s">
        <v>15</v>
      </c>
      <c r="J739" t="s">
        <v>897</v>
      </c>
    </row>
    <row r="740" spans="1:10" x14ac:dyDescent="0.25">
      <c r="A740" t="s">
        <v>45</v>
      </c>
      <c r="B740" s="1">
        <v>242526</v>
      </c>
      <c r="C740">
        <v>212113.24</v>
      </c>
      <c r="D740" s="2">
        <v>43619</v>
      </c>
      <c r="E740" t="s">
        <v>24</v>
      </c>
      <c r="F740" t="s">
        <v>166</v>
      </c>
      <c r="G740" t="s">
        <v>48</v>
      </c>
      <c r="H740" t="s">
        <v>49</v>
      </c>
      <c r="I740" t="s">
        <v>28</v>
      </c>
      <c r="J740" t="s">
        <v>898</v>
      </c>
    </row>
    <row r="741" spans="1:10" x14ac:dyDescent="0.25">
      <c r="A741" t="s">
        <v>53</v>
      </c>
      <c r="B741" s="1">
        <v>140635.94</v>
      </c>
      <c r="C741">
        <v>115194.9</v>
      </c>
      <c r="D741" s="2">
        <v>44173</v>
      </c>
      <c r="E741" t="s">
        <v>60</v>
      </c>
      <c r="F741" t="s">
        <v>35</v>
      </c>
      <c r="G741" t="s">
        <v>55</v>
      </c>
      <c r="H741" t="s">
        <v>72</v>
      </c>
      <c r="I741" t="s">
        <v>28</v>
      </c>
      <c r="J741" t="s">
        <v>899</v>
      </c>
    </row>
    <row r="742" spans="1:10" x14ac:dyDescent="0.25">
      <c r="A742" t="s">
        <v>23</v>
      </c>
      <c r="B742" s="1">
        <v>157754.35999999999</v>
      </c>
      <c r="C742">
        <v>132166.6</v>
      </c>
      <c r="D742" s="2">
        <v>43686</v>
      </c>
      <c r="E742" t="s">
        <v>11</v>
      </c>
      <c r="F742" t="s">
        <v>180</v>
      </c>
      <c r="G742" t="s">
        <v>26</v>
      </c>
      <c r="H742" t="s">
        <v>32</v>
      </c>
      <c r="I742" t="s">
        <v>15</v>
      </c>
      <c r="J742" t="s">
        <v>900</v>
      </c>
    </row>
    <row r="743" spans="1:10" x14ac:dyDescent="0.25">
      <c r="A743" t="s">
        <v>53</v>
      </c>
      <c r="B743" s="1">
        <v>88977.22</v>
      </c>
      <c r="C743">
        <v>72534.23</v>
      </c>
      <c r="D743" s="2">
        <v>44107</v>
      </c>
      <c r="E743" t="s">
        <v>11</v>
      </c>
      <c r="F743" t="s">
        <v>92</v>
      </c>
      <c r="G743" t="s">
        <v>55</v>
      </c>
      <c r="H743" t="s">
        <v>133</v>
      </c>
      <c r="I743" t="s">
        <v>28</v>
      </c>
      <c r="J743" t="s">
        <v>901</v>
      </c>
    </row>
    <row r="744" spans="1:10" x14ac:dyDescent="0.25">
      <c r="A744" t="s">
        <v>23</v>
      </c>
      <c r="B744" s="1">
        <v>74231.25</v>
      </c>
      <c r="C744">
        <v>61604.51</v>
      </c>
      <c r="D744" s="2">
        <v>43780</v>
      </c>
      <c r="E744" t="s">
        <v>30</v>
      </c>
      <c r="F744" t="s">
        <v>54</v>
      </c>
      <c r="G744" t="s">
        <v>26</v>
      </c>
      <c r="H744" t="s">
        <v>219</v>
      </c>
      <c r="I744" t="s">
        <v>15</v>
      </c>
      <c r="J744" t="s">
        <v>902</v>
      </c>
    </row>
    <row r="745" spans="1:10" x14ac:dyDescent="0.25">
      <c r="A745" t="s">
        <v>10</v>
      </c>
      <c r="B745" s="1">
        <v>131402.37</v>
      </c>
      <c r="C745">
        <v>106383.36</v>
      </c>
      <c r="D745" s="2">
        <v>43741</v>
      </c>
      <c r="E745" t="s">
        <v>30</v>
      </c>
      <c r="F745" t="s">
        <v>35</v>
      </c>
      <c r="G745" t="s">
        <v>13</v>
      </c>
      <c r="H745" t="s">
        <v>69</v>
      </c>
      <c r="I745" t="s">
        <v>28</v>
      </c>
      <c r="J745" t="s">
        <v>903</v>
      </c>
    </row>
    <row r="746" spans="1:10" x14ac:dyDescent="0.25">
      <c r="A746" t="s">
        <v>10</v>
      </c>
      <c r="B746" s="1">
        <v>156505.37</v>
      </c>
      <c r="C746">
        <v>128647.41</v>
      </c>
      <c r="D746" s="2">
        <v>43589</v>
      </c>
      <c r="E746" t="s">
        <v>80</v>
      </c>
      <c r="F746" t="s">
        <v>132</v>
      </c>
      <c r="G746" t="s">
        <v>13</v>
      </c>
      <c r="H746" t="s">
        <v>82</v>
      </c>
      <c r="I746" t="s">
        <v>28</v>
      </c>
      <c r="J746" t="s">
        <v>904</v>
      </c>
    </row>
    <row r="747" spans="1:10" x14ac:dyDescent="0.25">
      <c r="A747" t="s">
        <v>23</v>
      </c>
      <c r="B747" s="1">
        <v>139200.81</v>
      </c>
      <c r="C747">
        <v>120172.06</v>
      </c>
      <c r="D747" s="2">
        <v>43700</v>
      </c>
      <c r="E747" t="s">
        <v>18</v>
      </c>
      <c r="F747" t="s">
        <v>35</v>
      </c>
      <c r="G747" t="s">
        <v>26</v>
      </c>
      <c r="H747" t="s">
        <v>219</v>
      </c>
      <c r="I747" t="s">
        <v>28</v>
      </c>
      <c r="J747" t="s">
        <v>905</v>
      </c>
    </row>
    <row r="748" spans="1:10" x14ac:dyDescent="0.25">
      <c r="A748" t="s">
        <v>10</v>
      </c>
      <c r="B748" s="1">
        <v>121292.94</v>
      </c>
      <c r="C748">
        <v>104384.7</v>
      </c>
      <c r="D748" s="2">
        <v>43547</v>
      </c>
      <c r="E748" t="s">
        <v>30</v>
      </c>
      <c r="F748" t="s">
        <v>43</v>
      </c>
      <c r="G748" t="s">
        <v>13</v>
      </c>
      <c r="H748" t="s">
        <v>170</v>
      </c>
      <c r="I748" t="s">
        <v>28</v>
      </c>
      <c r="J748" t="s">
        <v>906</v>
      </c>
    </row>
    <row r="749" spans="1:10" x14ac:dyDescent="0.25">
      <c r="A749" t="s">
        <v>53</v>
      </c>
      <c r="B749" s="1">
        <v>84712.13</v>
      </c>
      <c r="C749">
        <v>73004.91</v>
      </c>
      <c r="D749" s="2">
        <v>44023</v>
      </c>
      <c r="E749" t="s">
        <v>11</v>
      </c>
      <c r="F749" t="s">
        <v>160</v>
      </c>
      <c r="G749" t="s">
        <v>55</v>
      </c>
      <c r="H749" t="s">
        <v>133</v>
      </c>
      <c r="I749" t="s">
        <v>28</v>
      </c>
      <c r="J749" t="s">
        <v>907</v>
      </c>
    </row>
    <row r="750" spans="1:10" x14ac:dyDescent="0.25">
      <c r="A750" t="s">
        <v>23</v>
      </c>
      <c r="B750" s="1">
        <v>172202.38</v>
      </c>
      <c r="C750">
        <v>149816.07</v>
      </c>
      <c r="D750" s="2">
        <v>43564</v>
      </c>
      <c r="E750" t="s">
        <v>51</v>
      </c>
      <c r="F750" t="s">
        <v>282</v>
      </c>
      <c r="G750" t="s">
        <v>26</v>
      </c>
      <c r="H750" t="s">
        <v>90</v>
      </c>
      <c r="I750" t="s">
        <v>38</v>
      </c>
      <c r="J750" t="s">
        <v>908</v>
      </c>
    </row>
    <row r="751" spans="1:10" x14ac:dyDescent="0.25">
      <c r="A751" t="s">
        <v>10</v>
      </c>
      <c r="B751" s="1">
        <v>108978.79</v>
      </c>
      <c r="C751">
        <v>95432.73</v>
      </c>
      <c r="D751" s="2">
        <v>43797</v>
      </c>
      <c r="E751" t="s">
        <v>18</v>
      </c>
      <c r="F751" t="s">
        <v>180</v>
      </c>
      <c r="G751" t="s">
        <v>13</v>
      </c>
      <c r="H751" t="s">
        <v>14</v>
      </c>
      <c r="I751" t="s">
        <v>28</v>
      </c>
      <c r="J751" t="s">
        <v>909</v>
      </c>
    </row>
    <row r="752" spans="1:10" x14ac:dyDescent="0.25">
      <c r="A752" t="s">
        <v>23</v>
      </c>
      <c r="B752" s="1">
        <v>69871.92</v>
      </c>
      <c r="C752">
        <v>58014.66</v>
      </c>
      <c r="D752" s="2">
        <v>44080</v>
      </c>
      <c r="E752" t="s">
        <v>18</v>
      </c>
      <c r="F752" t="s">
        <v>35</v>
      </c>
      <c r="G752" t="s">
        <v>26</v>
      </c>
      <c r="H752" t="s">
        <v>27</v>
      </c>
      <c r="I752" t="s">
        <v>28</v>
      </c>
      <c r="J752" t="s">
        <v>910</v>
      </c>
    </row>
    <row r="753" spans="1:10" x14ac:dyDescent="0.25">
      <c r="A753" t="s">
        <v>53</v>
      </c>
      <c r="B753" s="1">
        <v>184221.2</v>
      </c>
      <c r="C753">
        <v>150324.5</v>
      </c>
      <c r="D753" s="2">
        <v>43631</v>
      </c>
      <c r="E753" t="s">
        <v>80</v>
      </c>
      <c r="F753" t="s">
        <v>31</v>
      </c>
      <c r="G753" t="s">
        <v>55</v>
      </c>
      <c r="H753" t="s">
        <v>72</v>
      </c>
      <c r="I753" t="s">
        <v>28</v>
      </c>
      <c r="J753" t="s">
        <v>911</v>
      </c>
    </row>
    <row r="754" spans="1:10" x14ac:dyDescent="0.25">
      <c r="A754" t="s">
        <v>53</v>
      </c>
      <c r="B754" s="1">
        <v>57348.43</v>
      </c>
      <c r="C754">
        <v>47587.73</v>
      </c>
      <c r="D754" s="2">
        <v>43477</v>
      </c>
      <c r="E754" t="s">
        <v>24</v>
      </c>
      <c r="F754" t="s">
        <v>31</v>
      </c>
      <c r="G754" t="s">
        <v>55</v>
      </c>
      <c r="H754" t="s">
        <v>128</v>
      </c>
      <c r="I754" t="s">
        <v>28</v>
      </c>
      <c r="J754" t="s">
        <v>912</v>
      </c>
    </row>
    <row r="755" spans="1:10" x14ac:dyDescent="0.25">
      <c r="A755" t="s">
        <v>53</v>
      </c>
      <c r="B755" s="1">
        <v>197581.29</v>
      </c>
      <c r="C755">
        <v>169485.23</v>
      </c>
      <c r="D755" s="2">
        <v>43812</v>
      </c>
      <c r="E755" t="s">
        <v>80</v>
      </c>
      <c r="F755" t="s">
        <v>158</v>
      </c>
      <c r="G755" t="s">
        <v>55</v>
      </c>
      <c r="H755" t="s">
        <v>133</v>
      </c>
      <c r="I755" t="s">
        <v>28</v>
      </c>
      <c r="J755" t="s">
        <v>913</v>
      </c>
    </row>
    <row r="756" spans="1:10" x14ac:dyDescent="0.25">
      <c r="A756" t="s">
        <v>23</v>
      </c>
      <c r="B756" s="1">
        <v>101321.52</v>
      </c>
      <c r="C756">
        <v>86710.96</v>
      </c>
      <c r="D756" s="2">
        <v>43513</v>
      </c>
      <c r="E756" t="s">
        <v>18</v>
      </c>
      <c r="F756" t="s">
        <v>121</v>
      </c>
      <c r="G756" t="s">
        <v>26</v>
      </c>
      <c r="H756" t="s">
        <v>219</v>
      </c>
      <c r="I756" t="s">
        <v>28</v>
      </c>
      <c r="J756" t="s">
        <v>914</v>
      </c>
    </row>
    <row r="757" spans="1:10" x14ac:dyDescent="0.25">
      <c r="A757" t="s">
        <v>45</v>
      </c>
      <c r="B757" s="1">
        <v>124234.91</v>
      </c>
      <c r="C757">
        <v>98244.97</v>
      </c>
      <c r="D757" s="2">
        <v>44093</v>
      </c>
      <c r="E757" t="s">
        <v>62</v>
      </c>
      <c r="F757" t="s">
        <v>35</v>
      </c>
      <c r="G757" t="s">
        <v>48</v>
      </c>
      <c r="H757" t="s">
        <v>66</v>
      </c>
      <c r="I757" t="s">
        <v>28</v>
      </c>
      <c r="J757" t="s">
        <v>915</v>
      </c>
    </row>
    <row r="758" spans="1:10" x14ac:dyDescent="0.25">
      <c r="A758" t="s">
        <v>23</v>
      </c>
      <c r="B758" s="1">
        <v>254883.03</v>
      </c>
      <c r="C758">
        <v>213413.56</v>
      </c>
      <c r="D758" s="2">
        <v>43811</v>
      </c>
      <c r="E758" t="s">
        <v>51</v>
      </c>
      <c r="F758" t="s">
        <v>210</v>
      </c>
      <c r="G758" t="s">
        <v>26</v>
      </c>
      <c r="H758" t="s">
        <v>76</v>
      </c>
      <c r="I758" t="s">
        <v>28</v>
      </c>
      <c r="J758" t="s">
        <v>916</v>
      </c>
    </row>
    <row r="759" spans="1:10" x14ac:dyDescent="0.25">
      <c r="A759" t="s">
        <v>53</v>
      </c>
      <c r="B759" s="1">
        <v>57333.85</v>
      </c>
      <c r="C759">
        <v>46308.55</v>
      </c>
      <c r="D759" s="2">
        <v>44128</v>
      </c>
      <c r="E759" t="s">
        <v>139</v>
      </c>
      <c r="F759" t="s">
        <v>12</v>
      </c>
      <c r="G759" t="s">
        <v>55</v>
      </c>
      <c r="H759" t="s">
        <v>72</v>
      </c>
      <c r="I759" t="s">
        <v>28</v>
      </c>
      <c r="J759" t="s">
        <v>917</v>
      </c>
    </row>
    <row r="760" spans="1:10" x14ac:dyDescent="0.25">
      <c r="A760" t="s">
        <v>23</v>
      </c>
      <c r="B760" s="1">
        <v>65760.39</v>
      </c>
      <c r="C760">
        <v>56672.3</v>
      </c>
      <c r="D760" s="2">
        <v>44113</v>
      </c>
      <c r="E760" t="s">
        <v>60</v>
      </c>
      <c r="F760" t="s">
        <v>237</v>
      </c>
      <c r="G760" t="s">
        <v>26</v>
      </c>
      <c r="H760" t="s">
        <v>32</v>
      </c>
      <c r="I760" t="s">
        <v>28</v>
      </c>
      <c r="J760" t="s">
        <v>918</v>
      </c>
    </row>
    <row r="761" spans="1:10" x14ac:dyDescent="0.25">
      <c r="A761" t="s">
        <v>23</v>
      </c>
      <c r="B761" s="1">
        <v>53485</v>
      </c>
      <c r="C761">
        <v>46713.8</v>
      </c>
      <c r="D761" s="2">
        <v>43879</v>
      </c>
      <c r="E761" t="s">
        <v>24</v>
      </c>
      <c r="F761" t="s">
        <v>35</v>
      </c>
      <c r="G761" t="s">
        <v>26</v>
      </c>
      <c r="H761" t="s">
        <v>76</v>
      </c>
      <c r="I761" t="s">
        <v>28</v>
      </c>
      <c r="J761" t="s">
        <v>919</v>
      </c>
    </row>
    <row r="762" spans="1:10" x14ac:dyDescent="0.25">
      <c r="A762" t="s">
        <v>53</v>
      </c>
      <c r="B762" s="1">
        <v>154950.74</v>
      </c>
      <c r="C762">
        <v>133195.66</v>
      </c>
      <c r="D762" s="2">
        <v>43747</v>
      </c>
      <c r="E762" t="s">
        <v>60</v>
      </c>
      <c r="F762" t="s">
        <v>234</v>
      </c>
      <c r="G762" t="s">
        <v>55</v>
      </c>
      <c r="H762" t="s">
        <v>128</v>
      </c>
      <c r="I762" t="s">
        <v>38</v>
      </c>
      <c r="J762" t="s">
        <v>920</v>
      </c>
    </row>
    <row r="763" spans="1:10" x14ac:dyDescent="0.25">
      <c r="A763" t="s">
        <v>45</v>
      </c>
      <c r="B763" s="1">
        <v>19949.11</v>
      </c>
      <c r="C763">
        <v>16364.25</v>
      </c>
      <c r="D763" s="2">
        <v>43521</v>
      </c>
      <c r="E763" t="s">
        <v>30</v>
      </c>
      <c r="F763" t="s">
        <v>174</v>
      </c>
      <c r="G763" t="s">
        <v>48</v>
      </c>
      <c r="H763" t="s">
        <v>49</v>
      </c>
      <c r="I763" t="s">
        <v>38</v>
      </c>
      <c r="J763" t="s">
        <v>921</v>
      </c>
    </row>
    <row r="764" spans="1:10" x14ac:dyDescent="0.25">
      <c r="A764" t="s">
        <v>53</v>
      </c>
      <c r="B764" s="1">
        <v>124784.67</v>
      </c>
      <c r="C764">
        <v>106853.11</v>
      </c>
      <c r="D764" s="2">
        <v>43973</v>
      </c>
      <c r="E764" t="s">
        <v>80</v>
      </c>
      <c r="F764" t="s">
        <v>58</v>
      </c>
      <c r="G764" t="s">
        <v>55</v>
      </c>
      <c r="H764" t="s">
        <v>133</v>
      </c>
      <c r="I764" t="s">
        <v>38</v>
      </c>
      <c r="J764" t="s">
        <v>922</v>
      </c>
    </row>
    <row r="765" spans="1:10" x14ac:dyDescent="0.25">
      <c r="A765" t="s">
        <v>106</v>
      </c>
      <c r="B765" s="1">
        <v>120831.28</v>
      </c>
      <c r="C765">
        <v>95746.71</v>
      </c>
      <c r="D765" s="2">
        <v>43973</v>
      </c>
      <c r="E765" t="s">
        <v>62</v>
      </c>
      <c r="F765" t="s">
        <v>648</v>
      </c>
      <c r="G765" t="s">
        <v>107</v>
      </c>
      <c r="H765" t="s">
        <v>108</v>
      </c>
      <c r="I765" t="s">
        <v>28</v>
      </c>
      <c r="J765" t="s">
        <v>923</v>
      </c>
    </row>
    <row r="766" spans="1:10" x14ac:dyDescent="0.25">
      <c r="A766" t="s">
        <v>23</v>
      </c>
      <c r="B766" s="1">
        <v>127631.89</v>
      </c>
      <c r="C766">
        <v>110963.17</v>
      </c>
      <c r="D766" s="2">
        <v>43793</v>
      </c>
      <c r="E766" t="s">
        <v>24</v>
      </c>
      <c r="F766" t="s">
        <v>237</v>
      </c>
      <c r="G766" t="s">
        <v>26</v>
      </c>
      <c r="H766" t="s">
        <v>76</v>
      </c>
      <c r="I766" t="s">
        <v>28</v>
      </c>
      <c r="J766" t="s">
        <v>924</v>
      </c>
    </row>
    <row r="767" spans="1:10" x14ac:dyDescent="0.25">
      <c r="A767" t="s">
        <v>106</v>
      </c>
      <c r="B767" s="1">
        <v>68984.17</v>
      </c>
      <c r="C767">
        <v>59560.93</v>
      </c>
      <c r="D767" s="2">
        <v>43476</v>
      </c>
      <c r="E767" t="s">
        <v>30</v>
      </c>
      <c r="F767" t="s">
        <v>132</v>
      </c>
      <c r="G767" t="s">
        <v>107</v>
      </c>
      <c r="H767" t="s">
        <v>108</v>
      </c>
      <c r="I767" t="s">
        <v>28</v>
      </c>
      <c r="J767" t="s">
        <v>925</v>
      </c>
    </row>
    <row r="768" spans="1:10" x14ac:dyDescent="0.25">
      <c r="A768" t="s">
        <v>53</v>
      </c>
      <c r="B768" s="1">
        <v>56823.17</v>
      </c>
      <c r="C768">
        <v>46583.63</v>
      </c>
      <c r="D768" s="2">
        <v>43820</v>
      </c>
      <c r="E768" t="s">
        <v>30</v>
      </c>
      <c r="F768" t="s">
        <v>71</v>
      </c>
      <c r="G768" t="s">
        <v>55</v>
      </c>
      <c r="H768" t="s">
        <v>133</v>
      </c>
      <c r="I768" t="s">
        <v>15</v>
      </c>
      <c r="J768" t="s">
        <v>926</v>
      </c>
    </row>
    <row r="769" spans="1:10" x14ac:dyDescent="0.25">
      <c r="A769" t="s">
        <v>23</v>
      </c>
      <c r="B769" s="1">
        <v>126974.92</v>
      </c>
      <c r="C769">
        <v>101516.45</v>
      </c>
      <c r="D769" s="2">
        <v>43478</v>
      </c>
      <c r="E769" t="s">
        <v>18</v>
      </c>
      <c r="F769" t="s">
        <v>25</v>
      </c>
      <c r="G769" t="s">
        <v>26</v>
      </c>
      <c r="H769" t="s">
        <v>90</v>
      </c>
      <c r="I769" t="s">
        <v>28</v>
      </c>
      <c r="J769" t="s">
        <v>927</v>
      </c>
    </row>
    <row r="770" spans="1:10" x14ac:dyDescent="0.25">
      <c r="A770" t="s">
        <v>23</v>
      </c>
      <c r="B770" s="1">
        <v>121736.23</v>
      </c>
      <c r="C770">
        <v>106214.86</v>
      </c>
      <c r="D770" s="2">
        <v>43957</v>
      </c>
      <c r="E770" t="s">
        <v>46</v>
      </c>
      <c r="F770" t="s">
        <v>178</v>
      </c>
      <c r="G770" t="s">
        <v>26</v>
      </c>
      <c r="H770" t="s">
        <v>27</v>
      </c>
      <c r="I770" t="s">
        <v>28</v>
      </c>
      <c r="J770" t="s">
        <v>928</v>
      </c>
    </row>
    <row r="771" spans="1:10" x14ac:dyDescent="0.25">
      <c r="A771" t="s">
        <v>53</v>
      </c>
      <c r="B771" s="1">
        <v>150287.47</v>
      </c>
      <c r="C771">
        <v>123611.44</v>
      </c>
      <c r="D771" s="2">
        <v>44048</v>
      </c>
      <c r="E771" t="s">
        <v>11</v>
      </c>
      <c r="F771" t="s">
        <v>146</v>
      </c>
      <c r="G771" t="s">
        <v>55</v>
      </c>
      <c r="H771" t="s">
        <v>144</v>
      </c>
      <c r="I771" t="s">
        <v>28</v>
      </c>
      <c r="J771" t="s">
        <v>929</v>
      </c>
    </row>
    <row r="772" spans="1:10" x14ac:dyDescent="0.25">
      <c r="A772" t="s">
        <v>17</v>
      </c>
      <c r="B772" s="1">
        <v>93007.22</v>
      </c>
      <c r="C772">
        <v>81837.05</v>
      </c>
      <c r="D772" s="2">
        <v>44144</v>
      </c>
      <c r="E772" t="s">
        <v>62</v>
      </c>
      <c r="F772" t="s">
        <v>182</v>
      </c>
      <c r="G772" t="s">
        <v>20</v>
      </c>
      <c r="H772" t="s">
        <v>21</v>
      </c>
      <c r="I772" t="s">
        <v>28</v>
      </c>
      <c r="J772" t="s">
        <v>930</v>
      </c>
    </row>
    <row r="773" spans="1:10" x14ac:dyDescent="0.25">
      <c r="A773" t="s">
        <v>173</v>
      </c>
      <c r="B773" s="1">
        <v>165747.20000000001</v>
      </c>
      <c r="C773">
        <v>132912.68</v>
      </c>
      <c r="D773" s="2">
        <v>43851</v>
      </c>
      <c r="E773" t="s">
        <v>11</v>
      </c>
      <c r="F773" t="s">
        <v>40</v>
      </c>
      <c r="G773" t="s">
        <v>175</v>
      </c>
      <c r="H773" t="s">
        <v>176</v>
      </c>
      <c r="I773" t="s">
        <v>28</v>
      </c>
      <c r="J773" t="s">
        <v>931</v>
      </c>
    </row>
    <row r="774" spans="1:10" x14ac:dyDescent="0.25">
      <c r="A774" t="s">
        <v>10</v>
      </c>
      <c r="B774" s="1">
        <v>177215.51</v>
      </c>
      <c r="C774">
        <v>155807.88</v>
      </c>
      <c r="D774" s="2">
        <v>43592</v>
      </c>
      <c r="E774" t="s">
        <v>24</v>
      </c>
      <c r="F774" t="s">
        <v>132</v>
      </c>
      <c r="G774" t="s">
        <v>13</v>
      </c>
      <c r="H774" t="s">
        <v>82</v>
      </c>
      <c r="I774" t="s">
        <v>28</v>
      </c>
      <c r="J774" t="s">
        <v>932</v>
      </c>
    </row>
    <row r="775" spans="1:10" x14ac:dyDescent="0.25">
      <c r="A775" t="s">
        <v>53</v>
      </c>
      <c r="B775" s="1">
        <v>99132.04</v>
      </c>
      <c r="C775">
        <v>78819.89</v>
      </c>
      <c r="D775" s="2">
        <v>43911</v>
      </c>
      <c r="E775" t="s">
        <v>60</v>
      </c>
      <c r="F775" t="s">
        <v>112</v>
      </c>
      <c r="G775" t="s">
        <v>55</v>
      </c>
      <c r="H775" t="s">
        <v>144</v>
      </c>
      <c r="I775" t="s">
        <v>28</v>
      </c>
      <c r="J775" t="s">
        <v>933</v>
      </c>
    </row>
    <row r="776" spans="1:10" x14ac:dyDescent="0.25">
      <c r="A776" t="s">
        <v>215</v>
      </c>
      <c r="B776" s="1">
        <v>180519.86</v>
      </c>
      <c r="C776">
        <v>145968.35999999999</v>
      </c>
      <c r="D776" s="2">
        <v>43650</v>
      </c>
      <c r="E776" t="s">
        <v>18</v>
      </c>
      <c r="F776" t="s">
        <v>94</v>
      </c>
      <c r="G776" t="s">
        <v>216</v>
      </c>
      <c r="H776" t="s">
        <v>217</v>
      </c>
      <c r="I776" t="s">
        <v>28</v>
      </c>
      <c r="J776" t="s">
        <v>934</v>
      </c>
    </row>
    <row r="777" spans="1:10" x14ac:dyDescent="0.25">
      <c r="A777" t="s">
        <v>53</v>
      </c>
      <c r="B777" s="1">
        <v>68173.22</v>
      </c>
      <c r="C777">
        <v>54040.91</v>
      </c>
      <c r="D777" s="2">
        <v>44149</v>
      </c>
      <c r="E777" t="s">
        <v>60</v>
      </c>
      <c r="F777" t="s">
        <v>25</v>
      </c>
      <c r="G777" t="s">
        <v>55</v>
      </c>
      <c r="H777" t="s">
        <v>72</v>
      </c>
      <c r="I777" t="s">
        <v>28</v>
      </c>
      <c r="J777" t="s">
        <v>935</v>
      </c>
    </row>
    <row r="778" spans="1:10" x14ac:dyDescent="0.25">
      <c r="A778" t="s">
        <v>23</v>
      </c>
      <c r="B778" s="1">
        <v>97439.360000000001</v>
      </c>
      <c r="C778">
        <v>79773.600000000006</v>
      </c>
      <c r="D778" s="2">
        <v>43685</v>
      </c>
      <c r="E778" t="s">
        <v>18</v>
      </c>
      <c r="F778" t="s">
        <v>123</v>
      </c>
      <c r="G778" t="s">
        <v>26</v>
      </c>
      <c r="H778" t="s">
        <v>219</v>
      </c>
      <c r="I778" t="s">
        <v>28</v>
      </c>
      <c r="J778" t="s">
        <v>936</v>
      </c>
    </row>
    <row r="779" spans="1:10" x14ac:dyDescent="0.25">
      <c r="A779" t="s">
        <v>10</v>
      </c>
      <c r="B779" s="1">
        <v>103638.67</v>
      </c>
      <c r="C779">
        <v>84030.23</v>
      </c>
      <c r="D779" s="2">
        <v>44126</v>
      </c>
      <c r="E779" t="s">
        <v>80</v>
      </c>
      <c r="F779" t="s">
        <v>168</v>
      </c>
      <c r="G779" t="s">
        <v>13</v>
      </c>
      <c r="H779" t="s">
        <v>69</v>
      </c>
      <c r="I779" t="s">
        <v>28</v>
      </c>
      <c r="J779" t="s">
        <v>937</v>
      </c>
    </row>
    <row r="780" spans="1:10" x14ac:dyDescent="0.25">
      <c r="A780" t="s">
        <v>10</v>
      </c>
      <c r="B780" s="1">
        <v>169810.63</v>
      </c>
      <c r="C780">
        <v>145952.24</v>
      </c>
      <c r="D780" s="2">
        <v>44163</v>
      </c>
      <c r="E780" t="s">
        <v>60</v>
      </c>
      <c r="F780" t="s">
        <v>237</v>
      </c>
      <c r="G780" t="s">
        <v>13</v>
      </c>
      <c r="H780" t="s">
        <v>118</v>
      </c>
      <c r="I780" t="s">
        <v>28</v>
      </c>
      <c r="J780" t="s">
        <v>938</v>
      </c>
    </row>
    <row r="781" spans="1:10" x14ac:dyDescent="0.25">
      <c r="A781" t="s">
        <v>53</v>
      </c>
      <c r="B781" s="1">
        <v>75264.84</v>
      </c>
      <c r="C781">
        <v>61694.59</v>
      </c>
      <c r="D781" s="2">
        <v>44090</v>
      </c>
      <c r="E781" t="s">
        <v>24</v>
      </c>
      <c r="F781" t="s">
        <v>68</v>
      </c>
      <c r="G781" t="s">
        <v>55</v>
      </c>
      <c r="H781" t="s">
        <v>133</v>
      </c>
      <c r="I781" t="s">
        <v>15</v>
      </c>
      <c r="J781" t="s">
        <v>939</v>
      </c>
    </row>
    <row r="782" spans="1:10" x14ac:dyDescent="0.25">
      <c r="A782" t="s">
        <v>34</v>
      </c>
      <c r="B782" s="1">
        <v>58933.16</v>
      </c>
      <c r="C782">
        <v>51855.29</v>
      </c>
      <c r="D782" s="2">
        <v>43728</v>
      </c>
      <c r="E782" t="s">
        <v>80</v>
      </c>
      <c r="F782" t="s">
        <v>237</v>
      </c>
      <c r="G782" t="s">
        <v>36</v>
      </c>
      <c r="H782" t="s">
        <v>37</v>
      </c>
      <c r="I782" t="s">
        <v>15</v>
      </c>
      <c r="J782" t="s">
        <v>940</v>
      </c>
    </row>
    <row r="783" spans="1:10" x14ac:dyDescent="0.25">
      <c r="A783" t="s">
        <v>23</v>
      </c>
      <c r="B783" s="1">
        <v>168773.6</v>
      </c>
      <c r="C783">
        <v>137398.59</v>
      </c>
      <c r="D783" s="2">
        <v>43699</v>
      </c>
      <c r="E783" t="s">
        <v>18</v>
      </c>
      <c r="F783" t="s">
        <v>68</v>
      </c>
      <c r="G783" t="s">
        <v>26</v>
      </c>
      <c r="H783" t="s">
        <v>76</v>
      </c>
      <c r="I783" t="s">
        <v>28</v>
      </c>
      <c r="J783" t="s">
        <v>941</v>
      </c>
    </row>
    <row r="784" spans="1:10" x14ac:dyDescent="0.25">
      <c r="A784" t="s">
        <v>23</v>
      </c>
      <c r="B784" s="1">
        <v>152676.76999999999</v>
      </c>
      <c r="C784">
        <v>122385.7</v>
      </c>
      <c r="D784" s="2">
        <v>44019</v>
      </c>
      <c r="E784" t="s">
        <v>62</v>
      </c>
      <c r="F784" t="s">
        <v>150</v>
      </c>
      <c r="G784" t="s">
        <v>26</v>
      </c>
      <c r="H784" t="s">
        <v>27</v>
      </c>
      <c r="I784" t="s">
        <v>28</v>
      </c>
      <c r="J784" t="s">
        <v>942</v>
      </c>
    </row>
    <row r="785" spans="1:10" x14ac:dyDescent="0.25">
      <c r="A785" t="s">
        <v>23</v>
      </c>
      <c r="B785" s="1">
        <v>116556.81</v>
      </c>
      <c r="C785">
        <v>95448.37</v>
      </c>
      <c r="D785" s="2">
        <v>43975</v>
      </c>
      <c r="E785" t="s">
        <v>62</v>
      </c>
      <c r="F785" t="s">
        <v>47</v>
      </c>
      <c r="G785" t="s">
        <v>26</v>
      </c>
      <c r="H785" t="s">
        <v>90</v>
      </c>
      <c r="I785" t="s">
        <v>28</v>
      </c>
      <c r="J785" t="s">
        <v>943</v>
      </c>
    </row>
    <row r="786" spans="1:10" x14ac:dyDescent="0.25">
      <c r="A786" t="s">
        <v>53</v>
      </c>
      <c r="B786" s="1">
        <v>310539</v>
      </c>
      <c r="C786">
        <v>248275.93</v>
      </c>
      <c r="D786" s="2">
        <v>44176</v>
      </c>
      <c r="E786" t="s">
        <v>80</v>
      </c>
      <c r="F786" t="s">
        <v>35</v>
      </c>
      <c r="G786" t="s">
        <v>55</v>
      </c>
      <c r="H786" t="s">
        <v>133</v>
      </c>
      <c r="I786" t="s">
        <v>28</v>
      </c>
      <c r="J786" t="s">
        <v>944</v>
      </c>
    </row>
    <row r="787" spans="1:10" x14ac:dyDescent="0.25">
      <c r="A787" t="s">
        <v>23</v>
      </c>
      <c r="B787" s="1">
        <v>106325.72</v>
      </c>
      <c r="C787">
        <v>92705.4</v>
      </c>
      <c r="D787" s="2">
        <v>43727</v>
      </c>
      <c r="E787" t="s">
        <v>18</v>
      </c>
      <c r="F787" t="s">
        <v>12</v>
      </c>
      <c r="G787" t="s">
        <v>26</v>
      </c>
      <c r="H787" t="s">
        <v>32</v>
      </c>
      <c r="I787" t="s">
        <v>15</v>
      </c>
      <c r="J787" t="s">
        <v>945</v>
      </c>
    </row>
    <row r="788" spans="1:10" x14ac:dyDescent="0.25">
      <c r="A788" t="s">
        <v>10</v>
      </c>
      <c r="B788" s="1">
        <v>90602.07</v>
      </c>
      <c r="C788">
        <v>71630</v>
      </c>
      <c r="D788" s="2">
        <v>43895</v>
      </c>
      <c r="E788" t="s">
        <v>80</v>
      </c>
      <c r="F788" t="s">
        <v>148</v>
      </c>
      <c r="G788" t="s">
        <v>13</v>
      </c>
      <c r="H788" t="s">
        <v>170</v>
      </c>
      <c r="I788" t="s">
        <v>28</v>
      </c>
      <c r="J788" t="s">
        <v>946</v>
      </c>
    </row>
    <row r="789" spans="1:10" x14ac:dyDescent="0.25">
      <c r="A789" t="s">
        <v>34</v>
      </c>
      <c r="B789" s="1">
        <v>120012.56</v>
      </c>
      <c r="C789">
        <v>97762.23</v>
      </c>
      <c r="D789" s="2">
        <v>43962</v>
      </c>
      <c r="E789" t="s">
        <v>18</v>
      </c>
      <c r="F789" t="s">
        <v>132</v>
      </c>
      <c r="G789" t="s">
        <v>36</v>
      </c>
      <c r="H789" t="s">
        <v>37</v>
      </c>
      <c r="I789" t="s">
        <v>15</v>
      </c>
      <c r="J789" t="s">
        <v>947</v>
      </c>
    </row>
    <row r="790" spans="1:10" x14ac:dyDescent="0.25">
      <c r="A790" t="s">
        <v>53</v>
      </c>
      <c r="B790" s="1">
        <v>143658.22</v>
      </c>
      <c r="C790">
        <v>123158.19</v>
      </c>
      <c r="D790" s="2">
        <v>44134</v>
      </c>
      <c r="E790" t="s">
        <v>51</v>
      </c>
      <c r="F790" t="s">
        <v>64</v>
      </c>
      <c r="G790" t="s">
        <v>55</v>
      </c>
      <c r="H790" t="s">
        <v>72</v>
      </c>
      <c r="I790" t="s">
        <v>28</v>
      </c>
      <c r="J790" t="s">
        <v>948</v>
      </c>
    </row>
    <row r="791" spans="1:10" x14ac:dyDescent="0.25">
      <c r="A791" t="s">
        <v>23</v>
      </c>
      <c r="B791" s="1">
        <v>263571.82</v>
      </c>
      <c r="C791">
        <v>216155.25</v>
      </c>
      <c r="D791" s="2">
        <v>43990</v>
      </c>
      <c r="E791" t="s">
        <v>62</v>
      </c>
      <c r="F791" t="s">
        <v>210</v>
      </c>
      <c r="G791" t="s">
        <v>26</v>
      </c>
      <c r="H791" t="s">
        <v>32</v>
      </c>
      <c r="I791" t="s">
        <v>28</v>
      </c>
      <c r="J791" t="s">
        <v>949</v>
      </c>
    </row>
    <row r="792" spans="1:10" x14ac:dyDescent="0.25">
      <c r="A792" t="s">
        <v>53</v>
      </c>
      <c r="B792" s="1">
        <v>131097.04999999999</v>
      </c>
      <c r="C792">
        <v>109203.84</v>
      </c>
      <c r="D792" s="2">
        <v>44008</v>
      </c>
      <c r="E792" t="s">
        <v>30</v>
      </c>
      <c r="F792" t="s">
        <v>25</v>
      </c>
      <c r="G792" t="s">
        <v>55</v>
      </c>
      <c r="H792" t="s">
        <v>56</v>
      </c>
      <c r="I792" t="s">
        <v>28</v>
      </c>
      <c r="J792" t="s">
        <v>950</v>
      </c>
    </row>
    <row r="793" spans="1:10" x14ac:dyDescent="0.25">
      <c r="A793" t="s">
        <v>138</v>
      </c>
      <c r="B793" s="1">
        <v>127830.38</v>
      </c>
      <c r="C793">
        <v>103874.97</v>
      </c>
      <c r="D793" s="2">
        <v>43972</v>
      </c>
      <c r="E793" t="s">
        <v>18</v>
      </c>
      <c r="F793" t="s">
        <v>89</v>
      </c>
      <c r="G793" t="s">
        <v>140</v>
      </c>
      <c r="H793" t="s">
        <v>141</v>
      </c>
      <c r="I793" t="s">
        <v>28</v>
      </c>
      <c r="J793" t="s">
        <v>951</v>
      </c>
    </row>
    <row r="794" spans="1:10" x14ac:dyDescent="0.25">
      <c r="A794" t="s">
        <v>23</v>
      </c>
      <c r="B794" s="1">
        <v>129353.22</v>
      </c>
      <c r="C794">
        <v>111593.02</v>
      </c>
      <c r="D794" s="2">
        <v>43483</v>
      </c>
      <c r="E794" t="s">
        <v>18</v>
      </c>
      <c r="F794" t="s">
        <v>234</v>
      </c>
      <c r="G794" t="s">
        <v>26</v>
      </c>
      <c r="H794" t="s">
        <v>76</v>
      </c>
      <c r="I794" t="s">
        <v>15</v>
      </c>
      <c r="J794" t="s">
        <v>952</v>
      </c>
    </row>
    <row r="795" spans="1:10" x14ac:dyDescent="0.25">
      <c r="A795" t="s">
        <v>10</v>
      </c>
      <c r="B795" s="1">
        <v>176473.32</v>
      </c>
      <c r="C795">
        <v>139413.92000000001</v>
      </c>
      <c r="D795" s="2">
        <v>43638</v>
      </c>
      <c r="E795" t="s">
        <v>18</v>
      </c>
      <c r="F795" t="s">
        <v>64</v>
      </c>
      <c r="G795" t="s">
        <v>13</v>
      </c>
      <c r="H795" t="s">
        <v>69</v>
      </c>
      <c r="I795" t="s">
        <v>28</v>
      </c>
      <c r="J795" t="s">
        <v>953</v>
      </c>
    </row>
    <row r="796" spans="1:10" x14ac:dyDescent="0.25">
      <c r="A796" t="s">
        <v>346</v>
      </c>
      <c r="B796" s="1">
        <v>43609.57</v>
      </c>
      <c r="C796">
        <v>34634.720000000001</v>
      </c>
      <c r="D796" s="2">
        <v>43891</v>
      </c>
      <c r="E796" t="s">
        <v>51</v>
      </c>
      <c r="F796" t="s">
        <v>155</v>
      </c>
      <c r="G796" t="s">
        <v>347</v>
      </c>
      <c r="H796" t="s">
        <v>701</v>
      </c>
      <c r="I796" t="s">
        <v>28</v>
      </c>
      <c r="J796" t="s">
        <v>954</v>
      </c>
    </row>
    <row r="797" spans="1:10" x14ac:dyDescent="0.25">
      <c r="A797" t="s">
        <v>23</v>
      </c>
      <c r="B797" s="1">
        <v>137562.42000000001</v>
      </c>
      <c r="C797">
        <v>112140.88</v>
      </c>
      <c r="D797" s="2">
        <v>43935</v>
      </c>
      <c r="E797" t="s">
        <v>24</v>
      </c>
      <c r="F797" t="s">
        <v>121</v>
      </c>
      <c r="G797" t="s">
        <v>26</v>
      </c>
      <c r="H797" t="s">
        <v>90</v>
      </c>
      <c r="I797" t="s">
        <v>28</v>
      </c>
      <c r="J797" t="s">
        <v>955</v>
      </c>
    </row>
    <row r="798" spans="1:10" x14ac:dyDescent="0.25">
      <c r="A798" t="s">
        <v>53</v>
      </c>
      <c r="B798" s="1">
        <v>51504.5</v>
      </c>
      <c r="C798">
        <v>44592.6</v>
      </c>
      <c r="D798" s="2">
        <v>43730</v>
      </c>
      <c r="E798" t="s">
        <v>51</v>
      </c>
      <c r="F798" t="s">
        <v>121</v>
      </c>
      <c r="G798" t="s">
        <v>55</v>
      </c>
      <c r="H798" t="s">
        <v>72</v>
      </c>
      <c r="I798" t="s">
        <v>28</v>
      </c>
      <c r="J798" t="s">
        <v>956</v>
      </c>
    </row>
    <row r="799" spans="1:10" x14ac:dyDescent="0.25">
      <c r="A799" t="s">
        <v>53</v>
      </c>
      <c r="B799" s="1">
        <v>38750.53</v>
      </c>
      <c r="C799">
        <v>31298.799999999999</v>
      </c>
      <c r="D799" s="2">
        <v>43709</v>
      </c>
      <c r="E799" t="s">
        <v>62</v>
      </c>
      <c r="F799" t="s">
        <v>35</v>
      </c>
      <c r="G799" t="s">
        <v>55</v>
      </c>
      <c r="H799" t="s">
        <v>72</v>
      </c>
      <c r="I799" t="s">
        <v>28</v>
      </c>
      <c r="J799" t="s">
        <v>957</v>
      </c>
    </row>
    <row r="800" spans="1:10" x14ac:dyDescent="0.25">
      <c r="A800" t="s">
        <v>53</v>
      </c>
      <c r="B800" s="1">
        <v>111676.46</v>
      </c>
      <c r="C800">
        <v>92791.97</v>
      </c>
      <c r="D800" s="2">
        <v>43624</v>
      </c>
      <c r="E800" t="s">
        <v>30</v>
      </c>
      <c r="F800" t="s">
        <v>97</v>
      </c>
      <c r="G800" t="s">
        <v>55</v>
      </c>
      <c r="H800" t="s">
        <v>133</v>
      </c>
      <c r="I800" t="s">
        <v>28</v>
      </c>
      <c r="J800" t="s">
        <v>958</v>
      </c>
    </row>
    <row r="801" spans="1:10" x14ac:dyDescent="0.25">
      <c r="A801" t="s">
        <v>10</v>
      </c>
      <c r="B801" s="1">
        <v>46849.71</v>
      </c>
      <c r="C801">
        <v>39630.17</v>
      </c>
      <c r="D801" s="2">
        <v>43703</v>
      </c>
      <c r="E801" t="s">
        <v>30</v>
      </c>
      <c r="F801" t="s">
        <v>168</v>
      </c>
      <c r="G801" t="s">
        <v>13</v>
      </c>
      <c r="H801" t="s">
        <v>69</v>
      </c>
      <c r="I801" t="s">
        <v>28</v>
      </c>
      <c r="J801" t="s">
        <v>959</v>
      </c>
    </row>
    <row r="802" spans="1:10" x14ac:dyDescent="0.25">
      <c r="A802" t="s">
        <v>10</v>
      </c>
      <c r="B802" s="1">
        <v>296844.24</v>
      </c>
      <c r="C802">
        <v>244926.18</v>
      </c>
      <c r="D802" s="2">
        <v>43624</v>
      </c>
      <c r="E802" t="s">
        <v>139</v>
      </c>
      <c r="F802" t="s">
        <v>155</v>
      </c>
      <c r="G802" t="s">
        <v>13</v>
      </c>
      <c r="H802" t="s">
        <v>170</v>
      </c>
      <c r="I802" t="s">
        <v>28</v>
      </c>
      <c r="J802" t="s">
        <v>960</v>
      </c>
    </row>
    <row r="803" spans="1:10" x14ac:dyDescent="0.25">
      <c r="A803" t="s">
        <v>23</v>
      </c>
      <c r="B803" s="1">
        <v>163492.16</v>
      </c>
      <c r="C803">
        <v>134178.01999999999</v>
      </c>
      <c r="D803" s="2">
        <v>44055</v>
      </c>
      <c r="E803" t="s">
        <v>51</v>
      </c>
      <c r="F803" t="s">
        <v>201</v>
      </c>
      <c r="G803" t="s">
        <v>26</v>
      </c>
      <c r="H803" t="s">
        <v>76</v>
      </c>
      <c r="I803" t="s">
        <v>28</v>
      </c>
      <c r="J803" t="s">
        <v>961</v>
      </c>
    </row>
    <row r="804" spans="1:10" x14ac:dyDescent="0.25">
      <c r="A804" t="s">
        <v>53</v>
      </c>
      <c r="B804" s="1">
        <v>116206.87</v>
      </c>
      <c r="C804">
        <v>93104.94</v>
      </c>
      <c r="D804" s="2">
        <v>43570</v>
      </c>
      <c r="E804" t="s">
        <v>18</v>
      </c>
      <c r="F804" t="s">
        <v>116</v>
      </c>
      <c r="G804" t="s">
        <v>55</v>
      </c>
      <c r="H804" t="s">
        <v>72</v>
      </c>
      <c r="I804" t="s">
        <v>28</v>
      </c>
      <c r="J804" t="s">
        <v>962</v>
      </c>
    </row>
    <row r="805" spans="1:10" x14ac:dyDescent="0.25">
      <c r="A805" t="s">
        <v>53</v>
      </c>
      <c r="B805" s="1">
        <v>195214.72</v>
      </c>
      <c r="C805">
        <v>154649.1</v>
      </c>
      <c r="D805" s="2">
        <v>43642</v>
      </c>
      <c r="E805" t="s">
        <v>11</v>
      </c>
      <c r="F805" t="s">
        <v>116</v>
      </c>
      <c r="G805" t="s">
        <v>55</v>
      </c>
      <c r="H805" t="s">
        <v>56</v>
      </c>
      <c r="I805" t="s">
        <v>28</v>
      </c>
      <c r="J805" t="s">
        <v>963</v>
      </c>
    </row>
    <row r="806" spans="1:10" x14ac:dyDescent="0.25">
      <c r="A806" t="s">
        <v>53</v>
      </c>
      <c r="B806" s="1">
        <v>168226.52</v>
      </c>
      <c r="C806">
        <v>136818.63</v>
      </c>
      <c r="D806" s="2">
        <v>43855</v>
      </c>
      <c r="E806" t="s">
        <v>60</v>
      </c>
      <c r="F806" t="s">
        <v>160</v>
      </c>
      <c r="G806" t="s">
        <v>55</v>
      </c>
      <c r="H806" t="s">
        <v>144</v>
      </c>
      <c r="I806" t="s">
        <v>28</v>
      </c>
      <c r="J806" t="s">
        <v>964</v>
      </c>
    </row>
    <row r="807" spans="1:10" x14ac:dyDescent="0.25">
      <c r="A807" t="s">
        <v>10</v>
      </c>
      <c r="B807" s="1">
        <v>249842.77</v>
      </c>
      <c r="C807">
        <v>218737.35</v>
      </c>
      <c r="D807" s="2">
        <v>44021</v>
      </c>
      <c r="E807" t="s">
        <v>11</v>
      </c>
      <c r="F807" t="s">
        <v>31</v>
      </c>
      <c r="G807" t="s">
        <v>13</v>
      </c>
      <c r="H807" t="s">
        <v>82</v>
      </c>
      <c r="I807" t="s">
        <v>28</v>
      </c>
      <c r="J807" t="s">
        <v>965</v>
      </c>
    </row>
    <row r="808" spans="1:10" x14ac:dyDescent="0.25">
      <c r="A808" t="s">
        <v>84</v>
      </c>
      <c r="B808" s="1">
        <v>105678.39</v>
      </c>
      <c r="C808">
        <v>89720.95</v>
      </c>
      <c r="D808" s="2">
        <v>43958</v>
      </c>
      <c r="E808" t="s">
        <v>18</v>
      </c>
      <c r="F808" t="s">
        <v>166</v>
      </c>
      <c r="G808" t="s">
        <v>85</v>
      </c>
      <c r="H808" t="s">
        <v>86</v>
      </c>
      <c r="I808" t="s">
        <v>15</v>
      </c>
      <c r="J808" t="s">
        <v>966</v>
      </c>
    </row>
    <row r="809" spans="1:10" x14ac:dyDescent="0.25">
      <c r="A809" t="s">
        <v>23</v>
      </c>
      <c r="B809" s="1">
        <v>253580.08</v>
      </c>
      <c r="C809">
        <v>212449.39</v>
      </c>
      <c r="D809" s="2">
        <v>44018</v>
      </c>
      <c r="E809" t="s">
        <v>18</v>
      </c>
      <c r="F809" t="s">
        <v>606</v>
      </c>
      <c r="G809" t="s">
        <v>26</v>
      </c>
      <c r="H809" t="s">
        <v>219</v>
      </c>
      <c r="I809" t="s">
        <v>28</v>
      </c>
      <c r="J809" t="s">
        <v>967</v>
      </c>
    </row>
    <row r="810" spans="1:10" x14ac:dyDescent="0.25">
      <c r="A810" t="s">
        <v>53</v>
      </c>
      <c r="B810" s="1">
        <v>56705.66</v>
      </c>
      <c r="C810">
        <v>46986.31</v>
      </c>
      <c r="D810" s="2">
        <v>43497</v>
      </c>
      <c r="E810" t="s">
        <v>62</v>
      </c>
      <c r="F810" t="s">
        <v>35</v>
      </c>
      <c r="G810" t="s">
        <v>55</v>
      </c>
      <c r="H810" t="s">
        <v>128</v>
      </c>
      <c r="I810" t="s">
        <v>28</v>
      </c>
      <c r="J810" t="s">
        <v>968</v>
      </c>
    </row>
    <row r="811" spans="1:10" x14ac:dyDescent="0.25">
      <c r="A811" t="s">
        <v>10</v>
      </c>
      <c r="B811" s="1">
        <v>35354.22</v>
      </c>
      <c r="C811">
        <v>30517.759999999998</v>
      </c>
      <c r="D811" s="2">
        <v>43523</v>
      </c>
      <c r="E811" t="s">
        <v>60</v>
      </c>
      <c r="F811" t="s">
        <v>210</v>
      </c>
      <c r="G811" t="s">
        <v>13</v>
      </c>
      <c r="H811" t="s">
        <v>118</v>
      </c>
      <c r="I811" t="s">
        <v>28</v>
      </c>
      <c r="J811" t="s">
        <v>969</v>
      </c>
    </row>
    <row r="812" spans="1:10" x14ac:dyDescent="0.25">
      <c r="A812" t="s">
        <v>23</v>
      </c>
      <c r="B812" s="1">
        <v>25834.34</v>
      </c>
      <c r="C812">
        <v>22450.04</v>
      </c>
      <c r="D812" s="2">
        <v>43903</v>
      </c>
      <c r="E812" t="s">
        <v>80</v>
      </c>
      <c r="F812" t="s">
        <v>89</v>
      </c>
      <c r="G812" t="s">
        <v>26</v>
      </c>
      <c r="H812" t="s">
        <v>219</v>
      </c>
      <c r="I812" t="s">
        <v>15</v>
      </c>
      <c r="J812" t="s">
        <v>970</v>
      </c>
    </row>
    <row r="813" spans="1:10" x14ac:dyDescent="0.25">
      <c r="A813" t="s">
        <v>23</v>
      </c>
      <c r="B813" s="1">
        <v>121928.48</v>
      </c>
      <c r="C813">
        <v>98408.48</v>
      </c>
      <c r="D813" s="2">
        <v>43727</v>
      </c>
      <c r="E813" t="s">
        <v>24</v>
      </c>
      <c r="F813" t="s">
        <v>160</v>
      </c>
      <c r="G813" t="s">
        <v>26</v>
      </c>
      <c r="H813" t="s">
        <v>219</v>
      </c>
      <c r="I813" t="s">
        <v>15</v>
      </c>
      <c r="J813" t="s">
        <v>971</v>
      </c>
    </row>
    <row r="814" spans="1:10" x14ac:dyDescent="0.25">
      <c r="A814" t="s">
        <v>53</v>
      </c>
      <c r="B814" s="1">
        <v>167935.31</v>
      </c>
      <c r="C814">
        <v>137942.06</v>
      </c>
      <c r="D814" s="2">
        <v>43573</v>
      </c>
      <c r="E814" t="s">
        <v>18</v>
      </c>
      <c r="F814" t="s">
        <v>302</v>
      </c>
      <c r="G814" t="s">
        <v>55</v>
      </c>
      <c r="H814" t="s">
        <v>72</v>
      </c>
      <c r="I814" t="s">
        <v>28</v>
      </c>
      <c r="J814" t="s">
        <v>972</v>
      </c>
    </row>
    <row r="815" spans="1:10" x14ac:dyDescent="0.25">
      <c r="A815" t="s">
        <v>23</v>
      </c>
      <c r="B815" s="1">
        <v>151151.76999999999</v>
      </c>
      <c r="C815">
        <v>124035.14</v>
      </c>
      <c r="D815" s="2">
        <v>43829</v>
      </c>
      <c r="E815" t="s">
        <v>51</v>
      </c>
      <c r="F815" t="s">
        <v>71</v>
      </c>
      <c r="G815" t="s">
        <v>26</v>
      </c>
      <c r="H815" t="s">
        <v>32</v>
      </c>
      <c r="I815" t="s">
        <v>28</v>
      </c>
      <c r="J815" t="s">
        <v>973</v>
      </c>
    </row>
    <row r="816" spans="1:10" x14ac:dyDescent="0.25">
      <c r="A816" t="s">
        <v>53</v>
      </c>
      <c r="B816" s="1">
        <v>95966.17</v>
      </c>
      <c r="C816">
        <v>75976.42</v>
      </c>
      <c r="D816" s="2">
        <v>43701</v>
      </c>
      <c r="E816" t="s">
        <v>80</v>
      </c>
      <c r="F816" t="s">
        <v>974</v>
      </c>
      <c r="G816" t="s">
        <v>55</v>
      </c>
      <c r="H816" t="s">
        <v>72</v>
      </c>
      <c r="I816" t="s">
        <v>28</v>
      </c>
      <c r="J816" t="s">
        <v>975</v>
      </c>
    </row>
    <row r="817" spans="1:10" x14ac:dyDescent="0.25">
      <c r="A817" t="s">
        <v>23</v>
      </c>
      <c r="B817" s="1">
        <v>123424.43</v>
      </c>
      <c r="C817">
        <v>98171.79</v>
      </c>
      <c r="D817" s="2">
        <v>43566</v>
      </c>
      <c r="E817" t="s">
        <v>24</v>
      </c>
      <c r="F817" t="s">
        <v>150</v>
      </c>
      <c r="G817" t="s">
        <v>26</v>
      </c>
      <c r="H817" t="s">
        <v>76</v>
      </c>
      <c r="I817" t="s">
        <v>28</v>
      </c>
      <c r="J817" t="s">
        <v>976</v>
      </c>
    </row>
    <row r="818" spans="1:10" x14ac:dyDescent="0.25">
      <c r="A818" t="s">
        <v>53</v>
      </c>
      <c r="B818" s="1">
        <v>128221.13</v>
      </c>
      <c r="C818">
        <v>102217.88</v>
      </c>
      <c r="D818" s="2">
        <v>44003</v>
      </c>
      <c r="E818" t="s">
        <v>24</v>
      </c>
      <c r="F818" t="s">
        <v>35</v>
      </c>
      <c r="G818" t="s">
        <v>55</v>
      </c>
      <c r="H818" t="s">
        <v>72</v>
      </c>
      <c r="I818" t="s">
        <v>28</v>
      </c>
      <c r="J818" t="s">
        <v>977</v>
      </c>
    </row>
    <row r="819" spans="1:10" x14ac:dyDescent="0.25">
      <c r="A819" t="s">
        <v>23</v>
      </c>
      <c r="B819" s="1">
        <v>204133.95</v>
      </c>
      <c r="C819">
        <v>167553.15</v>
      </c>
      <c r="D819" s="2">
        <v>43995</v>
      </c>
      <c r="E819" t="s">
        <v>18</v>
      </c>
      <c r="F819" t="s">
        <v>168</v>
      </c>
      <c r="G819" t="s">
        <v>26</v>
      </c>
      <c r="H819" t="s">
        <v>76</v>
      </c>
      <c r="I819" t="s">
        <v>28</v>
      </c>
      <c r="J819" t="s">
        <v>978</v>
      </c>
    </row>
    <row r="820" spans="1:10" x14ac:dyDescent="0.25">
      <c r="A820" t="s">
        <v>10</v>
      </c>
      <c r="B820" s="1">
        <v>89376.84</v>
      </c>
      <c r="C820">
        <v>73646.52</v>
      </c>
      <c r="D820" s="2">
        <v>43513</v>
      </c>
      <c r="E820" t="s">
        <v>30</v>
      </c>
      <c r="F820" t="s">
        <v>35</v>
      </c>
      <c r="G820" t="s">
        <v>13</v>
      </c>
      <c r="H820" t="s">
        <v>82</v>
      </c>
      <c r="I820" t="s">
        <v>28</v>
      </c>
      <c r="J820" t="s">
        <v>979</v>
      </c>
    </row>
    <row r="821" spans="1:10" x14ac:dyDescent="0.25">
      <c r="A821" t="s">
        <v>10</v>
      </c>
      <c r="B821" s="1">
        <v>110837.96</v>
      </c>
      <c r="C821">
        <v>92106.34</v>
      </c>
      <c r="D821" s="2">
        <v>43521</v>
      </c>
      <c r="E821" t="s">
        <v>80</v>
      </c>
      <c r="F821" t="s">
        <v>210</v>
      </c>
      <c r="G821" t="s">
        <v>13</v>
      </c>
      <c r="H821" t="s">
        <v>82</v>
      </c>
      <c r="I821" t="s">
        <v>28</v>
      </c>
      <c r="J821" t="s">
        <v>980</v>
      </c>
    </row>
    <row r="822" spans="1:10" x14ac:dyDescent="0.25">
      <c r="A822" t="s">
        <v>84</v>
      </c>
      <c r="B822" s="1">
        <v>118026.37</v>
      </c>
      <c r="C822">
        <v>99873.91</v>
      </c>
      <c r="D822" s="2">
        <v>44016</v>
      </c>
      <c r="E822" t="s">
        <v>51</v>
      </c>
      <c r="F822" t="s">
        <v>31</v>
      </c>
      <c r="G822" t="s">
        <v>85</v>
      </c>
      <c r="H822" t="s">
        <v>86</v>
      </c>
      <c r="I822" t="s">
        <v>28</v>
      </c>
      <c r="J822" t="s">
        <v>981</v>
      </c>
    </row>
    <row r="823" spans="1:10" x14ac:dyDescent="0.25">
      <c r="A823" t="s">
        <v>23</v>
      </c>
      <c r="B823" s="1">
        <v>177208.76</v>
      </c>
      <c r="C823">
        <v>151779.29999999999</v>
      </c>
      <c r="D823" s="2">
        <v>43467</v>
      </c>
      <c r="E823" t="s">
        <v>51</v>
      </c>
      <c r="F823" t="s">
        <v>89</v>
      </c>
      <c r="G823" t="s">
        <v>26</v>
      </c>
      <c r="H823" t="s">
        <v>27</v>
      </c>
      <c r="I823" t="s">
        <v>15</v>
      </c>
      <c r="J823" t="s">
        <v>982</v>
      </c>
    </row>
    <row r="824" spans="1:10" x14ac:dyDescent="0.25">
      <c r="A824" t="s">
        <v>10</v>
      </c>
      <c r="B824" s="1">
        <v>97148.34</v>
      </c>
      <c r="C824">
        <v>77806.11</v>
      </c>
      <c r="D824" s="2">
        <v>43950</v>
      </c>
      <c r="E824" t="s">
        <v>11</v>
      </c>
      <c r="F824" t="s">
        <v>89</v>
      </c>
      <c r="G824" t="s">
        <v>13</v>
      </c>
      <c r="H824" t="s">
        <v>170</v>
      </c>
      <c r="I824" t="s">
        <v>28</v>
      </c>
      <c r="J824" t="s">
        <v>983</v>
      </c>
    </row>
    <row r="825" spans="1:10" x14ac:dyDescent="0.25">
      <c r="A825" t="s">
        <v>34</v>
      </c>
      <c r="B825" s="1">
        <v>144530.35</v>
      </c>
      <c r="C825">
        <v>115407.48</v>
      </c>
      <c r="D825" s="2">
        <v>44047</v>
      </c>
      <c r="E825" t="s">
        <v>139</v>
      </c>
      <c r="F825" t="s">
        <v>58</v>
      </c>
      <c r="G825" t="s">
        <v>36</v>
      </c>
      <c r="H825" t="s">
        <v>425</v>
      </c>
      <c r="I825" t="s">
        <v>28</v>
      </c>
      <c r="J825" t="s">
        <v>984</v>
      </c>
    </row>
    <row r="826" spans="1:10" x14ac:dyDescent="0.25">
      <c r="A826" t="s">
        <v>10</v>
      </c>
      <c r="B826" s="1">
        <v>45261.84</v>
      </c>
      <c r="C826">
        <v>37816.269999999997</v>
      </c>
      <c r="D826" s="2">
        <v>44156</v>
      </c>
      <c r="E826" t="s">
        <v>30</v>
      </c>
      <c r="F826" t="s">
        <v>68</v>
      </c>
      <c r="G826" t="s">
        <v>13</v>
      </c>
      <c r="H826" t="s">
        <v>14</v>
      </c>
      <c r="I826" t="s">
        <v>28</v>
      </c>
      <c r="J826" t="s">
        <v>985</v>
      </c>
    </row>
    <row r="827" spans="1:10" x14ac:dyDescent="0.25">
      <c r="A827" t="s">
        <v>101</v>
      </c>
      <c r="B827" s="1">
        <v>105277.2</v>
      </c>
      <c r="C827">
        <v>90759.47</v>
      </c>
      <c r="D827" s="2">
        <v>43790</v>
      </c>
      <c r="E827" t="s">
        <v>11</v>
      </c>
      <c r="F827" t="s">
        <v>150</v>
      </c>
      <c r="G827" t="s">
        <v>103</v>
      </c>
      <c r="H827" t="s">
        <v>104</v>
      </c>
      <c r="I827" t="s">
        <v>28</v>
      </c>
      <c r="J827" t="s">
        <v>986</v>
      </c>
    </row>
    <row r="828" spans="1:10" x14ac:dyDescent="0.25">
      <c r="A828" t="s">
        <v>346</v>
      </c>
      <c r="B828" s="1">
        <v>65822.05</v>
      </c>
      <c r="C828">
        <v>54790.27</v>
      </c>
      <c r="D828" s="2">
        <v>44146</v>
      </c>
      <c r="E828" t="s">
        <v>24</v>
      </c>
      <c r="F828" t="s">
        <v>116</v>
      </c>
      <c r="G828" t="s">
        <v>347</v>
      </c>
      <c r="H828" t="s">
        <v>348</v>
      </c>
      <c r="I828" t="s">
        <v>28</v>
      </c>
      <c r="J828" t="s">
        <v>987</v>
      </c>
    </row>
    <row r="829" spans="1:10" x14ac:dyDescent="0.25">
      <c r="A829" t="s">
        <v>53</v>
      </c>
      <c r="B829" s="1">
        <v>78540.62</v>
      </c>
      <c r="C829">
        <v>63987.040000000001</v>
      </c>
      <c r="D829" s="2">
        <v>43746</v>
      </c>
      <c r="E829" t="s">
        <v>24</v>
      </c>
      <c r="F829" t="s">
        <v>110</v>
      </c>
      <c r="G829" t="s">
        <v>55</v>
      </c>
      <c r="H829" t="s">
        <v>128</v>
      </c>
      <c r="I829" t="s">
        <v>28</v>
      </c>
      <c r="J829" t="s">
        <v>988</v>
      </c>
    </row>
    <row r="830" spans="1:10" x14ac:dyDescent="0.25">
      <c r="A830" t="s">
        <v>138</v>
      </c>
      <c r="B830" s="1">
        <v>37636.910000000003</v>
      </c>
      <c r="C830">
        <v>30847.21</v>
      </c>
      <c r="D830" s="2">
        <v>43906</v>
      </c>
      <c r="E830" t="s">
        <v>51</v>
      </c>
      <c r="F830" t="s">
        <v>188</v>
      </c>
      <c r="G830" t="s">
        <v>140</v>
      </c>
      <c r="H830" t="s">
        <v>141</v>
      </c>
      <c r="I830" t="s">
        <v>15</v>
      </c>
      <c r="J830" t="s">
        <v>989</v>
      </c>
    </row>
    <row r="831" spans="1:10" x14ac:dyDescent="0.25">
      <c r="A831" t="s">
        <v>23</v>
      </c>
      <c r="B831" s="1">
        <v>138127.81</v>
      </c>
      <c r="C831">
        <v>115240.03</v>
      </c>
      <c r="D831" s="2">
        <v>43975</v>
      </c>
      <c r="E831" t="s">
        <v>51</v>
      </c>
      <c r="F831" t="s">
        <v>135</v>
      </c>
      <c r="G831" t="s">
        <v>26</v>
      </c>
      <c r="H831" t="s">
        <v>76</v>
      </c>
      <c r="I831" t="s">
        <v>28</v>
      </c>
      <c r="J831" t="s">
        <v>990</v>
      </c>
    </row>
    <row r="832" spans="1:10" x14ac:dyDescent="0.25">
      <c r="A832" t="s">
        <v>173</v>
      </c>
      <c r="B832" s="1">
        <v>37892.58</v>
      </c>
      <c r="C832">
        <v>30010.92</v>
      </c>
      <c r="D832" s="2">
        <v>43486</v>
      </c>
      <c r="E832" t="s">
        <v>80</v>
      </c>
      <c r="F832" t="s">
        <v>35</v>
      </c>
      <c r="G832" t="s">
        <v>175</v>
      </c>
      <c r="H832" t="s">
        <v>212</v>
      </c>
      <c r="I832" t="s">
        <v>28</v>
      </c>
      <c r="J832" t="s">
        <v>991</v>
      </c>
    </row>
    <row r="833" spans="1:10" x14ac:dyDescent="0.25">
      <c r="A833" t="s">
        <v>101</v>
      </c>
      <c r="B833" s="1">
        <v>65329.65</v>
      </c>
      <c r="C833">
        <v>53237.13</v>
      </c>
      <c r="D833" s="2">
        <v>43887</v>
      </c>
      <c r="E833" t="s">
        <v>24</v>
      </c>
      <c r="F833" t="s">
        <v>158</v>
      </c>
      <c r="G833" t="s">
        <v>103</v>
      </c>
      <c r="H833" t="s">
        <v>104</v>
      </c>
      <c r="I833" t="s">
        <v>15</v>
      </c>
      <c r="J833" t="s">
        <v>992</v>
      </c>
    </row>
    <row r="834" spans="1:10" x14ac:dyDescent="0.25">
      <c r="A834" t="s">
        <v>53</v>
      </c>
      <c r="B834" s="1">
        <v>167072.72</v>
      </c>
      <c r="C834">
        <v>135044.88</v>
      </c>
      <c r="D834" s="2">
        <v>43759</v>
      </c>
      <c r="E834" t="s">
        <v>24</v>
      </c>
      <c r="F834" t="s">
        <v>185</v>
      </c>
      <c r="G834" t="s">
        <v>55</v>
      </c>
      <c r="H834" t="s">
        <v>133</v>
      </c>
      <c r="I834" t="s">
        <v>28</v>
      </c>
      <c r="J834" t="s">
        <v>993</v>
      </c>
    </row>
    <row r="835" spans="1:10" x14ac:dyDescent="0.25">
      <c r="A835" t="s">
        <v>53</v>
      </c>
      <c r="B835" s="1">
        <v>164243.32</v>
      </c>
      <c r="C835">
        <v>134121.1</v>
      </c>
      <c r="D835" s="2">
        <v>43605</v>
      </c>
      <c r="E835" t="s">
        <v>60</v>
      </c>
      <c r="F835" t="s">
        <v>112</v>
      </c>
      <c r="G835" t="s">
        <v>55</v>
      </c>
      <c r="H835" t="s">
        <v>72</v>
      </c>
      <c r="I835" t="s">
        <v>28</v>
      </c>
      <c r="J835" t="s">
        <v>994</v>
      </c>
    </row>
    <row r="836" spans="1:10" x14ac:dyDescent="0.25">
      <c r="A836" t="s">
        <v>53</v>
      </c>
      <c r="B836" s="1">
        <v>174951.18</v>
      </c>
      <c r="C836">
        <v>142690.18</v>
      </c>
      <c r="D836" s="2">
        <v>43726</v>
      </c>
      <c r="E836" t="s">
        <v>24</v>
      </c>
      <c r="F836" t="s">
        <v>68</v>
      </c>
      <c r="G836" t="s">
        <v>55</v>
      </c>
      <c r="H836" t="s">
        <v>72</v>
      </c>
      <c r="I836" t="s">
        <v>15</v>
      </c>
      <c r="J836" t="s">
        <v>995</v>
      </c>
    </row>
    <row r="837" spans="1:10" x14ac:dyDescent="0.25">
      <c r="A837" t="s">
        <v>23</v>
      </c>
      <c r="B837" s="1">
        <v>98521.87</v>
      </c>
      <c r="C837">
        <v>84571.17</v>
      </c>
      <c r="D837" s="2">
        <v>43832</v>
      </c>
      <c r="E837" t="s">
        <v>24</v>
      </c>
      <c r="F837" t="s">
        <v>35</v>
      </c>
      <c r="G837" t="s">
        <v>26</v>
      </c>
      <c r="H837" t="s">
        <v>219</v>
      </c>
      <c r="I837" t="s">
        <v>28</v>
      </c>
      <c r="J837" t="s">
        <v>996</v>
      </c>
    </row>
    <row r="838" spans="1:10" x14ac:dyDescent="0.25">
      <c r="A838" t="s">
        <v>23</v>
      </c>
      <c r="B838" s="1">
        <v>69750.570000000007</v>
      </c>
      <c r="C838">
        <v>60731.82</v>
      </c>
      <c r="D838" s="2">
        <v>43543</v>
      </c>
      <c r="E838" t="s">
        <v>18</v>
      </c>
      <c r="F838" t="s">
        <v>35</v>
      </c>
      <c r="G838" t="s">
        <v>26</v>
      </c>
      <c r="H838" t="s">
        <v>90</v>
      </c>
      <c r="I838" t="s">
        <v>28</v>
      </c>
      <c r="J838" t="s">
        <v>997</v>
      </c>
    </row>
    <row r="839" spans="1:10" x14ac:dyDescent="0.25">
      <c r="A839" t="s">
        <v>23</v>
      </c>
      <c r="B839" s="1">
        <v>129022.02</v>
      </c>
      <c r="C839">
        <v>104585.25</v>
      </c>
      <c r="D839" s="2">
        <v>44002</v>
      </c>
      <c r="E839" t="s">
        <v>80</v>
      </c>
      <c r="F839" t="s">
        <v>155</v>
      </c>
      <c r="G839" t="s">
        <v>26</v>
      </c>
      <c r="H839" t="s">
        <v>76</v>
      </c>
      <c r="I839" t="s">
        <v>28</v>
      </c>
      <c r="J839" t="s">
        <v>998</v>
      </c>
    </row>
    <row r="840" spans="1:10" x14ac:dyDescent="0.25">
      <c r="A840" t="s">
        <v>23</v>
      </c>
      <c r="B840" s="1">
        <v>41805.53</v>
      </c>
      <c r="C840">
        <v>33352.449999999997</v>
      </c>
      <c r="D840" s="2">
        <v>43547</v>
      </c>
      <c r="E840" t="s">
        <v>51</v>
      </c>
      <c r="F840" t="s">
        <v>999</v>
      </c>
      <c r="G840" t="s">
        <v>26</v>
      </c>
      <c r="H840" t="s">
        <v>219</v>
      </c>
      <c r="I840" t="s">
        <v>38</v>
      </c>
      <c r="J840" t="s">
        <v>1000</v>
      </c>
    </row>
    <row r="841" spans="1:10" x14ac:dyDescent="0.25">
      <c r="A841" t="s">
        <v>17</v>
      </c>
      <c r="B841" s="1">
        <v>145809.65</v>
      </c>
      <c r="C841">
        <v>123136.25</v>
      </c>
      <c r="D841" s="2">
        <v>43676</v>
      </c>
      <c r="E841" t="s">
        <v>51</v>
      </c>
      <c r="F841" t="s">
        <v>185</v>
      </c>
      <c r="G841" t="s">
        <v>20</v>
      </c>
      <c r="H841" t="s">
        <v>353</v>
      </c>
      <c r="I841" t="s">
        <v>28</v>
      </c>
      <c r="J841" t="s">
        <v>1001</v>
      </c>
    </row>
    <row r="842" spans="1:10" x14ac:dyDescent="0.25">
      <c r="A842" t="s">
        <v>53</v>
      </c>
      <c r="B842" s="1">
        <v>29443.71</v>
      </c>
      <c r="C842">
        <v>23958.35</v>
      </c>
      <c r="D842" s="2">
        <v>44133</v>
      </c>
      <c r="E842" t="s">
        <v>51</v>
      </c>
      <c r="F842" t="s">
        <v>35</v>
      </c>
      <c r="G842" t="s">
        <v>55</v>
      </c>
      <c r="H842" t="s">
        <v>133</v>
      </c>
      <c r="I842" t="s">
        <v>28</v>
      </c>
      <c r="J842" t="s">
        <v>1002</v>
      </c>
    </row>
    <row r="843" spans="1:10" x14ac:dyDescent="0.25">
      <c r="A843" t="s">
        <v>10</v>
      </c>
      <c r="B843" s="1">
        <v>138443.23000000001</v>
      </c>
      <c r="C843">
        <v>115101.7</v>
      </c>
      <c r="D843" s="2">
        <v>43630</v>
      </c>
      <c r="E843" t="s">
        <v>24</v>
      </c>
      <c r="F843" t="s">
        <v>606</v>
      </c>
      <c r="G843" t="s">
        <v>13</v>
      </c>
      <c r="H843" t="s">
        <v>82</v>
      </c>
      <c r="I843" t="s">
        <v>15</v>
      </c>
      <c r="J843" t="s">
        <v>1003</v>
      </c>
    </row>
    <row r="844" spans="1:10" x14ac:dyDescent="0.25">
      <c r="A844" t="s">
        <v>45</v>
      </c>
      <c r="B844" s="1">
        <v>102000.57</v>
      </c>
      <c r="C844">
        <v>87261.49</v>
      </c>
      <c r="D844" s="2">
        <v>43907</v>
      </c>
      <c r="E844" t="s">
        <v>18</v>
      </c>
      <c r="F844" t="s">
        <v>92</v>
      </c>
      <c r="G844" t="s">
        <v>48</v>
      </c>
      <c r="H844" t="s">
        <v>66</v>
      </c>
      <c r="I844" t="s">
        <v>28</v>
      </c>
      <c r="J844" t="s">
        <v>1004</v>
      </c>
    </row>
    <row r="845" spans="1:10" x14ac:dyDescent="0.25">
      <c r="A845" t="s">
        <v>23</v>
      </c>
      <c r="B845" s="1">
        <v>53181.88</v>
      </c>
      <c r="C845">
        <v>42316.82</v>
      </c>
      <c r="D845" s="2">
        <v>43836</v>
      </c>
      <c r="E845" t="s">
        <v>60</v>
      </c>
      <c r="F845" t="s">
        <v>158</v>
      </c>
      <c r="G845" t="s">
        <v>26</v>
      </c>
      <c r="H845" t="s">
        <v>90</v>
      </c>
      <c r="I845" t="s">
        <v>28</v>
      </c>
      <c r="J845" t="s">
        <v>1005</v>
      </c>
    </row>
    <row r="846" spans="1:10" x14ac:dyDescent="0.25">
      <c r="A846" t="s">
        <v>23</v>
      </c>
      <c r="B846" s="1">
        <v>99518.86</v>
      </c>
      <c r="C846">
        <v>81854.259999999995</v>
      </c>
      <c r="D846" s="2">
        <v>43536</v>
      </c>
      <c r="E846" t="s">
        <v>11</v>
      </c>
      <c r="F846" t="s">
        <v>210</v>
      </c>
      <c r="G846" t="s">
        <v>26</v>
      </c>
      <c r="H846" t="s">
        <v>76</v>
      </c>
      <c r="I846" t="s">
        <v>28</v>
      </c>
      <c r="J846" t="s">
        <v>1006</v>
      </c>
    </row>
    <row r="847" spans="1:10" x14ac:dyDescent="0.25">
      <c r="A847" t="s">
        <v>23</v>
      </c>
      <c r="B847" s="1">
        <v>79288.03</v>
      </c>
      <c r="C847">
        <v>68536.570000000007</v>
      </c>
      <c r="D847" s="2">
        <v>43654</v>
      </c>
      <c r="E847" t="s">
        <v>24</v>
      </c>
      <c r="F847" t="s">
        <v>35</v>
      </c>
      <c r="G847" t="s">
        <v>26</v>
      </c>
      <c r="H847" t="s">
        <v>90</v>
      </c>
      <c r="I847" t="s">
        <v>28</v>
      </c>
      <c r="J847" t="s">
        <v>1007</v>
      </c>
    </row>
    <row r="848" spans="1:10" x14ac:dyDescent="0.25">
      <c r="A848" t="s">
        <v>53</v>
      </c>
      <c r="B848" s="1">
        <v>111557.68</v>
      </c>
      <c r="C848">
        <v>92470.16</v>
      </c>
      <c r="D848" s="2">
        <v>43876</v>
      </c>
      <c r="E848" t="s">
        <v>11</v>
      </c>
      <c r="F848" t="s">
        <v>31</v>
      </c>
      <c r="G848" t="s">
        <v>55</v>
      </c>
      <c r="H848" t="s">
        <v>128</v>
      </c>
      <c r="I848" t="s">
        <v>28</v>
      </c>
      <c r="J848" t="s">
        <v>1008</v>
      </c>
    </row>
    <row r="849" spans="1:10" x14ac:dyDescent="0.25">
      <c r="A849" t="s">
        <v>84</v>
      </c>
      <c r="B849" s="1">
        <v>43008.69</v>
      </c>
      <c r="C849">
        <v>34458.559999999998</v>
      </c>
      <c r="D849" s="2">
        <v>43665</v>
      </c>
      <c r="E849" t="s">
        <v>51</v>
      </c>
      <c r="F849" t="s">
        <v>648</v>
      </c>
      <c r="G849" t="s">
        <v>85</v>
      </c>
      <c r="H849" t="s">
        <v>86</v>
      </c>
      <c r="I849" t="s">
        <v>28</v>
      </c>
      <c r="J849" t="s">
        <v>1009</v>
      </c>
    </row>
    <row r="850" spans="1:10" x14ac:dyDescent="0.25">
      <c r="A850" t="s">
        <v>53</v>
      </c>
      <c r="B850" s="1">
        <v>154936.24</v>
      </c>
      <c r="C850">
        <v>135739.64000000001</v>
      </c>
      <c r="D850" s="2">
        <v>44011</v>
      </c>
      <c r="E850" t="s">
        <v>11</v>
      </c>
      <c r="F850" t="s">
        <v>114</v>
      </c>
      <c r="G850" t="s">
        <v>55</v>
      </c>
      <c r="H850" t="s">
        <v>133</v>
      </c>
      <c r="I850" t="s">
        <v>28</v>
      </c>
      <c r="J850" t="s">
        <v>1010</v>
      </c>
    </row>
    <row r="851" spans="1:10" x14ac:dyDescent="0.25">
      <c r="A851" t="s">
        <v>10</v>
      </c>
      <c r="B851" s="1">
        <v>115339.49</v>
      </c>
      <c r="C851">
        <v>100691.37</v>
      </c>
      <c r="D851" s="2">
        <v>43711</v>
      </c>
      <c r="E851" t="s">
        <v>62</v>
      </c>
      <c r="F851" t="s">
        <v>40</v>
      </c>
      <c r="G851" t="s">
        <v>13</v>
      </c>
      <c r="H851" t="s">
        <v>14</v>
      </c>
      <c r="I851" t="s">
        <v>15</v>
      </c>
      <c r="J851" t="s">
        <v>1011</v>
      </c>
    </row>
    <row r="852" spans="1:10" x14ac:dyDescent="0.25">
      <c r="A852" t="s">
        <v>53</v>
      </c>
      <c r="B852" s="1">
        <v>65254.5</v>
      </c>
      <c r="C852">
        <v>53919.79</v>
      </c>
      <c r="D852" s="2">
        <v>43633</v>
      </c>
      <c r="E852" t="s">
        <v>18</v>
      </c>
      <c r="F852" t="s">
        <v>71</v>
      </c>
      <c r="G852" t="s">
        <v>55</v>
      </c>
      <c r="H852" t="s">
        <v>56</v>
      </c>
      <c r="I852" t="s">
        <v>28</v>
      </c>
      <c r="J852" t="s">
        <v>1012</v>
      </c>
    </row>
    <row r="853" spans="1:10" x14ac:dyDescent="0.25">
      <c r="A853" t="s">
        <v>84</v>
      </c>
      <c r="B853" s="1">
        <v>50241.47</v>
      </c>
      <c r="C853">
        <v>43443.8</v>
      </c>
      <c r="D853" s="2">
        <v>44121</v>
      </c>
      <c r="E853" t="s">
        <v>11</v>
      </c>
      <c r="F853" t="s">
        <v>132</v>
      </c>
      <c r="G853" t="s">
        <v>85</v>
      </c>
      <c r="H853" t="s">
        <v>86</v>
      </c>
      <c r="I853" t="s">
        <v>38</v>
      </c>
      <c r="J853" t="s">
        <v>1013</v>
      </c>
    </row>
    <row r="854" spans="1:10" x14ac:dyDescent="0.25">
      <c r="A854" t="s">
        <v>45</v>
      </c>
      <c r="B854" s="1">
        <v>304337.49</v>
      </c>
      <c r="C854">
        <v>261730.24</v>
      </c>
      <c r="D854" s="2">
        <v>43803</v>
      </c>
      <c r="E854" t="s">
        <v>24</v>
      </c>
      <c r="F854" t="s">
        <v>153</v>
      </c>
      <c r="G854" t="s">
        <v>48</v>
      </c>
      <c r="H854" t="s">
        <v>66</v>
      </c>
      <c r="I854" t="s">
        <v>28</v>
      </c>
      <c r="J854" t="s">
        <v>1014</v>
      </c>
    </row>
    <row r="855" spans="1:10" x14ac:dyDescent="0.25">
      <c r="A855" t="s">
        <v>101</v>
      </c>
      <c r="B855" s="1">
        <v>95960.77</v>
      </c>
      <c r="C855">
        <v>76519.12</v>
      </c>
      <c r="D855" s="2">
        <v>44115</v>
      </c>
      <c r="E855" t="s">
        <v>11</v>
      </c>
      <c r="F855" t="s">
        <v>31</v>
      </c>
      <c r="G855" t="s">
        <v>103</v>
      </c>
      <c r="H855" t="s">
        <v>162</v>
      </c>
      <c r="I855" t="s">
        <v>28</v>
      </c>
      <c r="J855" t="s">
        <v>1015</v>
      </c>
    </row>
    <row r="856" spans="1:10" x14ac:dyDescent="0.25">
      <c r="A856" t="s">
        <v>10</v>
      </c>
      <c r="B856" s="1">
        <v>152522.94</v>
      </c>
      <c r="C856">
        <v>122399.66</v>
      </c>
      <c r="D856" s="2">
        <v>43932</v>
      </c>
      <c r="E856" t="s">
        <v>62</v>
      </c>
      <c r="F856" t="s">
        <v>231</v>
      </c>
      <c r="G856" t="s">
        <v>13</v>
      </c>
      <c r="H856" t="s">
        <v>14</v>
      </c>
      <c r="I856" t="s">
        <v>28</v>
      </c>
      <c r="J856" t="s">
        <v>1016</v>
      </c>
    </row>
    <row r="857" spans="1:10" x14ac:dyDescent="0.25">
      <c r="A857" t="s">
        <v>10</v>
      </c>
      <c r="B857" s="1">
        <v>63196.98</v>
      </c>
      <c r="C857">
        <v>54671.71</v>
      </c>
      <c r="D857" s="2">
        <v>43573</v>
      </c>
      <c r="E857" t="s">
        <v>60</v>
      </c>
      <c r="F857" t="s">
        <v>150</v>
      </c>
      <c r="G857" t="s">
        <v>13</v>
      </c>
      <c r="H857" t="s">
        <v>118</v>
      </c>
      <c r="I857" t="s">
        <v>28</v>
      </c>
      <c r="J857" t="s">
        <v>1017</v>
      </c>
    </row>
    <row r="858" spans="1:10" x14ac:dyDescent="0.25">
      <c r="A858" t="s">
        <v>10</v>
      </c>
      <c r="B858" s="1">
        <v>83119.87</v>
      </c>
      <c r="C858">
        <v>69604.58</v>
      </c>
      <c r="D858" s="2">
        <v>43494</v>
      </c>
      <c r="E858" t="s">
        <v>24</v>
      </c>
      <c r="F858" t="s">
        <v>185</v>
      </c>
      <c r="G858" t="s">
        <v>13</v>
      </c>
      <c r="H858" t="s">
        <v>82</v>
      </c>
      <c r="I858" t="s">
        <v>28</v>
      </c>
      <c r="J858" t="s">
        <v>1018</v>
      </c>
    </row>
    <row r="859" spans="1:10" x14ac:dyDescent="0.25">
      <c r="A859" t="s">
        <v>53</v>
      </c>
      <c r="B859" s="1">
        <v>75483.45</v>
      </c>
      <c r="C859">
        <v>60077.279999999999</v>
      </c>
      <c r="D859" s="2">
        <v>43802</v>
      </c>
      <c r="E859" t="s">
        <v>51</v>
      </c>
      <c r="F859" t="s">
        <v>35</v>
      </c>
      <c r="G859" t="s">
        <v>55</v>
      </c>
      <c r="H859" t="s">
        <v>133</v>
      </c>
      <c r="I859" t="s">
        <v>28</v>
      </c>
      <c r="J859" t="s">
        <v>1019</v>
      </c>
    </row>
    <row r="860" spans="1:10" x14ac:dyDescent="0.25">
      <c r="A860" t="s">
        <v>173</v>
      </c>
      <c r="B860" s="1">
        <v>65397.279999999999</v>
      </c>
      <c r="C860">
        <v>53920.06</v>
      </c>
      <c r="D860" s="2">
        <v>43910</v>
      </c>
      <c r="E860" t="s">
        <v>62</v>
      </c>
      <c r="F860" t="s">
        <v>467</v>
      </c>
      <c r="G860" t="s">
        <v>175</v>
      </c>
      <c r="H860" t="s">
        <v>176</v>
      </c>
      <c r="I860" t="s">
        <v>15</v>
      </c>
      <c r="J860" t="s">
        <v>1020</v>
      </c>
    </row>
    <row r="861" spans="1:10" x14ac:dyDescent="0.25">
      <c r="A861" t="s">
        <v>53</v>
      </c>
      <c r="B861" s="1">
        <v>48890.14</v>
      </c>
      <c r="C861">
        <v>41180.160000000003</v>
      </c>
      <c r="D861" s="2">
        <v>43605</v>
      </c>
      <c r="E861" t="s">
        <v>24</v>
      </c>
      <c r="F861" t="s">
        <v>35</v>
      </c>
      <c r="G861" t="s">
        <v>55</v>
      </c>
      <c r="H861" t="s">
        <v>133</v>
      </c>
      <c r="I861" t="s">
        <v>28</v>
      </c>
      <c r="J861" t="s">
        <v>1021</v>
      </c>
    </row>
    <row r="862" spans="1:10" x14ac:dyDescent="0.25">
      <c r="A862" t="s">
        <v>53</v>
      </c>
      <c r="B862" s="1">
        <v>80839.75</v>
      </c>
      <c r="C862">
        <v>63936.160000000003</v>
      </c>
      <c r="D862" s="2">
        <v>43972</v>
      </c>
      <c r="E862" t="s">
        <v>18</v>
      </c>
      <c r="F862" t="s">
        <v>12</v>
      </c>
      <c r="G862" t="s">
        <v>55</v>
      </c>
      <c r="H862" t="s">
        <v>128</v>
      </c>
      <c r="I862" t="s">
        <v>28</v>
      </c>
      <c r="J862" t="s">
        <v>1022</v>
      </c>
    </row>
    <row r="863" spans="1:10" x14ac:dyDescent="0.25">
      <c r="A863" t="s">
        <v>173</v>
      </c>
      <c r="B863" s="1">
        <v>79375.17</v>
      </c>
      <c r="C863">
        <v>64532.01</v>
      </c>
      <c r="D863" s="2">
        <v>43870</v>
      </c>
      <c r="E863" t="s">
        <v>30</v>
      </c>
      <c r="F863" t="s">
        <v>31</v>
      </c>
      <c r="G863" t="s">
        <v>175</v>
      </c>
      <c r="H863" t="s">
        <v>176</v>
      </c>
      <c r="I863" t="s">
        <v>15</v>
      </c>
      <c r="J863" t="s">
        <v>1023</v>
      </c>
    </row>
    <row r="864" spans="1:10" x14ac:dyDescent="0.25">
      <c r="A864" t="s">
        <v>101</v>
      </c>
      <c r="B864" s="1">
        <v>158011.29999999999</v>
      </c>
      <c r="C864">
        <v>137390.82999999999</v>
      </c>
      <c r="D864" s="2">
        <v>43796</v>
      </c>
      <c r="E864" t="s">
        <v>30</v>
      </c>
      <c r="F864" t="s">
        <v>94</v>
      </c>
      <c r="G864" t="s">
        <v>103</v>
      </c>
      <c r="H864" t="s">
        <v>162</v>
      </c>
      <c r="I864" t="s">
        <v>28</v>
      </c>
      <c r="J864" t="s">
        <v>1024</v>
      </c>
    </row>
    <row r="865" spans="1:10" x14ac:dyDescent="0.25">
      <c r="A865" t="s">
        <v>23</v>
      </c>
      <c r="B865" s="1">
        <v>155766.23000000001</v>
      </c>
      <c r="C865">
        <v>131529</v>
      </c>
      <c r="D865" s="2">
        <v>43978</v>
      </c>
      <c r="E865" t="s">
        <v>18</v>
      </c>
      <c r="F865" t="s">
        <v>302</v>
      </c>
      <c r="G865" t="s">
        <v>26</v>
      </c>
      <c r="H865" t="s">
        <v>32</v>
      </c>
      <c r="I865" t="s">
        <v>28</v>
      </c>
      <c r="J865" t="s">
        <v>1025</v>
      </c>
    </row>
    <row r="866" spans="1:10" x14ac:dyDescent="0.25">
      <c r="A866" t="s">
        <v>53</v>
      </c>
      <c r="B866" s="1">
        <v>19366.75</v>
      </c>
      <c r="C866">
        <v>15857.49</v>
      </c>
      <c r="D866" s="2">
        <v>43918</v>
      </c>
      <c r="E866" t="s">
        <v>18</v>
      </c>
      <c r="F866" t="s">
        <v>64</v>
      </c>
      <c r="G866" t="s">
        <v>55</v>
      </c>
      <c r="H866" t="s">
        <v>144</v>
      </c>
      <c r="I866" t="s">
        <v>28</v>
      </c>
      <c r="J866" t="s">
        <v>1026</v>
      </c>
    </row>
    <row r="867" spans="1:10" x14ac:dyDescent="0.25">
      <c r="A867" t="s">
        <v>53</v>
      </c>
      <c r="B867" s="1">
        <v>45481.24</v>
      </c>
      <c r="C867">
        <v>37317.360000000001</v>
      </c>
      <c r="D867" s="2">
        <v>43763</v>
      </c>
      <c r="E867" t="s">
        <v>60</v>
      </c>
      <c r="F867" t="s">
        <v>126</v>
      </c>
      <c r="G867" t="s">
        <v>55</v>
      </c>
      <c r="H867" t="s">
        <v>128</v>
      </c>
      <c r="I867" t="s">
        <v>28</v>
      </c>
      <c r="J867" t="s">
        <v>1027</v>
      </c>
    </row>
    <row r="868" spans="1:10" x14ac:dyDescent="0.25">
      <c r="A868" t="s">
        <v>10</v>
      </c>
      <c r="B868" s="1">
        <v>152747.92000000001</v>
      </c>
      <c r="C868">
        <v>130614.75</v>
      </c>
      <c r="D868" s="2">
        <v>43954</v>
      </c>
      <c r="E868" t="s">
        <v>51</v>
      </c>
      <c r="F868" t="s">
        <v>97</v>
      </c>
      <c r="G868" t="s">
        <v>13</v>
      </c>
      <c r="H868" t="s">
        <v>69</v>
      </c>
      <c r="I868" t="s">
        <v>28</v>
      </c>
      <c r="J868" t="s">
        <v>1028</v>
      </c>
    </row>
    <row r="869" spans="1:10" x14ac:dyDescent="0.25">
      <c r="A869" t="s">
        <v>10</v>
      </c>
      <c r="B869" s="1">
        <v>255216</v>
      </c>
      <c r="C869">
        <v>211446.46</v>
      </c>
      <c r="D869" s="2">
        <v>43827</v>
      </c>
      <c r="E869" t="s">
        <v>24</v>
      </c>
      <c r="F869" t="s">
        <v>94</v>
      </c>
      <c r="G869" t="s">
        <v>13</v>
      </c>
      <c r="H869" t="s">
        <v>170</v>
      </c>
      <c r="I869" t="s">
        <v>28</v>
      </c>
      <c r="J869" t="s">
        <v>1029</v>
      </c>
    </row>
    <row r="870" spans="1:10" x14ac:dyDescent="0.25">
      <c r="A870" t="s">
        <v>23</v>
      </c>
      <c r="B870" s="1">
        <v>154858</v>
      </c>
      <c r="C870">
        <v>135376.85999999999</v>
      </c>
      <c r="D870" s="2">
        <v>44034</v>
      </c>
      <c r="E870" t="s">
        <v>18</v>
      </c>
      <c r="F870" t="s">
        <v>210</v>
      </c>
      <c r="G870" t="s">
        <v>26</v>
      </c>
      <c r="H870" t="s">
        <v>27</v>
      </c>
      <c r="I870" t="s">
        <v>28</v>
      </c>
      <c r="J870" t="s">
        <v>1030</v>
      </c>
    </row>
    <row r="871" spans="1:10" x14ac:dyDescent="0.25">
      <c r="A871" t="s">
        <v>53</v>
      </c>
      <c r="B871" s="1">
        <v>250488.42</v>
      </c>
      <c r="C871">
        <v>214142.55</v>
      </c>
      <c r="D871" s="2">
        <v>43995</v>
      </c>
      <c r="E871" t="s">
        <v>51</v>
      </c>
      <c r="F871" t="s">
        <v>12</v>
      </c>
      <c r="G871" t="s">
        <v>55</v>
      </c>
      <c r="H871" t="s">
        <v>72</v>
      </c>
      <c r="I871" t="s">
        <v>28</v>
      </c>
      <c r="J871" t="s">
        <v>1031</v>
      </c>
    </row>
    <row r="872" spans="1:10" x14ac:dyDescent="0.25">
      <c r="A872" t="s">
        <v>10</v>
      </c>
      <c r="B872" s="1">
        <v>115151.22</v>
      </c>
      <c r="C872">
        <v>91430.07</v>
      </c>
      <c r="D872" s="2">
        <v>44129</v>
      </c>
      <c r="E872" t="s">
        <v>51</v>
      </c>
      <c r="F872" t="s">
        <v>40</v>
      </c>
      <c r="G872" t="s">
        <v>13</v>
      </c>
      <c r="H872" t="s">
        <v>14</v>
      </c>
      <c r="I872" t="s">
        <v>28</v>
      </c>
      <c r="J872" t="s">
        <v>1032</v>
      </c>
    </row>
    <row r="873" spans="1:10" x14ac:dyDescent="0.25">
      <c r="A873" t="s">
        <v>10</v>
      </c>
      <c r="B873" s="1">
        <v>57347.48</v>
      </c>
      <c r="C873">
        <v>50041.41</v>
      </c>
      <c r="D873" s="2">
        <v>44055</v>
      </c>
      <c r="E873" t="s">
        <v>30</v>
      </c>
      <c r="F873" t="s">
        <v>35</v>
      </c>
      <c r="G873" t="s">
        <v>13</v>
      </c>
      <c r="H873" t="s">
        <v>14</v>
      </c>
      <c r="I873" t="s">
        <v>28</v>
      </c>
      <c r="J873" t="s">
        <v>1033</v>
      </c>
    </row>
    <row r="874" spans="1:10" x14ac:dyDescent="0.25">
      <c r="A874" t="s">
        <v>23</v>
      </c>
      <c r="B874" s="1">
        <v>74790.02</v>
      </c>
      <c r="C874">
        <v>64992.53</v>
      </c>
      <c r="D874" s="2">
        <v>44001</v>
      </c>
      <c r="E874" t="s">
        <v>30</v>
      </c>
      <c r="F874" t="s">
        <v>254</v>
      </c>
      <c r="G874" t="s">
        <v>26</v>
      </c>
      <c r="H874" t="s">
        <v>76</v>
      </c>
      <c r="I874" t="s">
        <v>28</v>
      </c>
      <c r="J874" t="s">
        <v>1034</v>
      </c>
    </row>
    <row r="875" spans="1:10" x14ac:dyDescent="0.25">
      <c r="A875" t="s">
        <v>53</v>
      </c>
      <c r="B875" s="1">
        <v>72749.070000000007</v>
      </c>
      <c r="C875">
        <v>59108.62</v>
      </c>
      <c r="D875" s="2">
        <v>43485</v>
      </c>
      <c r="E875" t="s">
        <v>60</v>
      </c>
      <c r="F875" t="s">
        <v>35</v>
      </c>
      <c r="G875" t="s">
        <v>55</v>
      </c>
      <c r="H875" t="s">
        <v>72</v>
      </c>
      <c r="I875" t="s">
        <v>28</v>
      </c>
      <c r="J875" t="s">
        <v>1035</v>
      </c>
    </row>
    <row r="876" spans="1:10" x14ac:dyDescent="0.25">
      <c r="A876" t="s">
        <v>101</v>
      </c>
      <c r="B876" s="1">
        <v>128235.65</v>
      </c>
      <c r="C876">
        <v>103024.52</v>
      </c>
      <c r="D876" s="2">
        <v>44094</v>
      </c>
      <c r="E876" t="s">
        <v>11</v>
      </c>
      <c r="F876" t="s">
        <v>210</v>
      </c>
      <c r="G876" t="s">
        <v>103</v>
      </c>
      <c r="H876" t="s">
        <v>104</v>
      </c>
      <c r="I876" t="s">
        <v>28</v>
      </c>
      <c r="J876" t="s">
        <v>1036</v>
      </c>
    </row>
    <row r="877" spans="1:10" x14ac:dyDescent="0.25">
      <c r="A877" t="s">
        <v>10</v>
      </c>
      <c r="B877" s="1">
        <v>79088.7</v>
      </c>
      <c r="C877">
        <v>67415.210000000006</v>
      </c>
      <c r="D877" s="2">
        <v>43975</v>
      </c>
      <c r="E877" t="s">
        <v>30</v>
      </c>
      <c r="F877" t="s">
        <v>182</v>
      </c>
      <c r="G877" t="s">
        <v>13</v>
      </c>
      <c r="H877" t="s">
        <v>170</v>
      </c>
      <c r="I877" t="s">
        <v>28</v>
      </c>
      <c r="J877" t="s">
        <v>1037</v>
      </c>
    </row>
    <row r="878" spans="1:10" x14ac:dyDescent="0.25">
      <c r="A878" t="s">
        <v>45</v>
      </c>
      <c r="B878" s="1">
        <v>124537.47</v>
      </c>
      <c r="C878">
        <v>105881.76</v>
      </c>
      <c r="D878" s="2">
        <v>43732</v>
      </c>
      <c r="E878" t="s">
        <v>24</v>
      </c>
      <c r="F878" t="s">
        <v>19</v>
      </c>
      <c r="G878" t="s">
        <v>48</v>
      </c>
      <c r="H878" t="s">
        <v>49</v>
      </c>
      <c r="I878" t="s">
        <v>28</v>
      </c>
      <c r="J878" t="s">
        <v>1038</v>
      </c>
    </row>
    <row r="879" spans="1:10" x14ac:dyDescent="0.25">
      <c r="A879" t="s">
        <v>10</v>
      </c>
      <c r="B879" s="1">
        <v>161192.45000000001</v>
      </c>
      <c r="C879">
        <v>135965.82999999999</v>
      </c>
      <c r="D879" s="2">
        <v>43650</v>
      </c>
      <c r="E879" t="s">
        <v>24</v>
      </c>
      <c r="F879" t="s">
        <v>64</v>
      </c>
      <c r="G879" t="s">
        <v>13</v>
      </c>
      <c r="H879" t="s">
        <v>170</v>
      </c>
      <c r="I879" t="s">
        <v>28</v>
      </c>
      <c r="J879" t="s">
        <v>1039</v>
      </c>
    </row>
    <row r="880" spans="1:10" x14ac:dyDescent="0.25">
      <c r="A880" t="s">
        <v>53</v>
      </c>
      <c r="B880" s="1">
        <v>109697.86</v>
      </c>
      <c r="C880">
        <v>89853.52</v>
      </c>
      <c r="D880" s="2">
        <v>43670</v>
      </c>
      <c r="E880" t="s">
        <v>30</v>
      </c>
      <c r="F880" t="s">
        <v>110</v>
      </c>
      <c r="G880" t="s">
        <v>55</v>
      </c>
      <c r="H880" t="s">
        <v>128</v>
      </c>
      <c r="I880" t="s">
        <v>28</v>
      </c>
      <c r="J880" t="s">
        <v>1040</v>
      </c>
    </row>
    <row r="881" spans="1:10" x14ac:dyDescent="0.25">
      <c r="A881" t="s">
        <v>53</v>
      </c>
      <c r="B881" s="1">
        <v>57276.26</v>
      </c>
      <c r="C881">
        <v>49223.22</v>
      </c>
      <c r="D881" s="2">
        <v>43925</v>
      </c>
      <c r="E881" t="s">
        <v>51</v>
      </c>
      <c r="F881" t="s">
        <v>35</v>
      </c>
      <c r="G881" t="s">
        <v>55</v>
      </c>
      <c r="H881" t="s">
        <v>72</v>
      </c>
      <c r="I881" t="s">
        <v>28</v>
      </c>
      <c r="J881" t="s">
        <v>1041</v>
      </c>
    </row>
    <row r="882" spans="1:10" x14ac:dyDescent="0.25">
      <c r="A882" t="s">
        <v>84</v>
      </c>
      <c r="B882" s="1">
        <v>149956.93</v>
      </c>
      <c r="C882">
        <v>130087.64</v>
      </c>
      <c r="D882" s="2">
        <v>44112</v>
      </c>
      <c r="E882" t="s">
        <v>18</v>
      </c>
      <c r="F882" t="s">
        <v>150</v>
      </c>
      <c r="G882" t="s">
        <v>85</v>
      </c>
      <c r="H882" t="s">
        <v>86</v>
      </c>
      <c r="I882" t="s">
        <v>28</v>
      </c>
      <c r="J882" t="s">
        <v>1042</v>
      </c>
    </row>
    <row r="883" spans="1:10" x14ac:dyDescent="0.25">
      <c r="A883" t="s">
        <v>138</v>
      </c>
      <c r="B883" s="1">
        <v>127075.41</v>
      </c>
      <c r="C883">
        <v>110924.13</v>
      </c>
      <c r="D883" s="2">
        <v>43732</v>
      </c>
      <c r="E883" t="s">
        <v>24</v>
      </c>
      <c r="F883" t="s">
        <v>123</v>
      </c>
      <c r="G883" t="s">
        <v>140</v>
      </c>
      <c r="H883" t="s">
        <v>141</v>
      </c>
      <c r="I883" t="s">
        <v>28</v>
      </c>
      <c r="J883" t="s">
        <v>1043</v>
      </c>
    </row>
    <row r="884" spans="1:10" x14ac:dyDescent="0.25">
      <c r="A884" t="s">
        <v>10</v>
      </c>
      <c r="B884" s="1">
        <v>28755.32</v>
      </c>
      <c r="C884">
        <v>23938.799999999999</v>
      </c>
      <c r="D884" s="2">
        <v>43748</v>
      </c>
      <c r="E884" t="s">
        <v>11</v>
      </c>
      <c r="F884" t="s">
        <v>102</v>
      </c>
      <c r="G884" t="s">
        <v>13</v>
      </c>
      <c r="H884" t="s">
        <v>14</v>
      </c>
      <c r="I884" t="s">
        <v>28</v>
      </c>
      <c r="J884" t="s">
        <v>1044</v>
      </c>
    </row>
    <row r="885" spans="1:10" x14ac:dyDescent="0.25">
      <c r="A885" t="s">
        <v>23</v>
      </c>
      <c r="B885" s="1">
        <v>178027.46</v>
      </c>
      <c r="C885">
        <v>144985.56</v>
      </c>
      <c r="D885" s="2">
        <v>43834</v>
      </c>
      <c r="E885" t="s">
        <v>51</v>
      </c>
      <c r="F885" t="s">
        <v>64</v>
      </c>
      <c r="G885" t="s">
        <v>26</v>
      </c>
      <c r="H885" t="s">
        <v>76</v>
      </c>
      <c r="I885" t="s">
        <v>28</v>
      </c>
      <c r="J885" t="s">
        <v>1045</v>
      </c>
    </row>
    <row r="886" spans="1:10" x14ac:dyDescent="0.25">
      <c r="A886" t="s">
        <v>101</v>
      </c>
      <c r="B886" s="1">
        <v>152231.85999999999</v>
      </c>
      <c r="C886">
        <v>122303.08</v>
      </c>
      <c r="D886" s="2">
        <v>43593</v>
      </c>
      <c r="E886" t="s">
        <v>60</v>
      </c>
      <c r="F886" t="s">
        <v>174</v>
      </c>
      <c r="G886" t="s">
        <v>103</v>
      </c>
      <c r="H886" t="s">
        <v>104</v>
      </c>
      <c r="I886" t="s">
        <v>28</v>
      </c>
      <c r="J886" t="s">
        <v>1046</v>
      </c>
    </row>
    <row r="887" spans="1:10" x14ac:dyDescent="0.25">
      <c r="A887" t="s">
        <v>10</v>
      </c>
      <c r="B887" s="1">
        <v>53957.42</v>
      </c>
      <c r="C887">
        <v>46905.19</v>
      </c>
      <c r="D887" s="2">
        <v>43610</v>
      </c>
      <c r="E887" t="s">
        <v>60</v>
      </c>
      <c r="F887" t="s">
        <v>35</v>
      </c>
      <c r="G887" t="s">
        <v>13</v>
      </c>
      <c r="H887" t="s">
        <v>118</v>
      </c>
      <c r="I887" t="s">
        <v>28</v>
      </c>
      <c r="J887" t="s">
        <v>1047</v>
      </c>
    </row>
    <row r="888" spans="1:10" x14ac:dyDescent="0.25">
      <c r="A888" t="s">
        <v>23</v>
      </c>
      <c r="B888" s="1">
        <v>80474.78</v>
      </c>
      <c r="C888">
        <v>66568.740000000005</v>
      </c>
      <c r="D888" s="2">
        <v>43607</v>
      </c>
      <c r="E888" t="s">
        <v>24</v>
      </c>
      <c r="F888" t="s">
        <v>40</v>
      </c>
      <c r="G888" t="s">
        <v>26</v>
      </c>
      <c r="H888" t="s">
        <v>90</v>
      </c>
      <c r="I888" t="s">
        <v>28</v>
      </c>
      <c r="J888" t="s">
        <v>1048</v>
      </c>
    </row>
    <row r="889" spans="1:10" x14ac:dyDescent="0.25">
      <c r="A889" t="s">
        <v>101</v>
      </c>
      <c r="B889" s="1">
        <v>145439.65</v>
      </c>
      <c r="C889">
        <v>123710.97</v>
      </c>
      <c r="D889" s="2">
        <v>44107</v>
      </c>
      <c r="E889" t="s">
        <v>60</v>
      </c>
      <c r="F889" t="s">
        <v>368</v>
      </c>
      <c r="G889" t="s">
        <v>103</v>
      </c>
      <c r="H889" t="s">
        <v>162</v>
      </c>
      <c r="I889" t="s">
        <v>28</v>
      </c>
      <c r="J889" t="s">
        <v>1049</v>
      </c>
    </row>
    <row r="890" spans="1:10" x14ac:dyDescent="0.25">
      <c r="A890" t="s">
        <v>53</v>
      </c>
      <c r="B890" s="1">
        <v>84035.82</v>
      </c>
      <c r="C890">
        <v>71329.600000000006</v>
      </c>
      <c r="D890" s="2">
        <v>44131</v>
      </c>
      <c r="E890" t="s">
        <v>11</v>
      </c>
      <c r="F890" t="s">
        <v>35</v>
      </c>
      <c r="G890" t="s">
        <v>55</v>
      </c>
      <c r="H890" t="s">
        <v>56</v>
      </c>
      <c r="I890" t="s">
        <v>38</v>
      </c>
      <c r="J890" t="s">
        <v>1050</v>
      </c>
    </row>
    <row r="891" spans="1:10" x14ac:dyDescent="0.25">
      <c r="A891" t="s">
        <v>34</v>
      </c>
      <c r="B891" s="1">
        <v>68288.679999999993</v>
      </c>
      <c r="C891">
        <v>56754.720000000001</v>
      </c>
      <c r="D891" s="2">
        <v>44101</v>
      </c>
      <c r="E891" t="s">
        <v>30</v>
      </c>
      <c r="F891" t="s">
        <v>35</v>
      </c>
      <c r="G891" t="s">
        <v>36</v>
      </c>
      <c r="H891" t="s">
        <v>37</v>
      </c>
      <c r="I891" t="s">
        <v>28</v>
      </c>
      <c r="J891" t="s">
        <v>1051</v>
      </c>
    </row>
    <row r="892" spans="1:10" x14ac:dyDescent="0.25">
      <c r="A892" t="s">
        <v>10</v>
      </c>
      <c r="B892" s="1">
        <v>100578.6</v>
      </c>
      <c r="C892">
        <v>83208.679999999993</v>
      </c>
      <c r="D892" s="2">
        <v>43479</v>
      </c>
      <c r="E892" t="s">
        <v>80</v>
      </c>
      <c r="F892" t="s">
        <v>123</v>
      </c>
      <c r="G892" t="s">
        <v>13</v>
      </c>
      <c r="H892" t="s">
        <v>118</v>
      </c>
      <c r="I892" t="s">
        <v>28</v>
      </c>
      <c r="J892" t="s">
        <v>1052</v>
      </c>
    </row>
    <row r="893" spans="1:10" x14ac:dyDescent="0.25">
      <c r="A893" t="s">
        <v>53</v>
      </c>
      <c r="B893" s="1">
        <v>94925</v>
      </c>
      <c r="C893">
        <v>77572.710000000006</v>
      </c>
      <c r="D893" s="2">
        <v>43738</v>
      </c>
      <c r="E893" t="s">
        <v>46</v>
      </c>
      <c r="F893" t="s">
        <v>43</v>
      </c>
      <c r="G893" t="s">
        <v>55</v>
      </c>
      <c r="H893" t="s">
        <v>144</v>
      </c>
      <c r="I893" t="s">
        <v>15</v>
      </c>
      <c r="J893" t="s">
        <v>1053</v>
      </c>
    </row>
    <row r="894" spans="1:10" x14ac:dyDescent="0.25">
      <c r="A894" t="s">
        <v>53</v>
      </c>
      <c r="B894" s="1">
        <v>105464.41</v>
      </c>
      <c r="C894">
        <v>84761.75</v>
      </c>
      <c r="D894" s="2">
        <v>43704</v>
      </c>
      <c r="E894" t="s">
        <v>11</v>
      </c>
      <c r="F894" t="s">
        <v>132</v>
      </c>
      <c r="G894" t="s">
        <v>55</v>
      </c>
      <c r="H894" t="s">
        <v>144</v>
      </c>
      <c r="I894" t="s">
        <v>28</v>
      </c>
      <c r="J894" t="s">
        <v>1054</v>
      </c>
    </row>
    <row r="895" spans="1:10" x14ac:dyDescent="0.25">
      <c r="A895" t="s">
        <v>53</v>
      </c>
      <c r="B895" s="1">
        <v>155827.29999999999</v>
      </c>
      <c r="C895">
        <v>126360.36</v>
      </c>
      <c r="D895" s="2">
        <v>43585</v>
      </c>
      <c r="E895" t="s">
        <v>51</v>
      </c>
      <c r="F895" t="s">
        <v>19</v>
      </c>
      <c r="G895" t="s">
        <v>55</v>
      </c>
      <c r="H895" t="s">
        <v>144</v>
      </c>
      <c r="I895" t="s">
        <v>38</v>
      </c>
      <c r="J895" t="s">
        <v>1055</v>
      </c>
    </row>
    <row r="896" spans="1:10" x14ac:dyDescent="0.25">
      <c r="A896" t="s">
        <v>23</v>
      </c>
      <c r="B896" s="1">
        <v>90994.31</v>
      </c>
      <c r="C896">
        <v>72540.66</v>
      </c>
      <c r="D896" s="2">
        <v>43960</v>
      </c>
      <c r="E896" t="s">
        <v>80</v>
      </c>
      <c r="F896" t="s">
        <v>178</v>
      </c>
      <c r="G896" t="s">
        <v>26</v>
      </c>
      <c r="H896" t="s">
        <v>219</v>
      </c>
      <c r="I896" t="s">
        <v>28</v>
      </c>
      <c r="J896" t="s">
        <v>1056</v>
      </c>
    </row>
    <row r="897" spans="1:10" x14ac:dyDescent="0.25">
      <c r="A897" t="s">
        <v>23</v>
      </c>
      <c r="B897" s="1">
        <v>32779.67</v>
      </c>
      <c r="C897">
        <v>26800.66</v>
      </c>
      <c r="D897" s="2">
        <v>43912</v>
      </c>
      <c r="E897" t="s">
        <v>62</v>
      </c>
      <c r="F897" t="s">
        <v>234</v>
      </c>
      <c r="G897" t="s">
        <v>26</v>
      </c>
      <c r="H897" t="s">
        <v>32</v>
      </c>
      <c r="I897" t="s">
        <v>28</v>
      </c>
      <c r="J897" t="s">
        <v>1057</v>
      </c>
    </row>
    <row r="898" spans="1:10" x14ac:dyDescent="0.25">
      <c r="A898" t="s">
        <v>101</v>
      </c>
      <c r="B898" s="1">
        <v>40187.99</v>
      </c>
      <c r="C898">
        <v>32508.07</v>
      </c>
      <c r="D898" s="2">
        <v>43973</v>
      </c>
      <c r="E898" t="s">
        <v>18</v>
      </c>
      <c r="F898" t="s">
        <v>114</v>
      </c>
      <c r="G898" t="s">
        <v>103</v>
      </c>
      <c r="H898" t="s">
        <v>104</v>
      </c>
      <c r="I898" t="s">
        <v>28</v>
      </c>
      <c r="J898" t="s">
        <v>1058</v>
      </c>
    </row>
    <row r="899" spans="1:10" x14ac:dyDescent="0.25">
      <c r="A899" t="s">
        <v>45</v>
      </c>
      <c r="B899" s="1">
        <v>91842.59</v>
      </c>
      <c r="C899">
        <v>73979.210000000006</v>
      </c>
      <c r="D899" s="2">
        <v>43553</v>
      </c>
      <c r="E899" t="s">
        <v>18</v>
      </c>
      <c r="F899" t="s">
        <v>294</v>
      </c>
      <c r="G899" t="s">
        <v>48</v>
      </c>
      <c r="H899" t="s">
        <v>66</v>
      </c>
      <c r="I899" t="s">
        <v>28</v>
      </c>
      <c r="J899" t="s">
        <v>1059</v>
      </c>
    </row>
    <row r="900" spans="1:10" x14ac:dyDescent="0.25">
      <c r="A900" t="s">
        <v>23</v>
      </c>
      <c r="B900" s="1">
        <v>38494.71</v>
      </c>
      <c r="C900">
        <v>33113.15</v>
      </c>
      <c r="D900" s="2">
        <v>43500</v>
      </c>
      <c r="E900" t="s">
        <v>18</v>
      </c>
      <c r="F900" t="s">
        <v>64</v>
      </c>
      <c r="G900" t="s">
        <v>26</v>
      </c>
      <c r="H900" t="s">
        <v>90</v>
      </c>
      <c r="I900" t="s">
        <v>28</v>
      </c>
      <c r="J900" t="s">
        <v>1060</v>
      </c>
    </row>
    <row r="901" spans="1:10" x14ac:dyDescent="0.25">
      <c r="A901" t="s">
        <v>53</v>
      </c>
      <c r="B901" s="1">
        <v>86050.61</v>
      </c>
      <c r="C901">
        <v>75569.649999999994</v>
      </c>
      <c r="D901" s="2">
        <v>44077</v>
      </c>
      <c r="E901" t="s">
        <v>24</v>
      </c>
      <c r="F901" t="s">
        <v>224</v>
      </c>
      <c r="G901" t="s">
        <v>55</v>
      </c>
      <c r="H901" t="s">
        <v>128</v>
      </c>
      <c r="I901" t="s">
        <v>28</v>
      </c>
      <c r="J901" t="s">
        <v>1061</v>
      </c>
    </row>
    <row r="902" spans="1:10" x14ac:dyDescent="0.25">
      <c r="A902" t="s">
        <v>10</v>
      </c>
      <c r="B902" s="1">
        <v>36749.51</v>
      </c>
      <c r="C902">
        <v>30101.52</v>
      </c>
      <c r="D902" s="2">
        <v>44119</v>
      </c>
      <c r="E902" t="s">
        <v>18</v>
      </c>
      <c r="F902" t="s">
        <v>19</v>
      </c>
      <c r="G902" t="s">
        <v>13</v>
      </c>
      <c r="H902" t="s">
        <v>14</v>
      </c>
      <c r="I902" t="s">
        <v>28</v>
      </c>
      <c r="J902" t="s">
        <v>1062</v>
      </c>
    </row>
    <row r="903" spans="1:10" x14ac:dyDescent="0.25">
      <c r="A903" t="s">
        <v>17</v>
      </c>
      <c r="B903" s="1">
        <v>194531.02</v>
      </c>
      <c r="C903">
        <v>158970.75</v>
      </c>
      <c r="D903" s="2">
        <v>43655</v>
      </c>
      <c r="E903" t="s">
        <v>24</v>
      </c>
      <c r="F903" t="s">
        <v>40</v>
      </c>
      <c r="G903" t="s">
        <v>20</v>
      </c>
      <c r="H903" t="s">
        <v>353</v>
      </c>
      <c r="I903" t="s">
        <v>38</v>
      </c>
      <c r="J903" t="s">
        <v>1063</v>
      </c>
    </row>
    <row r="904" spans="1:10" x14ac:dyDescent="0.25">
      <c r="A904" t="s">
        <v>53</v>
      </c>
      <c r="B904" s="1">
        <v>106730.16</v>
      </c>
      <c r="C904">
        <v>89503.91</v>
      </c>
      <c r="D904" s="2">
        <v>44042</v>
      </c>
      <c r="E904" t="s">
        <v>30</v>
      </c>
      <c r="F904" t="s">
        <v>40</v>
      </c>
      <c r="G904" t="s">
        <v>55</v>
      </c>
      <c r="H904" t="s">
        <v>133</v>
      </c>
      <c r="I904" t="s">
        <v>28</v>
      </c>
      <c r="J904" t="s">
        <v>1064</v>
      </c>
    </row>
    <row r="905" spans="1:10" x14ac:dyDescent="0.25">
      <c r="A905" t="s">
        <v>215</v>
      </c>
      <c r="B905" s="1">
        <v>30177.8</v>
      </c>
      <c r="C905">
        <v>23924.959999999999</v>
      </c>
      <c r="D905" s="2">
        <v>44110</v>
      </c>
      <c r="E905" t="s">
        <v>80</v>
      </c>
      <c r="F905" t="s">
        <v>168</v>
      </c>
      <c r="G905" t="s">
        <v>216</v>
      </c>
      <c r="H905" t="s">
        <v>217</v>
      </c>
      <c r="I905" t="s">
        <v>15</v>
      </c>
      <c r="J905" t="s">
        <v>1065</v>
      </c>
    </row>
    <row r="906" spans="1:10" x14ac:dyDescent="0.25">
      <c r="A906" t="s">
        <v>23</v>
      </c>
      <c r="B906" s="1">
        <v>93902.04</v>
      </c>
      <c r="C906">
        <v>80793.31</v>
      </c>
      <c r="D906" s="2">
        <v>43891</v>
      </c>
      <c r="E906" t="s">
        <v>24</v>
      </c>
      <c r="F906" t="s">
        <v>68</v>
      </c>
      <c r="G906" t="s">
        <v>26</v>
      </c>
      <c r="H906" t="s">
        <v>32</v>
      </c>
      <c r="I906" t="s">
        <v>28</v>
      </c>
      <c r="J906" t="s">
        <v>1066</v>
      </c>
    </row>
    <row r="907" spans="1:10" x14ac:dyDescent="0.25">
      <c r="A907" t="s">
        <v>215</v>
      </c>
      <c r="B907" s="1">
        <v>250483.63</v>
      </c>
      <c r="C907">
        <v>217269.5</v>
      </c>
      <c r="D907" s="2">
        <v>44015</v>
      </c>
      <c r="E907" t="s">
        <v>46</v>
      </c>
      <c r="F907" t="s">
        <v>110</v>
      </c>
      <c r="G907" t="s">
        <v>216</v>
      </c>
      <c r="H907" t="s">
        <v>217</v>
      </c>
      <c r="I907" t="s">
        <v>15</v>
      </c>
      <c r="J907" t="s">
        <v>1067</v>
      </c>
    </row>
    <row r="908" spans="1:10" x14ac:dyDescent="0.25">
      <c r="A908" t="s">
        <v>10</v>
      </c>
      <c r="B908" s="1">
        <v>162142.74</v>
      </c>
      <c r="C908">
        <v>136037.76000000001</v>
      </c>
      <c r="D908" s="2">
        <v>43494</v>
      </c>
      <c r="E908" t="s">
        <v>24</v>
      </c>
      <c r="F908" t="s">
        <v>112</v>
      </c>
      <c r="G908" t="s">
        <v>13</v>
      </c>
      <c r="H908" t="s">
        <v>82</v>
      </c>
      <c r="I908" t="s">
        <v>28</v>
      </c>
      <c r="J908" t="s">
        <v>1068</v>
      </c>
    </row>
    <row r="909" spans="1:10" x14ac:dyDescent="0.25">
      <c r="A909" t="s">
        <v>346</v>
      </c>
      <c r="B909" s="1">
        <v>47516.54</v>
      </c>
      <c r="C909">
        <v>38987.32</v>
      </c>
      <c r="D909" s="2">
        <v>43839</v>
      </c>
      <c r="E909" t="s">
        <v>11</v>
      </c>
      <c r="F909" t="s">
        <v>35</v>
      </c>
      <c r="G909" t="s">
        <v>347</v>
      </c>
      <c r="H909" t="s">
        <v>701</v>
      </c>
      <c r="I909" t="s">
        <v>28</v>
      </c>
      <c r="J909" t="s">
        <v>1069</v>
      </c>
    </row>
    <row r="910" spans="1:10" x14ac:dyDescent="0.25">
      <c r="A910" t="s">
        <v>215</v>
      </c>
      <c r="B910" s="1">
        <v>163546.81</v>
      </c>
      <c r="C910">
        <v>133307</v>
      </c>
      <c r="D910" s="2">
        <v>43592</v>
      </c>
      <c r="E910" t="s">
        <v>80</v>
      </c>
      <c r="F910" t="s">
        <v>265</v>
      </c>
      <c r="G910" t="s">
        <v>216</v>
      </c>
      <c r="H910" t="s">
        <v>217</v>
      </c>
      <c r="I910" t="s">
        <v>28</v>
      </c>
      <c r="J910" t="s">
        <v>1070</v>
      </c>
    </row>
    <row r="911" spans="1:10" x14ac:dyDescent="0.25">
      <c r="A911" t="s">
        <v>53</v>
      </c>
      <c r="B911" s="1">
        <v>35437.89</v>
      </c>
      <c r="C911">
        <v>30412.799999999999</v>
      </c>
      <c r="D911" s="2">
        <v>43864</v>
      </c>
      <c r="E911" t="s">
        <v>24</v>
      </c>
      <c r="F911" t="s">
        <v>341</v>
      </c>
      <c r="G911" t="s">
        <v>55</v>
      </c>
      <c r="H911" t="s">
        <v>133</v>
      </c>
      <c r="I911" t="s">
        <v>28</v>
      </c>
      <c r="J911" t="s">
        <v>1071</v>
      </c>
    </row>
    <row r="912" spans="1:10" x14ac:dyDescent="0.25">
      <c r="A912" t="s">
        <v>96</v>
      </c>
      <c r="B912" s="1">
        <v>122889.28</v>
      </c>
      <c r="C912">
        <v>103042.66</v>
      </c>
      <c r="D912" s="2">
        <v>44162</v>
      </c>
      <c r="E912" t="s">
        <v>60</v>
      </c>
      <c r="F912" t="s">
        <v>123</v>
      </c>
      <c r="G912" t="s">
        <v>98</v>
      </c>
      <c r="H912" t="s">
        <v>99</v>
      </c>
      <c r="I912" t="s">
        <v>28</v>
      </c>
      <c r="J912" t="s">
        <v>1072</v>
      </c>
    </row>
    <row r="913" spans="1:10" x14ac:dyDescent="0.25">
      <c r="A913" t="s">
        <v>106</v>
      </c>
      <c r="B913" s="1">
        <v>26490.47</v>
      </c>
      <c r="C913">
        <v>21168.53</v>
      </c>
      <c r="D913" s="2">
        <v>43773</v>
      </c>
      <c r="E913" t="s">
        <v>51</v>
      </c>
      <c r="F913" t="s">
        <v>31</v>
      </c>
      <c r="G913" t="s">
        <v>107</v>
      </c>
      <c r="H913" t="s">
        <v>108</v>
      </c>
      <c r="I913" t="s">
        <v>28</v>
      </c>
      <c r="J913" t="s">
        <v>1073</v>
      </c>
    </row>
    <row r="914" spans="1:10" x14ac:dyDescent="0.25">
      <c r="A914" t="s">
        <v>45</v>
      </c>
      <c r="B914" s="1">
        <v>173722.59</v>
      </c>
      <c r="C914">
        <v>148063.76</v>
      </c>
      <c r="D914" s="2">
        <v>43564</v>
      </c>
      <c r="E914" t="s">
        <v>18</v>
      </c>
      <c r="F914" t="s">
        <v>237</v>
      </c>
      <c r="G914" t="s">
        <v>48</v>
      </c>
      <c r="H914" t="s">
        <v>74</v>
      </c>
      <c r="I914" t="s">
        <v>28</v>
      </c>
      <c r="J914" t="s">
        <v>1074</v>
      </c>
    </row>
    <row r="915" spans="1:10" x14ac:dyDescent="0.25">
      <c r="A915" t="s">
        <v>53</v>
      </c>
      <c r="B915" s="1">
        <v>76543.360000000001</v>
      </c>
      <c r="C915">
        <v>65819.64</v>
      </c>
      <c r="D915" s="2">
        <v>43545</v>
      </c>
      <c r="E915" t="s">
        <v>46</v>
      </c>
      <c r="F915" t="s">
        <v>47</v>
      </c>
      <c r="G915" t="s">
        <v>55</v>
      </c>
      <c r="H915" t="s">
        <v>133</v>
      </c>
      <c r="I915" t="s">
        <v>28</v>
      </c>
      <c r="J915" t="s">
        <v>1075</v>
      </c>
    </row>
    <row r="916" spans="1:10" x14ac:dyDescent="0.25">
      <c r="A916" t="s">
        <v>10</v>
      </c>
      <c r="B916" s="1">
        <v>69626.39</v>
      </c>
      <c r="C916">
        <v>57295.56</v>
      </c>
      <c r="D916" s="2">
        <v>43631</v>
      </c>
      <c r="E916" t="s">
        <v>80</v>
      </c>
      <c r="F916" t="s">
        <v>135</v>
      </c>
      <c r="G916" t="s">
        <v>13</v>
      </c>
      <c r="H916" t="s">
        <v>14</v>
      </c>
      <c r="I916" t="s">
        <v>28</v>
      </c>
      <c r="J916" t="s">
        <v>1076</v>
      </c>
    </row>
    <row r="917" spans="1:10" x14ac:dyDescent="0.25">
      <c r="A917" t="s">
        <v>53</v>
      </c>
      <c r="B917" s="1">
        <v>249915.21</v>
      </c>
      <c r="C917">
        <v>215326.95</v>
      </c>
      <c r="D917" s="2">
        <v>44180</v>
      </c>
      <c r="E917" t="s">
        <v>51</v>
      </c>
      <c r="F917" t="s">
        <v>97</v>
      </c>
      <c r="G917" t="s">
        <v>55</v>
      </c>
      <c r="H917" t="s">
        <v>128</v>
      </c>
      <c r="I917" t="s">
        <v>28</v>
      </c>
      <c r="J917" t="s">
        <v>1077</v>
      </c>
    </row>
    <row r="918" spans="1:10" x14ac:dyDescent="0.25">
      <c r="A918" t="s">
        <v>23</v>
      </c>
      <c r="B918" s="1">
        <v>55790.71</v>
      </c>
      <c r="C918">
        <v>48783.4</v>
      </c>
      <c r="D918" s="2">
        <v>44112</v>
      </c>
      <c r="E918" t="s">
        <v>51</v>
      </c>
      <c r="F918" t="s">
        <v>35</v>
      </c>
      <c r="G918" t="s">
        <v>26</v>
      </c>
      <c r="H918" t="s">
        <v>76</v>
      </c>
      <c r="I918" t="s">
        <v>28</v>
      </c>
      <c r="J918" t="s">
        <v>1078</v>
      </c>
    </row>
    <row r="919" spans="1:10" x14ac:dyDescent="0.25">
      <c r="A919" t="s">
        <v>84</v>
      </c>
      <c r="B919" s="1">
        <v>77896.83</v>
      </c>
      <c r="C919">
        <v>62714.74</v>
      </c>
      <c r="D919" s="2">
        <v>43903</v>
      </c>
      <c r="E919" t="s">
        <v>24</v>
      </c>
      <c r="F919" t="s">
        <v>121</v>
      </c>
      <c r="G919" t="s">
        <v>85</v>
      </c>
      <c r="H919" t="s">
        <v>86</v>
      </c>
      <c r="I919" t="s">
        <v>28</v>
      </c>
      <c r="J919" t="s">
        <v>1079</v>
      </c>
    </row>
    <row r="920" spans="1:10" x14ac:dyDescent="0.25">
      <c r="A920" t="s">
        <v>23</v>
      </c>
      <c r="B920" s="1">
        <v>104391.93</v>
      </c>
      <c r="C920">
        <v>86770.57</v>
      </c>
      <c r="D920" s="2">
        <v>43834</v>
      </c>
      <c r="E920" t="s">
        <v>30</v>
      </c>
      <c r="F920" t="s">
        <v>102</v>
      </c>
      <c r="G920" t="s">
        <v>26</v>
      </c>
      <c r="H920" t="s">
        <v>219</v>
      </c>
      <c r="I920" t="s">
        <v>28</v>
      </c>
      <c r="J920" t="s">
        <v>1080</v>
      </c>
    </row>
    <row r="921" spans="1:10" x14ac:dyDescent="0.25">
      <c r="A921" t="s">
        <v>23</v>
      </c>
      <c r="B921" s="1">
        <v>57115.99</v>
      </c>
      <c r="C921">
        <v>48976.959999999999</v>
      </c>
      <c r="D921" s="2">
        <v>43551</v>
      </c>
      <c r="E921" t="s">
        <v>11</v>
      </c>
      <c r="F921" t="s">
        <v>1081</v>
      </c>
      <c r="G921" t="s">
        <v>26</v>
      </c>
      <c r="H921" t="s">
        <v>32</v>
      </c>
      <c r="I921" t="s">
        <v>15</v>
      </c>
      <c r="J921" t="s">
        <v>1082</v>
      </c>
    </row>
    <row r="922" spans="1:10" x14ac:dyDescent="0.25">
      <c r="A922" t="s">
        <v>53</v>
      </c>
      <c r="B922" s="1">
        <v>74685.850000000006</v>
      </c>
      <c r="C922">
        <v>59166.13</v>
      </c>
      <c r="D922" s="2">
        <v>43974</v>
      </c>
      <c r="E922" t="s">
        <v>18</v>
      </c>
      <c r="F922" t="s">
        <v>203</v>
      </c>
      <c r="G922" t="s">
        <v>55</v>
      </c>
      <c r="H922" t="s">
        <v>144</v>
      </c>
      <c r="I922" t="s">
        <v>28</v>
      </c>
      <c r="J922" t="s">
        <v>1083</v>
      </c>
    </row>
    <row r="923" spans="1:10" x14ac:dyDescent="0.25">
      <c r="A923" t="s">
        <v>53</v>
      </c>
      <c r="B923" s="1">
        <v>74103.820000000007</v>
      </c>
      <c r="C923">
        <v>64811.199999999997</v>
      </c>
      <c r="D923" s="2">
        <v>43832</v>
      </c>
      <c r="E923" t="s">
        <v>51</v>
      </c>
      <c r="F923" t="s">
        <v>35</v>
      </c>
      <c r="G923" t="s">
        <v>55</v>
      </c>
      <c r="H923" t="s">
        <v>133</v>
      </c>
      <c r="I923" t="s">
        <v>28</v>
      </c>
      <c r="J923" t="s">
        <v>1084</v>
      </c>
    </row>
    <row r="924" spans="1:10" x14ac:dyDescent="0.25">
      <c r="A924" t="s">
        <v>53</v>
      </c>
      <c r="B924" s="1">
        <v>176190.16</v>
      </c>
      <c r="C924">
        <v>142273.54999999999</v>
      </c>
      <c r="D924" s="2">
        <v>43710</v>
      </c>
      <c r="E924" t="s">
        <v>51</v>
      </c>
      <c r="F924" t="s">
        <v>35</v>
      </c>
      <c r="G924" t="s">
        <v>55</v>
      </c>
      <c r="H924" t="s">
        <v>56</v>
      </c>
      <c r="I924" t="s">
        <v>28</v>
      </c>
      <c r="J924" t="s">
        <v>1085</v>
      </c>
    </row>
    <row r="925" spans="1:10" x14ac:dyDescent="0.25">
      <c r="A925" t="s">
        <v>10</v>
      </c>
      <c r="B925" s="1">
        <v>185778.3</v>
      </c>
      <c r="C925">
        <v>154734.75</v>
      </c>
      <c r="D925" s="2">
        <v>44007</v>
      </c>
      <c r="E925" t="s">
        <v>80</v>
      </c>
      <c r="F925" t="s">
        <v>94</v>
      </c>
      <c r="G925" t="s">
        <v>13</v>
      </c>
      <c r="H925" t="s">
        <v>170</v>
      </c>
      <c r="I925" t="s">
        <v>28</v>
      </c>
      <c r="J925" t="s">
        <v>1086</v>
      </c>
    </row>
    <row r="926" spans="1:10" x14ac:dyDescent="0.25">
      <c r="A926" t="s">
        <v>53</v>
      </c>
      <c r="B926" s="1">
        <v>212521.26</v>
      </c>
      <c r="C926">
        <v>172014.71</v>
      </c>
      <c r="D926" s="2">
        <v>43636</v>
      </c>
      <c r="E926" t="s">
        <v>11</v>
      </c>
      <c r="F926" t="s">
        <v>35</v>
      </c>
      <c r="G926" t="s">
        <v>55</v>
      </c>
      <c r="H926" t="s">
        <v>128</v>
      </c>
      <c r="I926" t="s">
        <v>28</v>
      </c>
      <c r="J926" t="s">
        <v>1087</v>
      </c>
    </row>
    <row r="927" spans="1:10" x14ac:dyDescent="0.25">
      <c r="A927" t="s">
        <v>53</v>
      </c>
      <c r="B927" s="1">
        <v>40148.49</v>
      </c>
      <c r="C927">
        <v>31954.18</v>
      </c>
      <c r="D927" s="2">
        <v>43498</v>
      </c>
      <c r="E927" t="s">
        <v>80</v>
      </c>
      <c r="F927" t="s">
        <v>231</v>
      </c>
      <c r="G927" t="s">
        <v>55</v>
      </c>
      <c r="H927" t="s">
        <v>72</v>
      </c>
      <c r="I927" t="s">
        <v>28</v>
      </c>
      <c r="J927" t="s">
        <v>1088</v>
      </c>
    </row>
    <row r="928" spans="1:10" x14ac:dyDescent="0.25">
      <c r="A928" t="s">
        <v>23</v>
      </c>
      <c r="B928" s="1">
        <v>157942.65</v>
      </c>
      <c r="C928">
        <v>136620.39000000001</v>
      </c>
      <c r="D928" s="2">
        <v>44005</v>
      </c>
      <c r="E928" t="s">
        <v>80</v>
      </c>
      <c r="F928" t="s">
        <v>31</v>
      </c>
      <c r="G928" t="s">
        <v>26</v>
      </c>
      <c r="H928" t="s">
        <v>219</v>
      </c>
      <c r="I928" t="s">
        <v>28</v>
      </c>
      <c r="J928" t="s">
        <v>1089</v>
      </c>
    </row>
    <row r="929" spans="1:10" x14ac:dyDescent="0.25">
      <c r="A929" t="s">
        <v>84</v>
      </c>
      <c r="B929" s="1">
        <v>172453.1</v>
      </c>
      <c r="C929">
        <v>145688.38</v>
      </c>
      <c r="D929" s="2">
        <v>44006</v>
      </c>
      <c r="E929" t="s">
        <v>62</v>
      </c>
      <c r="F929" t="s">
        <v>112</v>
      </c>
      <c r="G929" t="s">
        <v>85</v>
      </c>
      <c r="H929" t="s">
        <v>86</v>
      </c>
      <c r="I929" t="s">
        <v>28</v>
      </c>
      <c r="J929" t="s">
        <v>1090</v>
      </c>
    </row>
    <row r="930" spans="1:10" x14ac:dyDescent="0.25">
      <c r="A930" t="s">
        <v>53</v>
      </c>
      <c r="B930" s="1">
        <v>203604.46</v>
      </c>
      <c r="C930">
        <v>175344.16</v>
      </c>
      <c r="D930" s="2">
        <v>43642</v>
      </c>
      <c r="E930" t="s">
        <v>80</v>
      </c>
      <c r="F930" t="s">
        <v>112</v>
      </c>
      <c r="G930" t="s">
        <v>55</v>
      </c>
      <c r="H930" t="s">
        <v>128</v>
      </c>
      <c r="I930" t="s">
        <v>15</v>
      </c>
      <c r="J930" t="s">
        <v>1091</v>
      </c>
    </row>
    <row r="931" spans="1:10" x14ac:dyDescent="0.25">
      <c r="A931" t="s">
        <v>10</v>
      </c>
      <c r="B931" s="1">
        <v>251587.20000000001</v>
      </c>
      <c r="C931">
        <v>201848.41</v>
      </c>
      <c r="D931" s="2">
        <v>43630</v>
      </c>
      <c r="E931" t="s">
        <v>60</v>
      </c>
      <c r="F931" t="s">
        <v>237</v>
      </c>
      <c r="G931" t="s">
        <v>13</v>
      </c>
      <c r="H931" t="s">
        <v>82</v>
      </c>
      <c r="I931" t="s">
        <v>15</v>
      </c>
      <c r="J931" t="s">
        <v>1092</v>
      </c>
    </row>
    <row r="932" spans="1:10" x14ac:dyDescent="0.25">
      <c r="A932" t="s">
        <v>10</v>
      </c>
      <c r="B932" s="1">
        <v>19930.04</v>
      </c>
      <c r="C932">
        <v>16543.93</v>
      </c>
      <c r="D932" s="2">
        <v>43533</v>
      </c>
      <c r="E932" t="s">
        <v>60</v>
      </c>
      <c r="F932" t="s">
        <v>35</v>
      </c>
      <c r="G932" t="s">
        <v>13</v>
      </c>
      <c r="H932" t="s">
        <v>69</v>
      </c>
      <c r="I932" t="s">
        <v>38</v>
      </c>
      <c r="J932" t="s">
        <v>1093</v>
      </c>
    </row>
    <row r="933" spans="1:10" x14ac:dyDescent="0.25">
      <c r="A933" t="s">
        <v>101</v>
      </c>
      <c r="B933" s="1">
        <v>149372.32</v>
      </c>
      <c r="C933">
        <v>130611.16</v>
      </c>
      <c r="D933" s="2">
        <v>44185</v>
      </c>
      <c r="E933" t="s">
        <v>80</v>
      </c>
      <c r="F933" t="s">
        <v>999</v>
      </c>
      <c r="G933" t="s">
        <v>103</v>
      </c>
      <c r="H933" t="s">
        <v>104</v>
      </c>
      <c r="I933" t="s">
        <v>15</v>
      </c>
      <c r="J933" t="s">
        <v>1094</v>
      </c>
    </row>
    <row r="934" spans="1:10" x14ac:dyDescent="0.25">
      <c r="A934" t="s">
        <v>10</v>
      </c>
      <c r="B934" s="1">
        <v>25907.52</v>
      </c>
      <c r="C934">
        <v>22454.05</v>
      </c>
      <c r="D934" s="2">
        <v>43515</v>
      </c>
      <c r="E934" t="s">
        <v>11</v>
      </c>
      <c r="F934" t="s">
        <v>40</v>
      </c>
      <c r="G934" t="s">
        <v>13</v>
      </c>
      <c r="H934" t="s">
        <v>82</v>
      </c>
      <c r="I934" t="s">
        <v>28</v>
      </c>
      <c r="J934" t="s">
        <v>1095</v>
      </c>
    </row>
    <row r="935" spans="1:10" x14ac:dyDescent="0.25">
      <c r="A935" t="s">
        <v>23</v>
      </c>
      <c r="B935" s="1">
        <v>64762.89</v>
      </c>
      <c r="C935">
        <v>54238.92</v>
      </c>
      <c r="D935" s="2">
        <v>43502</v>
      </c>
      <c r="E935" t="s">
        <v>80</v>
      </c>
      <c r="F935" t="s">
        <v>43</v>
      </c>
      <c r="G935" t="s">
        <v>26</v>
      </c>
      <c r="H935" t="s">
        <v>90</v>
      </c>
      <c r="I935" t="s">
        <v>28</v>
      </c>
      <c r="J935" t="s">
        <v>1096</v>
      </c>
    </row>
    <row r="936" spans="1:10" x14ac:dyDescent="0.25">
      <c r="A936" t="s">
        <v>17</v>
      </c>
      <c r="B936" s="1">
        <v>65211.07</v>
      </c>
      <c r="C936">
        <v>56883.62</v>
      </c>
      <c r="D936" s="2">
        <v>44132</v>
      </c>
      <c r="E936" t="s">
        <v>18</v>
      </c>
      <c r="F936" t="s">
        <v>19</v>
      </c>
      <c r="G936" t="s">
        <v>20</v>
      </c>
      <c r="H936" t="s">
        <v>353</v>
      </c>
      <c r="I936" t="s">
        <v>28</v>
      </c>
      <c r="J936" t="s">
        <v>1097</v>
      </c>
    </row>
    <row r="937" spans="1:10" x14ac:dyDescent="0.25">
      <c r="A937" t="s">
        <v>34</v>
      </c>
      <c r="B937" s="1">
        <v>42475.6</v>
      </c>
      <c r="C937">
        <v>35802.68</v>
      </c>
      <c r="D937" s="2">
        <v>43509</v>
      </c>
      <c r="E937" t="s">
        <v>11</v>
      </c>
      <c r="F937" t="s">
        <v>35</v>
      </c>
      <c r="G937" t="s">
        <v>36</v>
      </c>
      <c r="H937" t="s">
        <v>41</v>
      </c>
      <c r="I937" t="s">
        <v>28</v>
      </c>
      <c r="J937" t="s">
        <v>1098</v>
      </c>
    </row>
    <row r="938" spans="1:10" x14ac:dyDescent="0.25">
      <c r="A938" t="s">
        <v>23</v>
      </c>
      <c r="B938" s="1">
        <v>172340.86</v>
      </c>
      <c r="C938">
        <v>136562.9</v>
      </c>
      <c r="D938" s="2">
        <v>43930</v>
      </c>
      <c r="E938" t="s">
        <v>30</v>
      </c>
      <c r="F938" t="s">
        <v>291</v>
      </c>
      <c r="G938" t="s">
        <v>26</v>
      </c>
      <c r="H938" t="s">
        <v>90</v>
      </c>
      <c r="I938" t="s">
        <v>28</v>
      </c>
      <c r="J938" t="s">
        <v>1099</v>
      </c>
    </row>
    <row r="939" spans="1:10" x14ac:dyDescent="0.25">
      <c r="A939" t="s">
        <v>173</v>
      </c>
      <c r="B939" s="1">
        <v>165709.19</v>
      </c>
      <c r="C939">
        <v>138102.04</v>
      </c>
      <c r="D939" s="2">
        <v>44113</v>
      </c>
      <c r="E939" t="s">
        <v>60</v>
      </c>
      <c r="F939" t="s">
        <v>110</v>
      </c>
      <c r="G939" t="s">
        <v>175</v>
      </c>
      <c r="H939" t="s">
        <v>176</v>
      </c>
      <c r="I939" t="s">
        <v>28</v>
      </c>
      <c r="J939" t="s">
        <v>1100</v>
      </c>
    </row>
    <row r="940" spans="1:10" x14ac:dyDescent="0.25">
      <c r="A940" t="s">
        <v>138</v>
      </c>
      <c r="B940" s="1">
        <v>118409.59</v>
      </c>
      <c r="C940">
        <v>96030.18</v>
      </c>
      <c r="D940" s="2">
        <v>44110</v>
      </c>
      <c r="E940" t="s">
        <v>18</v>
      </c>
      <c r="F940" t="s">
        <v>180</v>
      </c>
      <c r="G940" t="s">
        <v>140</v>
      </c>
      <c r="H940" t="s">
        <v>141</v>
      </c>
      <c r="I940" t="s">
        <v>28</v>
      </c>
      <c r="J940" t="s">
        <v>1101</v>
      </c>
    </row>
    <row r="941" spans="1:10" x14ac:dyDescent="0.25">
      <c r="A941" t="s">
        <v>53</v>
      </c>
      <c r="B941" s="1">
        <v>58416.11</v>
      </c>
      <c r="C941">
        <v>48076.46</v>
      </c>
      <c r="D941" s="2">
        <v>43967</v>
      </c>
      <c r="E941" t="s">
        <v>51</v>
      </c>
      <c r="F941" t="s">
        <v>327</v>
      </c>
      <c r="G941" t="s">
        <v>55</v>
      </c>
      <c r="H941" t="s">
        <v>56</v>
      </c>
      <c r="I941" t="s">
        <v>28</v>
      </c>
      <c r="J941" t="s">
        <v>1102</v>
      </c>
    </row>
    <row r="942" spans="1:10" x14ac:dyDescent="0.25">
      <c r="A942" t="s">
        <v>53</v>
      </c>
      <c r="B942" s="1">
        <v>78629.19</v>
      </c>
      <c r="C942">
        <v>63359.4</v>
      </c>
      <c r="D942" s="2">
        <v>43517</v>
      </c>
      <c r="E942" t="s">
        <v>51</v>
      </c>
      <c r="F942" t="s">
        <v>35</v>
      </c>
      <c r="G942" t="s">
        <v>55</v>
      </c>
      <c r="H942" t="s">
        <v>72</v>
      </c>
      <c r="I942" t="s">
        <v>15</v>
      </c>
      <c r="J942" t="s">
        <v>1103</v>
      </c>
    </row>
    <row r="943" spans="1:10" x14ac:dyDescent="0.25">
      <c r="A943" t="s">
        <v>10</v>
      </c>
      <c r="B943" s="1">
        <v>64842.92</v>
      </c>
      <c r="C943">
        <v>56439.28</v>
      </c>
      <c r="D943" s="2">
        <v>43737</v>
      </c>
      <c r="E943" t="s">
        <v>51</v>
      </c>
      <c r="F943" t="s">
        <v>25</v>
      </c>
      <c r="G943" t="s">
        <v>13</v>
      </c>
      <c r="H943" t="s">
        <v>82</v>
      </c>
      <c r="I943" t="s">
        <v>15</v>
      </c>
      <c r="J943" t="s">
        <v>1104</v>
      </c>
    </row>
    <row r="944" spans="1:10" x14ac:dyDescent="0.25">
      <c r="A944" t="s">
        <v>96</v>
      </c>
      <c r="B944" s="1">
        <v>76183.740000000005</v>
      </c>
      <c r="C944">
        <v>61617.41</v>
      </c>
      <c r="D944" s="2">
        <v>43619</v>
      </c>
      <c r="E944" t="s">
        <v>24</v>
      </c>
      <c r="F944" t="s">
        <v>47</v>
      </c>
      <c r="G944" t="s">
        <v>98</v>
      </c>
      <c r="H944" t="s">
        <v>99</v>
      </c>
      <c r="I944" t="s">
        <v>15</v>
      </c>
      <c r="J944" t="s">
        <v>1105</v>
      </c>
    </row>
    <row r="945" spans="1:10" x14ac:dyDescent="0.25">
      <c r="A945" t="s">
        <v>10</v>
      </c>
      <c r="B945" s="1">
        <v>131839.16</v>
      </c>
      <c r="C945">
        <v>115372.45</v>
      </c>
      <c r="D945" s="2">
        <v>43948</v>
      </c>
      <c r="E945" t="s">
        <v>11</v>
      </c>
      <c r="F945" t="s">
        <v>182</v>
      </c>
      <c r="G945" t="s">
        <v>13</v>
      </c>
      <c r="H945" t="s">
        <v>14</v>
      </c>
      <c r="I945" t="s">
        <v>28</v>
      </c>
      <c r="J945" t="s">
        <v>1106</v>
      </c>
    </row>
    <row r="946" spans="1:10" x14ac:dyDescent="0.25">
      <c r="A946" t="s">
        <v>23</v>
      </c>
      <c r="B946" s="1">
        <v>147092.62</v>
      </c>
      <c r="C946">
        <v>117806.48</v>
      </c>
      <c r="D946" s="2">
        <v>44135</v>
      </c>
      <c r="E946" t="s">
        <v>24</v>
      </c>
      <c r="F946" t="s">
        <v>146</v>
      </c>
      <c r="G946" t="s">
        <v>26</v>
      </c>
      <c r="H946" t="s">
        <v>90</v>
      </c>
      <c r="I946" t="s">
        <v>28</v>
      </c>
      <c r="J946" t="s">
        <v>1107</v>
      </c>
    </row>
    <row r="947" spans="1:10" x14ac:dyDescent="0.25">
      <c r="A947" t="s">
        <v>17</v>
      </c>
      <c r="B947" s="1">
        <v>62011.86</v>
      </c>
      <c r="C947">
        <v>49324.23</v>
      </c>
      <c r="D947" s="2">
        <v>43482</v>
      </c>
      <c r="E947" t="s">
        <v>30</v>
      </c>
      <c r="F947" t="s">
        <v>35</v>
      </c>
      <c r="G947" t="s">
        <v>20</v>
      </c>
      <c r="H947" t="s">
        <v>353</v>
      </c>
      <c r="I947" t="s">
        <v>38</v>
      </c>
      <c r="J947" t="s">
        <v>1108</v>
      </c>
    </row>
    <row r="948" spans="1:10" x14ac:dyDescent="0.25">
      <c r="A948" t="s">
        <v>23</v>
      </c>
      <c r="B948" s="1">
        <v>56763.040000000001</v>
      </c>
      <c r="C948">
        <v>47663.92</v>
      </c>
      <c r="D948" s="2">
        <v>43688</v>
      </c>
      <c r="E948" t="s">
        <v>60</v>
      </c>
      <c r="F948" t="s">
        <v>112</v>
      </c>
      <c r="G948" t="s">
        <v>26</v>
      </c>
      <c r="H948" t="s">
        <v>32</v>
      </c>
      <c r="I948" t="s">
        <v>15</v>
      </c>
      <c r="J948" t="s">
        <v>1109</v>
      </c>
    </row>
    <row r="949" spans="1:10" x14ac:dyDescent="0.25">
      <c r="A949" t="s">
        <v>23</v>
      </c>
      <c r="B949" s="1">
        <v>78057.960000000006</v>
      </c>
      <c r="C949">
        <v>67161.070000000007</v>
      </c>
      <c r="D949" s="2">
        <v>44164</v>
      </c>
      <c r="E949" t="s">
        <v>30</v>
      </c>
      <c r="F949" t="s">
        <v>58</v>
      </c>
      <c r="G949" t="s">
        <v>26</v>
      </c>
      <c r="H949" t="s">
        <v>90</v>
      </c>
      <c r="I949" t="s">
        <v>38</v>
      </c>
      <c r="J949" t="s">
        <v>1110</v>
      </c>
    </row>
    <row r="950" spans="1:10" x14ac:dyDescent="0.25">
      <c r="A950" t="s">
        <v>45</v>
      </c>
      <c r="B950" s="1">
        <v>96358.45</v>
      </c>
      <c r="C950">
        <v>80700.2</v>
      </c>
      <c r="D950" s="2">
        <v>43628</v>
      </c>
      <c r="E950" t="s">
        <v>62</v>
      </c>
      <c r="F950" t="s">
        <v>648</v>
      </c>
      <c r="G950" t="s">
        <v>48</v>
      </c>
      <c r="H950" t="s">
        <v>66</v>
      </c>
      <c r="I950" t="s">
        <v>28</v>
      </c>
      <c r="J950" t="s">
        <v>1111</v>
      </c>
    </row>
    <row r="951" spans="1:10" x14ac:dyDescent="0.25">
      <c r="A951" t="s">
        <v>53</v>
      </c>
      <c r="B951" s="1">
        <v>40535.64</v>
      </c>
      <c r="C951">
        <v>35480.85</v>
      </c>
      <c r="D951" s="2">
        <v>43478</v>
      </c>
      <c r="E951" t="s">
        <v>80</v>
      </c>
      <c r="F951" t="s">
        <v>234</v>
      </c>
      <c r="G951" t="s">
        <v>55</v>
      </c>
      <c r="H951" t="s">
        <v>128</v>
      </c>
      <c r="I951" t="s">
        <v>28</v>
      </c>
      <c r="J951" t="s">
        <v>1112</v>
      </c>
    </row>
    <row r="952" spans="1:10" x14ac:dyDescent="0.25">
      <c r="A952" t="s">
        <v>53</v>
      </c>
      <c r="B952" s="1">
        <v>96795.99</v>
      </c>
      <c r="C952">
        <v>81395.75</v>
      </c>
      <c r="D952" s="2">
        <v>43637</v>
      </c>
      <c r="E952" t="s">
        <v>51</v>
      </c>
      <c r="F952" t="s">
        <v>395</v>
      </c>
      <c r="G952" t="s">
        <v>55</v>
      </c>
      <c r="H952" t="s">
        <v>144</v>
      </c>
      <c r="I952" t="s">
        <v>28</v>
      </c>
      <c r="J952" t="s">
        <v>1113</v>
      </c>
    </row>
    <row r="953" spans="1:10" x14ac:dyDescent="0.25">
      <c r="A953" t="s">
        <v>23</v>
      </c>
      <c r="B953" s="1">
        <v>122035.93</v>
      </c>
      <c r="C953">
        <v>97897.22</v>
      </c>
      <c r="D953" s="2">
        <v>44003</v>
      </c>
      <c r="E953" t="s">
        <v>46</v>
      </c>
      <c r="F953" t="s">
        <v>25</v>
      </c>
      <c r="G953" t="s">
        <v>26</v>
      </c>
      <c r="H953" t="s">
        <v>32</v>
      </c>
      <c r="I953" t="s">
        <v>28</v>
      </c>
      <c r="J953" t="s">
        <v>1114</v>
      </c>
    </row>
    <row r="954" spans="1:10" x14ac:dyDescent="0.25">
      <c r="A954" t="s">
        <v>10</v>
      </c>
      <c r="B954" s="1">
        <v>89502.53</v>
      </c>
      <c r="C954">
        <v>72488.100000000006</v>
      </c>
      <c r="D954" s="2">
        <v>44135</v>
      </c>
      <c r="E954" t="s">
        <v>24</v>
      </c>
      <c r="F954" t="s">
        <v>446</v>
      </c>
      <c r="G954" t="s">
        <v>13</v>
      </c>
      <c r="H954" t="s">
        <v>170</v>
      </c>
      <c r="I954" t="s">
        <v>28</v>
      </c>
      <c r="J954" t="s">
        <v>1115</v>
      </c>
    </row>
    <row r="955" spans="1:10" x14ac:dyDescent="0.25">
      <c r="A955" t="s">
        <v>23</v>
      </c>
      <c r="B955" s="1">
        <v>223233.32</v>
      </c>
      <c r="C955">
        <v>179100.09</v>
      </c>
      <c r="D955" s="2">
        <v>43644</v>
      </c>
      <c r="E955" t="s">
        <v>18</v>
      </c>
      <c r="F955" t="s">
        <v>89</v>
      </c>
      <c r="G955" t="s">
        <v>26</v>
      </c>
      <c r="H955" t="s">
        <v>76</v>
      </c>
      <c r="I955" t="s">
        <v>28</v>
      </c>
      <c r="J955" t="s">
        <v>1116</v>
      </c>
    </row>
    <row r="956" spans="1:10" x14ac:dyDescent="0.25">
      <c r="A956" t="s">
        <v>17</v>
      </c>
      <c r="B956" s="1">
        <v>33190.03</v>
      </c>
      <c r="C956">
        <v>28397.39</v>
      </c>
      <c r="D956" s="2">
        <v>44061</v>
      </c>
      <c r="E956" t="s">
        <v>80</v>
      </c>
      <c r="F956" t="s">
        <v>341</v>
      </c>
      <c r="G956" t="s">
        <v>20</v>
      </c>
      <c r="H956" t="s">
        <v>21</v>
      </c>
      <c r="I956" t="s">
        <v>38</v>
      </c>
      <c r="J956" t="s">
        <v>1117</v>
      </c>
    </row>
    <row r="957" spans="1:10" x14ac:dyDescent="0.25">
      <c r="A957" t="s">
        <v>23</v>
      </c>
      <c r="B957" s="1">
        <v>82357.570000000007</v>
      </c>
      <c r="C957">
        <v>65474.27</v>
      </c>
      <c r="D957" s="2">
        <v>43515</v>
      </c>
      <c r="E957" t="s">
        <v>11</v>
      </c>
      <c r="F957" t="s">
        <v>234</v>
      </c>
      <c r="G957" t="s">
        <v>26</v>
      </c>
      <c r="H957" t="s">
        <v>32</v>
      </c>
      <c r="I957" t="s">
        <v>28</v>
      </c>
      <c r="J957" t="s">
        <v>1118</v>
      </c>
    </row>
    <row r="958" spans="1:10" x14ac:dyDescent="0.25">
      <c r="A958" t="s">
        <v>173</v>
      </c>
      <c r="B958" s="1">
        <v>46857.77</v>
      </c>
      <c r="C958">
        <v>39116.870000000003</v>
      </c>
      <c r="D958" s="2">
        <v>44001</v>
      </c>
      <c r="E958" t="s">
        <v>18</v>
      </c>
      <c r="F958" t="s">
        <v>35</v>
      </c>
      <c r="G958" t="s">
        <v>175</v>
      </c>
      <c r="H958" t="s">
        <v>212</v>
      </c>
      <c r="I958" t="s">
        <v>15</v>
      </c>
      <c r="J958" t="s">
        <v>1119</v>
      </c>
    </row>
    <row r="959" spans="1:10" x14ac:dyDescent="0.25">
      <c r="A959" t="s">
        <v>45</v>
      </c>
      <c r="B959" s="1">
        <v>178560.1</v>
      </c>
      <c r="C959">
        <v>150383.32</v>
      </c>
      <c r="D959" s="2">
        <v>44014</v>
      </c>
      <c r="E959" t="s">
        <v>11</v>
      </c>
      <c r="F959" t="s">
        <v>185</v>
      </c>
      <c r="G959" t="s">
        <v>48</v>
      </c>
      <c r="H959" t="s">
        <v>49</v>
      </c>
      <c r="I959" t="s">
        <v>15</v>
      </c>
      <c r="J959" t="s">
        <v>1120</v>
      </c>
    </row>
    <row r="960" spans="1:10" x14ac:dyDescent="0.25">
      <c r="A960" t="s">
        <v>10</v>
      </c>
      <c r="B960" s="1">
        <v>173944.47</v>
      </c>
      <c r="C960">
        <v>139729.59</v>
      </c>
      <c r="D960" s="2">
        <v>44085</v>
      </c>
      <c r="E960" t="s">
        <v>11</v>
      </c>
      <c r="F960" t="s">
        <v>35</v>
      </c>
      <c r="G960" t="s">
        <v>13</v>
      </c>
      <c r="H960" t="s">
        <v>14</v>
      </c>
      <c r="I960" t="s">
        <v>28</v>
      </c>
      <c r="J960" t="s">
        <v>1121</v>
      </c>
    </row>
    <row r="961" spans="1:10" x14ac:dyDescent="0.25">
      <c r="A961" t="s">
        <v>45</v>
      </c>
      <c r="B961" s="1">
        <v>176662.26</v>
      </c>
      <c r="C961">
        <v>146859.34</v>
      </c>
      <c r="D961" s="2">
        <v>44010</v>
      </c>
      <c r="E961" t="s">
        <v>80</v>
      </c>
      <c r="F961" t="s">
        <v>114</v>
      </c>
      <c r="G961" t="s">
        <v>48</v>
      </c>
      <c r="H961" t="s">
        <v>66</v>
      </c>
      <c r="I961" t="s">
        <v>28</v>
      </c>
      <c r="J961" t="s">
        <v>1122</v>
      </c>
    </row>
    <row r="962" spans="1:10" x14ac:dyDescent="0.25">
      <c r="A962" t="s">
        <v>53</v>
      </c>
      <c r="B962" s="1">
        <v>133754.65</v>
      </c>
      <c r="C962">
        <v>106147.69</v>
      </c>
      <c r="D962" s="2">
        <v>44092</v>
      </c>
      <c r="E962" t="s">
        <v>18</v>
      </c>
      <c r="F962" t="s">
        <v>97</v>
      </c>
      <c r="G962" t="s">
        <v>55</v>
      </c>
      <c r="H962" t="s">
        <v>133</v>
      </c>
      <c r="I962" t="s">
        <v>28</v>
      </c>
      <c r="J962" t="s">
        <v>1123</v>
      </c>
    </row>
    <row r="963" spans="1:10" x14ac:dyDescent="0.25">
      <c r="A963" t="s">
        <v>101</v>
      </c>
      <c r="B963" s="1">
        <v>159294.28</v>
      </c>
      <c r="C963">
        <v>130605.38</v>
      </c>
      <c r="D963" s="2">
        <v>44052</v>
      </c>
      <c r="E963" t="s">
        <v>24</v>
      </c>
      <c r="F963" t="s">
        <v>135</v>
      </c>
      <c r="G963" t="s">
        <v>103</v>
      </c>
      <c r="H963" t="s">
        <v>104</v>
      </c>
      <c r="I963" t="s">
        <v>28</v>
      </c>
      <c r="J963" t="s">
        <v>1124</v>
      </c>
    </row>
    <row r="964" spans="1:10" x14ac:dyDescent="0.25">
      <c r="A964" t="s">
        <v>53</v>
      </c>
      <c r="B964" s="1">
        <v>123562.02</v>
      </c>
      <c r="C964">
        <v>102927.16</v>
      </c>
      <c r="D964" s="2">
        <v>43943</v>
      </c>
      <c r="E964" t="s">
        <v>24</v>
      </c>
      <c r="F964" t="s">
        <v>148</v>
      </c>
      <c r="G964" t="s">
        <v>55</v>
      </c>
      <c r="H964" t="s">
        <v>72</v>
      </c>
      <c r="I964" t="s">
        <v>28</v>
      </c>
      <c r="J964" t="s">
        <v>1125</v>
      </c>
    </row>
    <row r="965" spans="1:10" x14ac:dyDescent="0.25">
      <c r="A965" t="s">
        <v>53</v>
      </c>
      <c r="B965" s="1">
        <v>33013.08</v>
      </c>
      <c r="C965">
        <v>26743.9</v>
      </c>
      <c r="D965" s="2">
        <v>44163</v>
      </c>
      <c r="E965" t="s">
        <v>80</v>
      </c>
      <c r="F965" t="s">
        <v>89</v>
      </c>
      <c r="G965" t="s">
        <v>55</v>
      </c>
      <c r="H965" t="s">
        <v>72</v>
      </c>
      <c r="I965" t="s">
        <v>28</v>
      </c>
      <c r="J965" t="s">
        <v>1126</v>
      </c>
    </row>
    <row r="966" spans="1:10" x14ac:dyDescent="0.25">
      <c r="A966" t="s">
        <v>23</v>
      </c>
      <c r="B966" s="1">
        <v>105340.85</v>
      </c>
      <c r="C966">
        <v>87285.43</v>
      </c>
      <c r="D966" s="2">
        <v>44061</v>
      </c>
      <c r="E966" t="s">
        <v>11</v>
      </c>
      <c r="F966" t="s">
        <v>40</v>
      </c>
      <c r="G966" t="s">
        <v>26</v>
      </c>
      <c r="H966" t="s">
        <v>219</v>
      </c>
      <c r="I966" t="s">
        <v>28</v>
      </c>
      <c r="J966" t="s">
        <v>1127</v>
      </c>
    </row>
    <row r="967" spans="1:10" x14ac:dyDescent="0.25">
      <c r="A967" t="s">
        <v>34</v>
      </c>
      <c r="B967" s="1">
        <v>127143.54</v>
      </c>
      <c r="C967">
        <v>105033.28</v>
      </c>
      <c r="D967" s="2">
        <v>43741</v>
      </c>
      <c r="E967" t="s">
        <v>80</v>
      </c>
      <c r="F967" t="s">
        <v>102</v>
      </c>
      <c r="G967" t="s">
        <v>36</v>
      </c>
      <c r="H967" t="s">
        <v>37</v>
      </c>
      <c r="I967" t="s">
        <v>28</v>
      </c>
      <c r="J967" t="s">
        <v>1128</v>
      </c>
    </row>
    <row r="968" spans="1:10" x14ac:dyDescent="0.25">
      <c r="A968" t="s">
        <v>23</v>
      </c>
      <c r="B968" s="1">
        <v>56570.64</v>
      </c>
      <c r="C968">
        <v>46993.23</v>
      </c>
      <c r="D968" s="2">
        <v>44109</v>
      </c>
      <c r="E968" t="s">
        <v>11</v>
      </c>
      <c r="F968" t="s">
        <v>78</v>
      </c>
      <c r="G968" t="s">
        <v>26</v>
      </c>
      <c r="H968" t="s">
        <v>27</v>
      </c>
      <c r="I968" t="s">
        <v>28</v>
      </c>
      <c r="J968" t="s">
        <v>1129</v>
      </c>
    </row>
    <row r="969" spans="1:10" x14ac:dyDescent="0.25">
      <c r="A969" t="s">
        <v>53</v>
      </c>
      <c r="B969" s="1">
        <v>75522.66</v>
      </c>
      <c r="C969">
        <v>60448.34</v>
      </c>
      <c r="D969" s="2">
        <v>43537</v>
      </c>
      <c r="E969" t="s">
        <v>60</v>
      </c>
      <c r="F969" t="s">
        <v>254</v>
      </c>
      <c r="G969" t="s">
        <v>55</v>
      </c>
      <c r="H969" t="s">
        <v>128</v>
      </c>
      <c r="I969" t="s">
        <v>28</v>
      </c>
      <c r="J969" t="s">
        <v>1130</v>
      </c>
    </row>
    <row r="970" spans="1:10" x14ac:dyDescent="0.25">
      <c r="A970" t="s">
        <v>23</v>
      </c>
      <c r="B970" s="1">
        <v>87085.71</v>
      </c>
      <c r="C970">
        <v>76548.34</v>
      </c>
      <c r="D970" s="2">
        <v>44070</v>
      </c>
      <c r="E970" t="s">
        <v>62</v>
      </c>
      <c r="F970" t="s">
        <v>188</v>
      </c>
      <c r="G970" t="s">
        <v>26</v>
      </c>
      <c r="H970" t="s">
        <v>27</v>
      </c>
      <c r="I970" t="s">
        <v>28</v>
      </c>
      <c r="J970" t="s">
        <v>1131</v>
      </c>
    </row>
    <row r="971" spans="1:10" x14ac:dyDescent="0.25">
      <c r="A971" t="s">
        <v>45</v>
      </c>
      <c r="B971" s="1">
        <v>290010.78999999998</v>
      </c>
      <c r="C971">
        <v>234444.72</v>
      </c>
      <c r="D971" s="2">
        <v>43824</v>
      </c>
      <c r="E971" t="s">
        <v>60</v>
      </c>
      <c r="F971" t="s">
        <v>174</v>
      </c>
      <c r="G971" t="s">
        <v>48</v>
      </c>
      <c r="H971" t="s">
        <v>66</v>
      </c>
      <c r="I971" t="s">
        <v>28</v>
      </c>
      <c r="J971" t="s">
        <v>1132</v>
      </c>
    </row>
    <row r="972" spans="1:10" x14ac:dyDescent="0.25">
      <c r="A972" t="s">
        <v>106</v>
      </c>
      <c r="B972" s="1">
        <v>256603.66</v>
      </c>
      <c r="C972">
        <v>209799.15</v>
      </c>
      <c r="D972" s="2">
        <v>43673</v>
      </c>
      <c r="E972" t="s">
        <v>60</v>
      </c>
      <c r="F972" t="s">
        <v>185</v>
      </c>
      <c r="G972" t="s">
        <v>107</v>
      </c>
      <c r="H972" t="s">
        <v>108</v>
      </c>
      <c r="I972" t="s">
        <v>38</v>
      </c>
      <c r="J972" t="s">
        <v>1133</v>
      </c>
    </row>
    <row r="973" spans="1:10" x14ac:dyDescent="0.25">
      <c r="A973" t="s">
        <v>45</v>
      </c>
      <c r="B973" s="1">
        <v>126074.62</v>
      </c>
      <c r="C973">
        <v>100027.6</v>
      </c>
      <c r="D973" s="2">
        <v>44142</v>
      </c>
      <c r="E973" t="s">
        <v>11</v>
      </c>
      <c r="F973" t="s">
        <v>54</v>
      </c>
      <c r="G973" t="s">
        <v>48</v>
      </c>
      <c r="H973" t="s">
        <v>49</v>
      </c>
      <c r="I973" t="s">
        <v>28</v>
      </c>
      <c r="J973" t="s">
        <v>1134</v>
      </c>
    </row>
    <row r="974" spans="1:10" x14ac:dyDescent="0.25">
      <c r="A974" t="s">
        <v>10</v>
      </c>
      <c r="B974" s="1">
        <v>94085.5</v>
      </c>
      <c r="C974">
        <v>77498.23</v>
      </c>
      <c r="D974" s="2">
        <v>43849</v>
      </c>
      <c r="E974" t="s">
        <v>80</v>
      </c>
      <c r="F974" t="s">
        <v>178</v>
      </c>
      <c r="G974" t="s">
        <v>13</v>
      </c>
      <c r="H974" t="s">
        <v>118</v>
      </c>
      <c r="I974" t="s">
        <v>28</v>
      </c>
      <c r="J974" t="s">
        <v>1135</v>
      </c>
    </row>
    <row r="975" spans="1:10" x14ac:dyDescent="0.25">
      <c r="A975" t="s">
        <v>23</v>
      </c>
      <c r="B975" s="1">
        <v>159216.47</v>
      </c>
      <c r="C975">
        <v>137419.74</v>
      </c>
      <c r="D975" s="2">
        <v>44008</v>
      </c>
      <c r="E975" t="s">
        <v>18</v>
      </c>
      <c r="F975" t="s">
        <v>35</v>
      </c>
      <c r="G975" t="s">
        <v>26</v>
      </c>
      <c r="H975" t="s">
        <v>27</v>
      </c>
      <c r="I975" t="s">
        <v>28</v>
      </c>
      <c r="J975" t="s">
        <v>1136</v>
      </c>
    </row>
    <row r="976" spans="1:10" x14ac:dyDescent="0.25">
      <c r="A976" t="s">
        <v>23</v>
      </c>
      <c r="B976" s="1">
        <v>74958.460000000006</v>
      </c>
      <c r="C976">
        <v>65806.03</v>
      </c>
      <c r="D976" s="2">
        <v>44048</v>
      </c>
      <c r="E976" t="s">
        <v>80</v>
      </c>
      <c r="F976" t="s">
        <v>31</v>
      </c>
      <c r="G976" t="s">
        <v>26</v>
      </c>
      <c r="H976" t="s">
        <v>27</v>
      </c>
      <c r="I976" t="s">
        <v>28</v>
      </c>
      <c r="J976" t="s">
        <v>1137</v>
      </c>
    </row>
    <row r="977" spans="1:10" x14ac:dyDescent="0.25">
      <c r="A977" t="s">
        <v>10</v>
      </c>
      <c r="B977" s="1">
        <v>83897.88</v>
      </c>
      <c r="C977">
        <v>69559.73</v>
      </c>
      <c r="D977" s="2">
        <v>43542</v>
      </c>
      <c r="E977" t="s">
        <v>51</v>
      </c>
      <c r="F977" t="s">
        <v>92</v>
      </c>
      <c r="G977" t="s">
        <v>13</v>
      </c>
      <c r="H977" t="s">
        <v>69</v>
      </c>
      <c r="I977" t="s">
        <v>15</v>
      </c>
      <c r="J977" t="s">
        <v>1138</v>
      </c>
    </row>
    <row r="978" spans="1:10" x14ac:dyDescent="0.25">
      <c r="A978" t="s">
        <v>10</v>
      </c>
      <c r="B978" s="1">
        <v>133055.04000000001</v>
      </c>
      <c r="C978">
        <v>105366.29</v>
      </c>
      <c r="D978" s="2">
        <v>43779</v>
      </c>
      <c r="E978" t="s">
        <v>11</v>
      </c>
      <c r="F978" t="s">
        <v>166</v>
      </c>
      <c r="G978" t="s">
        <v>13</v>
      </c>
      <c r="H978" t="s">
        <v>170</v>
      </c>
      <c r="I978" t="s">
        <v>28</v>
      </c>
      <c r="J978" t="s">
        <v>1139</v>
      </c>
    </row>
    <row r="979" spans="1:10" x14ac:dyDescent="0.25">
      <c r="A979" t="s">
        <v>10</v>
      </c>
      <c r="B979" s="1">
        <v>94115.99</v>
      </c>
      <c r="C979">
        <v>75669.259999999995</v>
      </c>
      <c r="D979" s="2">
        <v>43724</v>
      </c>
      <c r="E979" t="s">
        <v>51</v>
      </c>
      <c r="F979" t="s">
        <v>58</v>
      </c>
      <c r="G979" t="s">
        <v>13</v>
      </c>
      <c r="H979" t="s">
        <v>170</v>
      </c>
      <c r="I979" t="s">
        <v>28</v>
      </c>
      <c r="J979" t="s">
        <v>1140</v>
      </c>
    </row>
    <row r="980" spans="1:10" x14ac:dyDescent="0.25">
      <c r="A980" t="s">
        <v>17</v>
      </c>
      <c r="B980" s="1">
        <v>125851.79</v>
      </c>
      <c r="C980">
        <v>103777.39</v>
      </c>
      <c r="D980" s="2">
        <v>44150</v>
      </c>
      <c r="E980" t="s">
        <v>18</v>
      </c>
      <c r="F980" t="s">
        <v>153</v>
      </c>
      <c r="G980" t="s">
        <v>20</v>
      </c>
      <c r="H980" t="s">
        <v>353</v>
      </c>
      <c r="I980" t="s">
        <v>28</v>
      </c>
      <c r="J980" t="s">
        <v>1141</v>
      </c>
    </row>
    <row r="981" spans="1:10" x14ac:dyDescent="0.25">
      <c r="A981" t="s">
        <v>84</v>
      </c>
      <c r="B981" s="1">
        <v>60917.85</v>
      </c>
      <c r="C981">
        <v>52736.58</v>
      </c>
      <c r="D981" s="2">
        <v>43513</v>
      </c>
      <c r="E981" t="s">
        <v>60</v>
      </c>
      <c r="F981" t="s">
        <v>174</v>
      </c>
      <c r="G981" t="s">
        <v>85</v>
      </c>
      <c r="H981" t="s">
        <v>86</v>
      </c>
      <c r="I981" t="s">
        <v>28</v>
      </c>
      <c r="J981" t="s">
        <v>1142</v>
      </c>
    </row>
    <row r="982" spans="1:10" x14ac:dyDescent="0.25">
      <c r="A982" t="s">
        <v>53</v>
      </c>
      <c r="B982" s="1">
        <v>101318.72</v>
      </c>
      <c r="C982">
        <v>86657.9</v>
      </c>
      <c r="D982" s="2">
        <v>43568</v>
      </c>
      <c r="E982" t="s">
        <v>18</v>
      </c>
      <c r="F982" t="s">
        <v>19</v>
      </c>
      <c r="G982" t="s">
        <v>55</v>
      </c>
      <c r="H982" t="s">
        <v>56</v>
      </c>
      <c r="I982" t="s">
        <v>28</v>
      </c>
      <c r="J982" t="s">
        <v>1143</v>
      </c>
    </row>
    <row r="983" spans="1:10" x14ac:dyDescent="0.25">
      <c r="A983" t="s">
        <v>23</v>
      </c>
      <c r="B983" s="1">
        <v>131610.37</v>
      </c>
      <c r="C983">
        <v>106406.98</v>
      </c>
      <c r="D983" s="2">
        <v>43951</v>
      </c>
      <c r="E983" t="s">
        <v>30</v>
      </c>
      <c r="F983" t="s">
        <v>185</v>
      </c>
      <c r="G983" t="s">
        <v>26</v>
      </c>
      <c r="H983" t="s">
        <v>76</v>
      </c>
      <c r="I983" t="s">
        <v>28</v>
      </c>
      <c r="J983" t="s">
        <v>1144</v>
      </c>
    </row>
    <row r="984" spans="1:10" x14ac:dyDescent="0.25">
      <c r="A984" t="s">
        <v>53</v>
      </c>
      <c r="B984" s="1">
        <v>235042.75</v>
      </c>
      <c r="C984">
        <v>187446.59</v>
      </c>
      <c r="D984" s="2">
        <v>43824</v>
      </c>
      <c r="E984" t="s">
        <v>11</v>
      </c>
      <c r="F984" t="s">
        <v>158</v>
      </c>
      <c r="G984" t="s">
        <v>55</v>
      </c>
      <c r="H984" t="s">
        <v>56</v>
      </c>
      <c r="I984" t="s">
        <v>28</v>
      </c>
      <c r="J984" t="s">
        <v>1145</v>
      </c>
    </row>
    <row r="985" spans="1:10" x14ac:dyDescent="0.25">
      <c r="A985" t="s">
        <v>173</v>
      </c>
      <c r="B985" s="1">
        <v>58921.31</v>
      </c>
      <c r="C985">
        <v>51715.23</v>
      </c>
      <c r="D985" s="2">
        <v>44178</v>
      </c>
      <c r="E985" t="s">
        <v>18</v>
      </c>
      <c r="F985" t="s">
        <v>35</v>
      </c>
      <c r="G985" t="s">
        <v>175</v>
      </c>
      <c r="H985" t="s">
        <v>176</v>
      </c>
      <c r="I985" t="s">
        <v>28</v>
      </c>
      <c r="J985" t="s">
        <v>1146</v>
      </c>
    </row>
    <row r="986" spans="1:10" x14ac:dyDescent="0.25">
      <c r="A986" t="s">
        <v>23</v>
      </c>
      <c r="B986" s="1">
        <v>101846.87</v>
      </c>
      <c r="C986">
        <v>88066.99</v>
      </c>
      <c r="D986" s="2">
        <v>43472</v>
      </c>
      <c r="E986" t="s">
        <v>24</v>
      </c>
      <c r="F986" t="s">
        <v>254</v>
      </c>
      <c r="G986" t="s">
        <v>26</v>
      </c>
      <c r="H986" t="s">
        <v>32</v>
      </c>
      <c r="I986" t="s">
        <v>28</v>
      </c>
      <c r="J986" t="s">
        <v>1147</v>
      </c>
    </row>
    <row r="987" spans="1:10" x14ac:dyDescent="0.25">
      <c r="A987" t="s">
        <v>53</v>
      </c>
      <c r="B987" s="1">
        <v>95307.21</v>
      </c>
      <c r="C987">
        <v>78533.14</v>
      </c>
      <c r="D987" s="2">
        <v>43916</v>
      </c>
      <c r="E987" t="s">
        <v>11</v>
      </c>
      <c r="F987" t="s">
        <v>97</v>
      </c>
      <c r="G987" t="s">
        <v>55</v>
      </c>
      <c r="H987" t="s">
        <v>72</v>
      </c>
      <c r="I987" t="s">
        <v>28</v>
      </c>
      <c r="J987" t="s">
        <v>1148</v>
      </c>
    </row>
    <row r="988" spans="1:10" x14ac:dyDescent="0.25">
      <c r="A988" t="s">
        <v>53</v>
      </c>
      <c r="B988" s="1">
        <v>232217.05</v>
      </c>
      <c r="C988">
        <v>191439.74</v>
      </c>
      <c r="D988" s="2">
        <v>43636</v>
      </c>
      <c r="E988" t="s">
        <v>30</v>
      </c>
      <c r="F988" t="s">
        <v>31</v>
      </c>
      <c r="G988" t="s">
        <v>55</v>
      </c>
      <c r="H988" t="s">
        <v>56</v>
      </c>
      <c r="I988" t="s">
        <v>15</v>
      </c>
      <c r="J988" t="s">
        <v>1149</v>
      </c>
    </row>
    <row r="989" spans="1:10" x14ac:dyDescent="0.25">
      <c r="A989" t="s">
        <v>23</v>
      </c>
      <c r="B989" s="1">
        <v>75912.59</v>
      </c>
      <c r="C989">
        <v>60145.55</v>
      </c>
      <c r="D989" s="2">
        <v>43752</v>
      </c>
      <c r="E989" t="s">
        <v>62</v>
      </c>
      <c r="F989" t="s">
        <v>64</v>
      </c>
      <c r="G989" t="s">
        <v>26</v>
      </c>
      <c r="H989" t="s">
        <v>76</v>
      </c>
      <c r="I989" t="s">
        <v>15</v>
      </c>
      <c r="J989" t="s">
        <v>1150</v>
      </c>
    </row>
    <row r="990" spans="1:10" x14ac:dyDescent="0.25">
      <c r="A990" t="s">
        <v>23</v>
      </c>
      <c r="B990" s="1">
        <v>57367.93</v>
      </c>
      <c r="C990">
        <v>46255.76</v>
      </c>
      <c r="D990" s="2">
        <v>43766</v>
      </c>
      <c r="E990" t="s">
        <v>24</v>
      </c>
      <c r="F990" t="s">
        <v>114</v>
      </c>
      <c r="G990" t="s">
        <v>26</v>
      </c>
      <c r="H990" t="s">
        <v>32</v>
      </c>
      <c r="I990" t="s">
        <v>15</v>
      </c>
      <c r="J990" t="s">
        <v>1151</v>
      </c>
    </row>
    <row r="991" spans="1:10" x14ac:dyDescent="0.25">
      <c r="A991" t="s">
        <v>23</v>
      </c>
      <c r="B991" s="1">
        <v>158240.24</v>
      </c>
      <c r="C991">
        <v>136561.32999999999</v>
      </c>
      <c r="D991" s="2">
        <v>44158</v>
      </c>
      <c r="E991" t="s">
        <v>11</v>
      </c>
      <c r="F991" t="s">
        <v>31</v>
      </c>
      <c r="G991" t="s">
        <v>26</v>
      </c>
      <c r="H991" t="s">
        <v>219</v>
      </c>
      <c r="I991" t="s">
        <v>28</v>
      </c>
      <c r="J991" t="s">
        <v>1152</v>
      </c>
    </row>
    <row r="992" spans="1:10" x14ac:dyDescent="0.25">
      <c r="A992" t="s">
        <v>23</v>
      </c>
      <c r="B992" s="1">
        <v>97291.62</v>
      </c>
      <c r="C992">
        <v>76899.3</v>
      </c>
      <c r="D992" s="2">
        <v>43832</v>
      </c>
      <c r="E992" t="s">
        <v>24</v>
      </c>
      <c r="F992" t="s">
        <v>35</v>
      </c>
      <c r="G992" t="s">
        <v>26</v>
      </c>
      <c r="H992" t="s">
        <v>90</v>
      </c>
      <c r="I992" t="s">
        <v>28</v>
      </c>
      <c r="J992" t="s">
        <v>1153</v>
      </c>
    </row>
    <row r="993" spans="1:10" x14ac:dyDescent="0.25">
      <c r="A993" t="s">
        <v>23</v>
      </c>
      <c r="B993" s="1">
        <v>83904.320000000007</v>
      </c>
      <c r="C993">
        <v>69011.3</v>
      </c>
      <c r="D993" s="2">
        <v>43989</v>
      </c>
      <c r="E993" t="s">
        <v>18</v>
      </c>
      <c r="F993" t="s">
        <v>434</v>
      </c>
      <c r="G993" t="s">
        <v>26</v>
      </c>
      <c r="H993" t="s">
        <v>76</v>
      </c>
      <c r="I993" t="s">
        <v>28</v>
      </c>
      <c r="J993" t="s">
        <v>1154</v>
      </c>
    </row>
    <row r="994" spans="1:10" x14ac:dyDescent="0.25">
      <c r="A994" t="s">
        <v>45</v>
      </c>
      <c r="B994" s="1">
        <v>133696.85999999999</v>
      </c>
      <c r="C994">
        <v>109310.55</v>
      </c>
      <c r="D994" s="2">
        <v>43857</v>
      </c>
      <c r="E994" t="s">
        <v>11</v>
      </c>
      <c r="F994" t="s">
        <v>19</v>
      </c>
      <c r="G994" t="s">
        <v>48</v>
      </c>
      <c r="H994" t="s">
        <v>49</v>
      </c>
      <c r="I994" t="s">
        <v>28</v>
      </c>
      <c r="J994" t="s">
        <v>1155</v>
      </c>
    </row>
    <row r="995" spans="1:10" x14ac:dyDescent="0.25">
      <c r="A995" t="s">
        <v>45</v>
      </c>
      <c r="B995" s="1">
        <v>146076.81</v>
      </c>
      <c r="C995">
        <v>123230.39999999999</v>
      </c>
      <c r="D995" s="2">
        <v>43673</v>
      </c>
      <c r="E995" t="s">
        <v>51</v>
      </c>
      <c r="F995" t="s">
        <v>35</v>
      </c>
      <c r="G995" t="s">
        <v>48</v>
      </c>
      <c r="H995" t="s">
        <v>66</v>
      </c>
      <c r="I995" t="s">
        <v>28</v>
      </c>
      <c r="J995" t="s">
        <v>1156</v>
      </c>
    </row>
    <row r="996" spans="1:10" x14ac:dyDescent="0.25">
      <c r="A996" t="s">
        <v>53</v>
      </c>
      <c r="B996" s="1">
        <v>56118.05</v>
      </c>
      <c r="C996">
        <v>47711.57</v>
      </c>
      <c r="D996" s="2">
        <v>43892</v>
      </c>
      <c r="E996" t="s">
        <v>30</v>
      </c>
      <c r="F996" t="s">
        <v>160</v>
      </c>
      <c r="G996" t="s">
        <v>55</v>
      </c>
      <c r="H996" t="s">
        <v>72</v>
      </c>
      <c r="I996" t="s">
        <v>28</v>
      </c>
      <c r="J996" t="s">
        <v>1157</v>
      </c>
    </row>
    <row r="997" spans="1:10" x14ac:dyDescent="0.25">
      <c r="A997" t="s">
        <v>53</v>
      </c>
      <c r="B997" s="1">
        <v>46296.26</v>
      </c>
      <c r="C997">
        <v>40319.410000000003</v>
      </c>
      <c r="D997" s="2">
        <v>43966</v>
      </c>
      <c r="E997" t="s">
        <v>18</v>
      </c>
      <c r="F997" t="s">
        <v>64</v>
      </c>
      <c r="G997" t="s">
        <v>55</v>
      </c>
      <c r="H997" t="s">
        <v>72</v>
      </c>
      <c r="I997" t="s">
        <v>38</v>
      </c>
      <c r="J997" t="s">
        <v>1158</v>
      </c>
    </row>
    <row r="998" spans="1:10" x14ac:dyDescent="0.25">
      <c r="A998" t="s">
        <v>96</v>
      </c>
      <c r="B998" s="1">
        <v>118061.05</v>
      </c>
      <c r="C998">
        <v>101131.1</v>
      </c>
      <c r="D998" s="2">
        <v>44014</v>
      </c>
      <c r="E998" t="s">
        <v>51</v>
      </c>
      <c r="F998" t="s">
        <v>35</v>
      </c>
      <c r="G998" t="s">
        <v>98</v>
      </c>
      <c r="H998" t="s">
        <v>99</v>
      </c>
      <c r="I998" t="s">
        <v>15</v>
      </c>
      <c r="J998" t="s">
        <v>1159</v>
      </c>
    </row>
    <row r="999" spans="1:10" x14ac:dyDescent="0.25">
      <c r="A999" t="s">
        <v>17</v>
      </c>
      <c r="B999" s="1">
        <v>74480.56</v>
      </c>
      <c r="C999">
        <v>60023.88</v>
      </c>
      <c r="D999" s="2">
        <v>43896</v>
      </c>
      <c r="E999" t="s">
        <v>24</v>
      </c>
      <c r="F999" t="s">
        <v>341</v>
      </c>
      <c r="G999" t="s">
        <v>20</v>
      </c>
      <c r="H999" t="s">
        <v>21</v>
      </c>
      <c r="I999" t="s">
        <v>28</v>
      </c>
      <c r="J999" t="s">
        <v>1160</v>
      </c>
    </row>
    <row r="1000" spans="1:10" x14ac:dyDescent="0.25">
      <c r="A1000" t="s">
        <v>34</v>
      </c>
      <c r="B1000" s="1">
        <v>87205.01</v>
      </c>
      <c r="C1000">
        <v>69171.009999999995</v>
      </c>
      <c r="D1000" s="2">
        <v>44000</v>
      </c>
      <c r="E1000" t="s">
        <v>18</v>
      </c>
      <c r="F1000" t="s">
        <v>35</v>
      </c>
      <c r="G1000" t="s">
        <v>36</v>
      </c>
      <c r="H1000" t="s">
        <v>425</v>
      </c>
      <c r="I1000" t="s">
        <v>38</v>
      </c>
      <c r="J1000" t="s">
        <v>1161</v>
      </c>
    </row>
    <row r="1001" spans="1:10" x14ac:dyDescent="0.25">
      <c r="A1001" t="s">
        <v>23</v>
      </c>
      <c r="B1001" s="1">
        <v>107716.72</v>
      </c>
      <c r="C1001">
        <v>86679.64</v>
      </c>
      <c r="D1001" s="2">
        <v>43848</v>
      </c>
      <c r="E1001" t="s">
        <v>46</v>
      </c>
      <c r="F1001" t="s">
        <v>94</v>
      </c>
      <c r="G1001" t="s">
        <v>26</v>
      </c>
      <c r="H1001" t="s">
        <v>219</v>
      </c>
      <c r="I1001" t="s">
        <v>15</v>
      </c>
      <c r="J1001" t="s">
        <v>1162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ABC54-04E1-4EA1-8247-141A4889ADA8}">
  <dimension ref="D1:F13"/>
  <sheetViews>
    <sheetView workbookViewId="0">
      <selection activeCell="B2" sqref="B2"/>
    </sheetView>
  </sheetViews>
  <sheetFormatPr defaultRowHeight="15" x14ac:dyDescent="0.25"/>
  <sheetData>
    <row r="1" spans="4:6" x14ac:dyDescent="0.25">
      <c r="D1" t="s">
        <v>1163</v>
      </c>
      <c r="E1">
        <v>2019</v>
      </c>
      <c r="F1">
        <v>2020</v>
      </c>
    </row>
    <row r="2" spans="4:6" x14ac:dyDescent="0.25">
      <c r="D2" s="5" t="s">
        <v>1164</v>
      </c>
      <c r="E2" s="4">
        <v>4516614.82</v>
      </c>
      <c r="F2" s="4">
        <v>5215699.830000001</v>
      </c>
    </row>
    <row r="3" spans="4:6" x14ac:dyDescent="0.25">
      <c r="D3" s="5" t="s">
        <v>1165</v>
      </c>
      <c r="E3" s="4">
        <v>2895563.9000000004</v>
      </c>
      <c r="F3" s="4">
        <v>1959413.0000000002</v>
      </c>
    </row>
    <row r="4" spans="4:6" x14ac:dyDescent="0.25">
      <c r="D4" s="5" t="s">
        <v>1166</v>
      </c>
      <c r="E4" s="4">
        <v>2521827.9900000002</v>
      </c>
      <c r="F4" s="4">
        <v>3579943.8399999989</v>
      </c>
    </row>
    <row r="5" spans="4:6" x14ac:dyDescent="0.25">
      <c r="D5" s="5" t="s">
        <v>1167</v>
      </c>
      <c r="E5" s="4">
        <v>4172236.77</v>
      </c>
      <c r="F5" s="4">
        <v>4069097.7799999989</v>
      </c>
    </row>
    <row r="6" spans="4:6" x14ac:dyDescent="0.25">
      <c r="D6" s="5" t="s">
        <v>1168</v>
      </c>
      <c r="E6" s="4">
        <v>3825681.9699999993</v>
      </c>
      <c r="F6" s="4">
        <v>5537943.7699999986</v>
      </c>
    </row>
    <row r="7" spans="4:6" x14ac:dyDescent="0.25">
      <c r="D7" s="5" t="s">
        <v>1169</v>
      </c>
      <c r="E7" s="4">
        <v>7692234.9000000022</v>
      </c>
      <c r="F7" s="4">
        <v>7158137.8599999985</v>
      </c>
    </row>
    <row r="8" spans="4:6" x14ac:dyDescent="0.25">
      <c r="D8" s="5" t="s">
        <v>1170</v>
      </c>
      <c r="E8" s="4">
        <v>6638609.2100000037</v>
      </c>
      <c r="F8" s="4">
        <v>5242556.459999999</v>
      </c>
    </row>
    <row r="9" spans="4:6" x14ac:dyDescent="0.25">
      <c r="D9" s="5" t="s">
        <v>1171</v>
      </c>
      <c r="E9" s="4">
        <v>3437450.1399999997</v>
      </c>
      <c r="F9" s="4">
        <v>4714525.2100000009</v>
      </c>
    </row>
    <row r="10" spans="4:6" x14ac:dyDescent="0.25">
      <c r="D10" s="5" t="s">
        <v>1172</v>
      </c>
      <c r="E10" s="4">
        <v>4870060.5500000007</v>
      </c>
      <c r="F10" s="4">
        <v>3778141.3699999996</v>
      </c>
    </row>
    <row r="11" spans="4:6" x14ac:dyDescent="0.25">
      <c r="D11" s="5" t="s">
        <v>1173</v>
      </c>
      <c r="E11" s="4">
        <v>4372149.55</v>
      </c>
      <c r="F11" s="4">
        <v>4869726.8500000015</v>
      </c>
    </row>
    <row r="12" spans="4:6" x14ac:dyDescent="0.25">
      <c r="D12" s="5" t="s">
        <v>1174</v>
      </c>
      <c r="E12" s="4">
        <v>2961318.57</v>
      </c>
      <c r="F12" s="4">
        <v>4734730.08</v>
      </c>
    </row>
    <row r="13" spans="4:6" x14ac:dyDescent="0.25">
      <c r="D13" s="5" t="s">
        <v>1175</v>
      </c>
      <c r="E13" s="4">
        <v>8713776.0300000012</v>
      </c>
      <c r="F13" s="4">
        <v>5884298.2599999998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99210-D631-4D5D-9D7A-5226D5ABF8DC}">
  <dimension ref="A1:AF29"/>
  <sheetViews>
    <sheetView showGridLines="0" tabSelected="1" workbookViewId="0">
      <selection activeCell="K25" sqref="K25:K29"/>
    </sheetView>
  </sheetViews>
  <sheetFormatPr defaultRowHeight="15" x14ac:dyDescent="0.25"/>
  <cols>
    <col min="1" max="1" width="6.7109375" bestFit="1" customWidth="1"/>
    <col min="2" max="2" width="9.140625" bestFit="1" customWidth="1"/>
    <col min="30" max="30" width="18.5703125" customWidth="1"/>
    <col min="32" max="32" width="19.28515625" customWidth="1"/>
  </cols>
  <sheetData>
    <row r="1" spans="1:32" x14ac:dyDescent="0.25">
      <c r="A1" s="3" t="s">
        <v>1163</v>
      </c>
      <c r="B1" s="3">
        <v>2019</v>
      </c>
      <c r="C1" s="3">
        <v>2020</v>
      </c>
      <c r="D1" t="s">
        <v>1176</v>
      </c>
      <c r="AF1" s="7"/>
    </row>
    <row r="2" spans="1:32" x14ac:dyDescent="0.25">
      <c r="A2" s="5" t="s">
        <v>1164</v>
      </c>
      <c r="B2" s="4" cm="1">
        <f t="array" ref="B2">SUMPRODUCT((data!D2:D1001&gt;=43466)*(data!D2:D1001&lt;43497)*data!B2:B1001)</f>
        <v>4516614.82</v>
      </c>
      <c r="C2" s="4" cm="1">
        <f t="array" ref="C2">SUMPRODUCT((data!D2:D1001&gt;=43831)*(data!D2:D1001&lt;43862)*data!B2:B1001)</f>
        <v>5215699.830000001</v>
      </c>
      <c r="D2" s="6"/>
    </row>
    <row r="3" spans="1:32" x14ac:dyDescent="0.25">
      <c r="A3" s="5" t="s">
        <v>1165</v>
      </c>
      <c r="B3" s="4" cm="1">
        <f t="array" ref="B3">SUMPRODUCT((data!D2:D1001&gt;=43497)*(data!D2:D1001&lt;43525)*data!B2:B1001)</f>
        <v>2895563.9000000004</v>
      </c>
      <c r="C3" s="4" cm="1">
        <f t="array" ref="C3">SUMPRODUCT((data!D2:D1001&gt;=43862)*(data!D2:D1001&lt;43891)*data!B2:B1001)</f>
        <v>1959413.0000000002</v>
      </c>
    </row>
    <row r="4" spans="1:32" x14ac:dyDescent="0.25">
      <c r="A4" s="5" t="s">
        <v>1166</v>
      </c>
      <c r="B4" s="4" cm="1">
        <f t="array" ref="B4">SUMPRODUCT((data!D2:D1001&gt;=43525)*(data!D2:D1001&lt;43556)*data!B2:B1001)</f>
        <v>2521827.9900000002</v>
      </c>
      <c r="C4" s="4" cm="1">
        <f t="array" ref="C4">SUMPRODUCT((data!D2:D1001&gt;=43891)*(data!D2:D1001&lt;43922)*data!B2:B1001)</f>
        <v>3579943.8399999989</v>
      </c>
    </row>
    <row r="5" spans="1:32" x14ac:dyDescent="0.25">
      <c r="A5" s="5" t="s">
        <v>1167</v>
      </c>
      <c r="B5" s="4" cm="1">
        <f t="array" ref="B5">SUMPRODUCT((data!D2:D1001&gt;=43556)*(data!D2:D1001&lt;43586)*data!B2:B1001)</f>
        <v>4172236.77</v>
      </c>
      <c r="C5" s="4" cm="1">
        <f t="array" ref="C5">SUMPRODUCT((data!D2:D1001&gt;=43922)*(data!D2:D1001&lt;43952)*data!B2:B1001)</f>
        <v>4069097.7799999989</v>
      </c>
    </row>
    <row r="6" spans="1:32" x14ac:dyDescent="0.25">
      <c r="A6" s="5" t="s">
        <v>1168</v>
      </c>
      <c r="B6" s="4" cm="1">
        <f t="array" ref="B6">SUMPRODUCT((data!D2:D1001&gt;=43586)*(data!D2:D1001&lt;43617)*data!B2:B1001)</f>
        <v>3825681.9699999993</v>
      </c>
      <c r="C6" s="4" cm="1">
        <f t="array" ref="C6">SUMPRODUCT((data!D2:D1001&gt;=43952)*(data!D2:D1001&lt;43983)*data!B2:B1001)</f>
        <v>5537943.7699999986</v>
      </c>
    </row>
    <row r="7" spans="1:32" x14ac:dyDescent="0.25">
      <c r="A7" s="5" t="s">
        <v>1169</v>
      </c>
      <c r="B7" s="4" cm="1">
        <f t="array" ref="B7">SUMPRODUCT((data!D2:D1001&gt;=43617)*(data!D2:D1001&lt;43647)*data!B2:B1001)</f>
        <v>7692234.9000000022</v>
      </c>
      <c r="C7" s="4" cm="1">
        <f t="array" ref="C7">SUMPRODUCT((data!D2:D1001&gt;=43983)*(data!D2:D1001&lt;44013)*data!B2:B1001)</f>
        <v>7158137.8599999985</v>
      </c>
      <c r="D7" s="6">
        <v>10000000</v>
      </c>
    </row>
    <row r="8" spans="1:32" x14ac:dyDescent="0.25">
      <c r="A8" s="5" t="s">
        <v>1170</v>
      </c>
      <c r="B8" s="4" cm="1">
        <f t="array" ref="B8">SUMPRODUCT((data!D2:D1001&gt;=43647)*(data!D2:D1001&lt;43678)*data!B2:B1001)</f>
        <v>6638609.2100000037</v>
      </c>
      <c r="C8" s="4" cm="1">
        <f t="array" ref="C8">SUMPRODUCT((data!D2:D1001&gt;=44013)*(data!D2:D1001&lt;44044)*data!B2:B1001)</f>
        <v>5242556.459999999</v>
      </c>
      <c r="D8" s="6">
        <v>10000000</v>
      </c>
    </row>
    <row r="9" spans="1:32" x14ac:dyDescent="0.25">
      <c r="A9" s="5" t="s">
        <v>1171</v>
      </c>
      <c r="B9" s="4" cm="1">
        <f t="array" ref="B9">SUMPRODUCT((data!D2:D1001&gt;=43678)*(data!D2:D1001&lt;43709)*data!B2:B1001)</f>
        <v>3437450.1399999997</v>
      </c>
      <c r="C9" s="4" cm="1">
        <f t="array" ref="C9">SUMPRODUCT((data!D2:D1001&gt;=44044)*(data!D2:D1001&lt;44075)*data!B2:B1001)</f>
        <v>4714525.2100000009</v>
      </c>
    </row>
    <row r="10" spans="1:32" x14ac:dyDescent="0.25">
      <c r="A10" s="5" t="s">
        <v>1172</v>
      </c>
      <c r="B10" s="4" cm="1">
        <f t="array" ref="B10">SUMPRODUCT((data!D2:D1001&gt;=43709)*(data!D2:D1001&lt;43739)*data!B2:B1001)</f>
        <v>4870060.5500000007</v>
      </c>
      <c r="C10" s="4" cm="1">
        <f t="array" ref="C10">SUMPRODUCT((data!D2:D1001&gt;=44075)*(data!D2:D1001&lt;44105)*data!B2:B1001)</f>
        <v>3778141.3699999996</v>
      </c>
    </row>
    <row r="11" spans="1:32" x14ac:dyDescent="0.25">
      <c r="A11" s="5" t="s">
        <v>1173</v>
      </c>
      <c r="B11" s="4" cm="1">
        <f t="array" ref="B11">SUMPRODUCT((data!D2:D1001&gt;=43739)*(data!D2:D1001&lt;43770)*data!B2:B1001)</f>
        <v>4372149.55</v>
      </c>
      <c r="C11" s="4" cm="1">
        <f t="array" ref="C11">SUMPRODUCT((data!D2:D1001&gt;=44105)*(data!D2:D1001&lt;44136)*data!B2:B1001)</f>
        <v>4869726.8500000015</v>
      </c>
    </row>
    <row r="12" spans="1:32" x14ac:dyDescent="0.25">
      <c r="A12" s="5" t="s">
        <v>1174</v>
      </c>
      <c r="B12" s="4" cm="1">
        <f t="array" ref="B12">SUMPRODUCT((data!D2:D1001&gt;=43770)*(data!D2:D1001&lt;43800)*data!B2:B1001)</f>
        <v>2961318.57</v>
      </c>
      <c r="C12" s="4" cm="1">
        <f t="array" ref="C12">SUMPRODUCT((data!D2:D1001&gt;=44136)*(data!D2:D1001&lt;44166)*data!B2:B1001)</f>
        <v>4734730.08</v>
      </c>
    </row>
    <row r="13" spans="1:32" x14ac:dyDescent="0.25">
      <c r="A13" s="5" t="s">
        <v>1175</v>
      </c>
      <c r="B13" s="4" cm="1">
        <f t="array" ref="B13">SUMPRODUCT((data!D2:D1001&gt;=43800)*(data!D2:D1001&lt;43831)*data!B2:B1001)</f>
        <v>8713776.0300000012</v>
      </c>
      <c r="C13" s="4" cm="1">
        <f t="array" ref="C13">SUMPRODUCT((data!D2:D1001&gt;=44166)*(data!D2:D1001&lt;44197)*data!B2:B1001)</f>
        <v>5884298.2599999998</v>
      </c>
      <c r="D13" s="6">
        <v>10000000</v>
      </c>
      <c r="E13">
        <v>2019</v>
      </c>
      <c r="F13">
        <v>2020</v>
      </c>
    </row>
    <row r="14" spans="1:32" x14ac:dyDescent="0.25">
      <c r="A14" s="5"/>
      <c r="B14" s="4"/>
    </row>
    <row r="15" spans="1:32" x14ac:dyDescent="0.25">
      <c r="A15" s="5"/>
      <c r="B15" s="4"/>
    </row>
    <row r="16" spans="1:32" x14ac:dyDescent="0.25">
      <c r="A16" s="5"/>
      <c r="B16" s="4"/>
    </row>
    <row r="17" spans="1:11" x14ac:dyDescent="0.25">
      <c r="A17" s="5"/>
      <c r="B17" s="4"/>
    </row>
    <row r="18" spans="1:11" x14ac:dyDescent="0.25">
      <c r="A18" s="5"/>
      <c r="B18" s="4"/>
    </row>
    <row r="19" spans="1:11" x14ac:dyDescent="0.25">
      <c r="A19" s="5"/>
      <c r="B19" s="4"/>
    </row>
    <row r="20" spans="1:11" x14ac:dyDescent="0.25">
      <c r="A20" s="5"/>
      <c r="B20" s="4"/>
    </row>
    <row r="21" spans="1:11" x14ac:dyDescent="0.25">
      <c r="A21" s="5"/>
      <c r="B21" s="4"/>
    </row>
    <row r="22" spans="1:11" x14ac:dyDescent="0.25">
      <c r="A22" s="5"/>
      <c r="B22" s="4"/>
    </row>
    <row r="23" spans="1:11" x14ac:dyDescent="0.25">
      <c r="A23" s="5"/>
      <c r="B23" s="4"/>
    </row>
    <row r="24" spans="1:11" x14ac:dyDescent="0.25">
      <c r="A24" s="5"/>
      <c r="B24" s="4"/>
    </row>
    <row r="25" spans="1:11" x14ac:dyDescent="0.25">
      <c r="A25" s="5"/>
      <c r="B25" s="4"/>
      <c r="K25" t="s">
        <v>1177</v>
      </c>
    </row>
    <row r="26" spans="1:11" x14ac:dyDescent="0.25">
      <c r="K26" t="s">
        <v>1178</v>
      </c>
    </row>
    <row r="27" spans="1:11" x14ac:dyDescent="0.25">
      <c r="K27" t="s">
        <v>1179</v>
      </c>
    </row>
    <row r="28" spans="1:11" x14ac:dyDescent="0.25">
      <c r="K28" t="s">
        <v>1180</v>
      </c>
    </row>
    <row r="29" spans="1:11" x14ac:dyDescent="0.25">
      <c r="K29" t="s">
        <v>1181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table_report</vt:lpstr>
      <vt:lpstr>fig_1_monthly_sale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Phat T. Pham</dc:creator>
  <cp:lastModifiedBy>Phat Pham</cp:lastModifiedBy>
  <dcterms:created xsi:type="dcterms:W3CDTF">2026-05-21T07:57:35Z</dcterms:created>
  <dcterms:modified xsi:type="dcterms:W3CDTF">2026-05-21T09:05:13Z</dcterms:modified>
</cp:coreProperties>
</file>